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03. Operation\03. Operation &amp; Maintenance\9. Monthly Activity\Call Center Log\"/>
    </mc:Choice>
  </mc:AlternateContent>
  <xr:revisionPtr revIDLastSave="0" documentId="8_{7755CAE9-4736-41DE-9C9B-802149413BF3}" xr6:coauthVersionLast="47" xr6:coauthVersionMax="47" xr10:uidLastSave="{00000000-0000-0000-0000-000000000000}"/>
  <bookViews>
    <workbookView xWindow="-108" yWindow="-108" windowWidth="23256" windowHeight="12456" activeTab="1" xr2:uid="{00000000-000D-0000-FFFF-FFFF00000000}"/>
  </bookViews>
  <sheets>
    <sheet name="Summary" sheetId="9" r:id="rId1"/>
    <sheet name="CALLCANTER LOG" sheetId="2" r:id="rId2"/>
    <sheet name="2026 INDIKASI PENIPUAN" sheetId="14" r:id="rId3"/>
    <sheet name="Detail Category" sheetId="11" r:id="rId4"/>
    <sheet name="SERVER" sheetId="10" r:id="rId5"/>
    <sheet name="Copy of v2" sheetId="5" state="hidden" r:id="rId6"/>
    <sheet name="Kategori" sheetId="6" state="hidden" r:id="rId7"/>
  </sheets>
  <definedNames>
    <definedName name="_xlnm._FilterDatabase" localSheetId="1" hidden="1">'CALLCANTER LOG'!$A$1:$R$1060</definedName>
  </definedNames>
  <calcPr calcId="191029"/>
  <pivotCaches>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64" i="2" l="1"/>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C211" i="14"/>
  <c r="B211" i="14"/>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C85" i="14"/>
  <c r="B85" i="14"/>
  <c r="A976" i="2"/>
  <c r="C343" i="14"/>
  <c r="B343" i="14"/>
  <c r="A975" i="2"/>
  <c r="A974" i="2"/>
  <c r="A973" i="2"/>
  <c r="A972" i="2"/>
  <c r="A971" i="2"/>
  <c r="A970" i="2"/>
  <c r="A969" i="2"/>
  <c r="A968" i="2"/>
  <c r="A967" i="2"/>
  <c r="A966" i="2"/>
  <c r="A965" i="2"/>
  <c r="A964" i="2"/>
  <c r="A963" i="2"/>
  <c r="A962" i="2"/>
  <c r="A961" i="2"/>
  <c r="A960" i="2"/>
  <c r="A959" i="2"/>
  <c r="A958" i="2"/>
  <c r="A957" i="2"/>
  <c r="A956" i="2"/>
  <c r="A955" i="2"/>
  <c r="E85" i="14"/>
  <c r="E343" i="14"/>
  <c r="D343" i="14"/>
  <c r="A954" i="2"/>
  <c r="A953" i="2"/>
  <c r="A952" i="2"/>
  <c r="A951" i="2"/>
  <c r="A950" i="2"/>
  <c r="A949" i="2"/>
  <c r="A948" i="2"/>
  <c r="A947" i="2"/>
  <c r="A946" i="2"/>
  <c r="C161" i="14"/>
  <c r="B161" i="14"/>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Q144" i="5"/>
  <c r="O144" i="5"/>
  <c r="Q143" i="5"/>
  <c r="O143" i="5"/>
  <c r="Q142" i="5"/>
  <c r="O142" i="5"/>
  <c r="Q141" i="5"/>
  <c r="O141" i="5"/>
  <c r="Q140" i="5"/>
  <c r="O140" i="5"/>
  <c r="Q139" i="5"/>
  <c r="O139" i="5"/>
  <c r="Q138" i="5"/>
  <c r="O138" i="5"/>
  <c r="Q137" i="5"/>
  <c r="O137" i="5"/>
  <c r="Q136" i="5"/>
  <c r="O136" i="5"/>
  <c r="Q135" i="5"/>
  <c r="O135" i="5"/>
  <c r="Q134" i="5"/>
  <c r="O134" i="5"/>
  <c r="Q133" i="5"/>
  <c r="O133" i="5"/>
  <c r="Q132" i="5"/>
  <c r="O132" i="5"/>
  <c r="Q131" i="5"/>
  <c r="O131" i="5"/>
  <c r="Q130" i="5"/>
  <c r="O130" i="5"/>
  <c r="Q129" i="5"/>
  <c r="O129" i="5"/>
  <c r="Q128" i="5"/>
  <c r="O128" i="5"/>
  <c r="Q127" i="5"/>
  <c r="O127" i="5"/>
  <c r="Q126" i="5"/>
  <c r="O126" i="5"/>
  <c r="Q125" i="5"/>
  <c r="O125" i="5"/>
  <c r="Q124" i="5"/>
  <c r="O124" i="5"/>
  <c r="Q123" i="5"/>
  <c r="O123" i="5"/>
  <c r="Q122" i="5"/>
  <c r="O122" i="5"/>
  <c r="Q121" i="5"/>
  <c r="O121" i="5"/>
  <c r="Q120" i="5"/>
  <c r="O120" i="5"/>
  <c r="Q119" i="5"/>
  <c r="O119" i="5"/>
  <c r="Q118" i="5"/>
  <c r="O118" i="5"/>
  <c r="Q117" i="5"/>
  <c r="O117" i="5"/>
  <c r="Q116" i="5"/>
  <c r="O116" i="5"/>
  <c r="Q115" i="5"/>
  <c r="O115" i="5"/>
  <c r="Q114" i="5"/>
  <c r="O114" i="5"/>
  <c r="Q113" i="5"/>
  <c r="O113" i="5"/>
  <c r="Q112" i="5"/>
  <c r="O112" i="5"/>
  <c r="Q111" i="5"/>
  <c r="O111" i="5"/>
  <c r="Q110" i="5"/>
  <c r="O110" i="5"/>
  <c r="Q109" i="5"/>
  <c r="O109" i="5"/>
  <c r="Q108" i="5"/>
  <c r="O108" i="5"/>
  <c r="Q107" i="5"/>
  <c r="O107" i="5"/>
  <c r="Q106" i="5"/>
  <c r="O106" i="5"/>
  <c r="Q105" i="5"/>
  <c r="O105" i="5"/>
  <c r="Q104" i="5"/>
  <c r="O104" i="5"/>
  <c r="Q103" i="5"/>
  <c r="O103" i="5"/>
  <c r="Q102" i="5"/>
  <c r="O102" i="5"/>
  <c r="Q101" i="5"/>
  <c r="O101" i="5"/>
  <c r="Q100" i="5"/>
  <c r="O100" i="5"/>
  <c r="Q99" i="5"/>
  <c r="O99" i="5"/>
  <c r="Q98" i="5"/>
  <c r="O98" i="5"/>
  <c r="Q97" i="5"/>
  <c r="O97" i="5"/>
  <c r="Q96" i="5"/>
  <c r="O96" i="5"/>
  <c r="Q95" i="5"/>
  <c r="O95" i="5"/>
  <c r="Q94" i="5"/>
  <c r="O94" i="5"/>
  <c r="Q93" i="5"/>
  <c r="O93" i="5"/>
  <c r="Q92" i="5"/>
  <c r="O92" i="5"/>
  <c r="Q91" i="5"/>
  <c r="O91" i="5"/>
  <c r="Q90" i="5"/>
  <c r="O90" i="5"/>
  <c r="Q89" i="5"/>
  <c r="O89" i="5"/>
  <c r="Q88" i="5"/>
  <c r="O88" i="5"/>
  <c r="Q87" i="5"/>
  <c r="O87" i="5"/>
  <c r="Q86" i="5"/>
  <c r="O86" i="5"/>
  <c r="Q85" i="5"/>
  <c r="O85" i="5"/>
  <c r="Q84" i="5"/>
  <c r="O84" i="5"/>
  <c r="Q83" i="5"/>
  <c r="O83" i="5"/>
  <c r="Q82" i="5"/>
  <c r="O82" i="5"/>
  <c r="Q81" i="5"/>
  <c r="O81" i="5"/>
  <c r="Q80" i="5"/>
  <c r="O80" i="5"/>
  <c r="Q79" i="5"/>
  <c r="O79" i="5"/>
  <c r="Q78" i="5"/>
  <c r="O78" i="5"/>
  <c r="Q77" i="5"/>
  <c r="O77" i="5"/>
  <c r="Q76" i="5"/>
  <c r="O76" i="5"/>
  <c r="Q75" i="5"/>
  <c r="O75" i="5"/>
  <c r="Q74" i="5"/>
  <c r="O74" i="5"/>
  <c r="Q73" i="5"/>
  <c r="O73" i="5"/>
  <c r="Q72" i="5"/>
  <c r="O72" i="5"/>
  <c r="Q71" i="5"/>
  <c r="O71" i="5"/>
  <c r="Q70" i="5"/>
  <c r="O70" i="5"/>
  <c r="Q69" i="5"/>
  <c r="O69" i="5"/>
  <c r="Q68" i="5"/>
  <c r="O68" i="5"/>
  <c r="Q67" i="5"/>
  <c r="O67" i="5"/>
  <c r="Q66" i="5"/>
  <c r="O66" i="5"/>
  <c r="Q65" i="5"/>
  <c r="O65" i="5"/>
  <c r="Q64" i="5"/>
  <c r="O64" i="5"/>
  <c r="Q63" i="5"/>
  <c r="O63" i="5"/>
  <c r="Q62" i="5"/>
  <c r="O62" i="5"/>
  <c r="Q61" i="5"/>
  <c r="O61" i="5"/>
  <c r="Q60" i="5"/>
  <c r="O60" i="5"/>
  <c r="Q59" i="5"/>
  <c r="O59" i="5"/>
  <c r="Q58" i="5"/>
  <c r="O58" i="5"/>
  <c r="Q57" i="5"/>
  <c r="O57" i="5"/>
  <c r="Q56" i="5"/>
  <c r="O56" i="5"/>
  <c r="Q55" i="5"/>
  <c r="O55" i="5"/>
  <c r="Q54" i="5"/>
  <c r="O54" i="5"/>
  <c r="Q53" i="5"/>
  <c r="O53" i="5"/>
  <c r="Q52" i="5"/>
  <c r="O52" i="5"/>
  <c r="Q51" i="5"/>
  <c r="O51" i="5"/>
  <c r="Q50" i="5"/>
  <c r="O50" i="5"/>
  <c r="Q49" i="5"/>
  <c r="O49" i="5"/>
  <c r="Q48" i="5"/>
  <c r="O48" i="5"/>
  <c r="Q47" i="5"/>
  <c r="O47" i="5"/>
  <c r="Q46" i="5"/>
  <c r="O46" i="5"/>
  <c r="Q45" i="5"/>
  <c r="O45" i="5"/>
  <c r="Q44" i="5"/>
  <c r="O44" i="5"/>
  <c r="Q43" i="5"/>
  <c r="O43" i="5"/>
  <c r="Q42" i="5"/>
  <c r="O42" i="5"/>
  <c r="Q41" i="5"/>
  <c r="O41" i="5"/>
  <c r="Q40" i="5"/>
  <c r="O40" i="5"/>
  <c r="Q39" i="5"/>
  <c r="O39" i="5"/>
  <c r="Q38" i="5"/>
  <c r="O38" i="5"/>
  <c r="Q37" i="5"/>
  <c r="O37" i="5"/>
  <c r="Q36" i="5"/>
  <c r="O36" i="5"/>
  <c r="Q35" i="5"/>
  <c r="O35" i="5"/>
  <c r="Q34" i="5"/>
  <c r="O34" i="5"/>
  <c r="Q33" i="5"/>
  <c r="O33" i="5"/>
  <c r="Q32" i="5"/>
  <c r="O32" i="5"/>
  <c r="Q31" i="5"/>
  <c r="O31" i="5"/>
  <c r="Q30" i="5"/>
  <c r="O30" i="5"/>
  <c r="Q29" i="5"/>
  <c r="O29" i="5"/>
  <c r="Q28" i="5"/>
  <c r="O28" i="5"/>
  <c r="Q27" i="5"/>
  <c r="O27" i="5"/>
  <c r="Q26" i="5"/>
  <c r="O26" i="5"/>
  <c r="Q25" i="5"/>
  <c r="O25" i="5"/>
  <c r="Q24" i="5"/>
  <c r="O24" i="5"/>
  <c r="Q23" i="5"/>
  <c r="O23" i="5"/>
  <c r="Q22" i="5"/>
  <c r="O22" i="5"/>
  <c r="Q21" i="5"/>
  <c r="O21" i="5"/>
  <c r="Q20" i="5"/>
  <c r="O20" i="5"/>
  <c r="Q19" i="5"/>
  <c r="O19" i="5"/>
  <c r="Q18" i="5"/>
  <c r="O18" i="5"/>
  <c r="Q17" i="5"/>
  <c r="O17" i="5"/>
  <c r="Q16" i="5"/>
  <c r="O16" i="5"/>
  <c r="O15" i="5"/>
  <c r="Q14" i="5"/>
  <c r="O14" i="5"/>
  <c r="Q13" i="5"/>
  <c r="O13" i="5"/>
  <c r="Q12" i="5"/>
  <c r="O12" i="5"/>
  <c r="O10" i="5"/>
  <c r="O9" i="5"/>
  <c r="O8" i="5"/>
  <c r="O7" i="5"/>
  <c r="O6" i="5"/>
  <c r="Q5" i="5"/>
  <c r="O5" i="5"/>
  <c r="Q4" i="5"/>
  <c r="O4" i="5"/>
  <c r="Q3" i="5"/>
  <c r="O3" i="5"/>
  <c r="Q2" i="5"/>
  <c r="O2" i="5"/>
  <c r="C333" i="14"/>
  <c r="B333" i="14"/>
  <c r="C307" i="14"/>
  <c r="B307" i="14"/>
  <c r="C243" i="14"/>
  <c r="B243" i="14"/>
  <c r="C229" i="14"/>
  <c r="B229" i="14"/>
  <c r="C220" i="14"/>
  <c r="B220" i="14"/>
  <c r="E161" i="14"/>
  <c r="D161" i="14"/>
  <c r="E129" i="14"/>
  <c r="D129" i="14"/>
  <c r="C129" i="14"/>
  <c r="B129" i="14"/>
  <c r="G85" i="14"/>
  <c r="F85" i="14"/>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D85"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500-000001000000}">
      <text>
        <r>
          <rPr>
            <sz val="11"/>
            <color rgb="FF000000"/>
            <rFont val="Aptos Narrow"/>
            <family val="2"/>
            <scheme val="minor"/>
          </rPr>
          <t>lenovo:
WhatsApp
Email
Telegram</t>
        </r>
      </text>
    </comment>
    <comment ref="F1" authorId="0" shapeId="0" xr:uid="{00000000-0006-0000-0500-000002000000}">
      <text>
        <r>
          <rPr>
            <sz val="11"/>
            <color rgb="FF000000"/>
            <rFont val="Aptos Narrow"/>
            <family val="2"/>
            <scheme val="minor"/>
          </rPr>
          <t>lenovo:
Request/Issue</t>
        </r>
      </text>
    </comment>
    <comment ref="H1" authorId="0" shapeId="0" xr:uid="{00000000-0006-0000-0500-000003000000}">
      <text>
        <r>
          <rPr>
            <sz val="11"/>
            <color rgb="FF000000"/>
            <rFont val="Aptos Narrow"/>
            <family val="2"/>
            <scheme val="minor"/>
          </rPr>
          <t>lenovo:
Keyword</t>
        </r>
      </text>
    </comment>
  </commentList>
</comments>
</file>

<file path=xl/sharedStrings.xml><?xml version="1.0" encoding="utf-8"?>
<sst xmlns="http://schemas.openxmlformats.org/spreadsheetml/2006/main" count="15461" uniqueCount="2776">
  <si>
    <t>..</t>
  </si>
  <si>
    <t>Report Date</t>
  </si>
  <si>
    <t>Status</t>
  </si>
  <si>
    <t>Grand Total</t>
  </si>
  <si>
    <t>Detail0</t>
  </si>
  <si>
    <t>Closed</t>
  </si>
  <si>
    <t>Open</t>
  </si>
  <si>
    <t>1. Surat INDIKASI PENIPUAN</t>
  </si>
  <si>
    <t>2. Request STATUS TRANSAKSI</t>
  </si>
  <si>
    <t>3. Request BUKTI TRANSAKSI VOA</t>
  </si>
  <si>
    <t>4. Request REFUND TRANSAKSI</t>
  </si>
  <si>
    <t>5. Pre-Arbitrase</t>
  </si>
  <si>
    <t>Request CHG LIMIT / OPEN BIN</t>
  </si>
  <si>
    <t>No</t>
  </si>
  <si>
    <t>Yes</t>
  </si>
  <si>
    <t>Type</t>
  </si>
  <si>
    <t>Produk</t>
  </si>
  <si>
    <t>Dana</t>
  </si>
  <si>
    <t>Action</t>
  </si>
  <si>
    <t>OK</t>
  </si>
  <si>
    <t>N/A</t>
  </si>
  <si>
    <t>Complaint</t>
  </si>
  <si>
    <t>Tiket ID</t>
  </si>
  <si>
    <t>Tiket Date</t>
  </si>
  <si>
    <t>Channel</t>
  </si>
  <si>
    <t>Sender</t>
  </si>
  <si>
    <t>Nama Merc</t>
  </si>
  <si>
    <t>Category</t>
  </si>
  <si>
    <t>Detail1</t>
  </si>
  <si>
    <t>Detail2</t>
  </si>
  <si>
    <t>Bank</t>
  </si>
  <si>
    <t>Detail Category</t>
  </si>
  <si>
    <t>Note
Detail</t>
  </si>
  <si>
    <t>Handling SOP Code</t>
  </si>
  <si>
    <t>Investigation Process 
(SOP Complaint Handling)</t>
  </si>
  <si>
    <t>Closed Date</t>
  </si>
  <si>
    <t>Report
Date</t>
  </si>
  <si>
    <t>Email</t>
  </si>
  <si>
    <t>Distribusi Lancar Jaya &lt;distribusilancarjaya@gmail.com&gt;</t>
  </si>
  <si>
    <t>Jatimpark Vending Mechine</t>
  </si>
  <si>
    <t>Request</t>
  </si>
  <si>
    <t>QR</t>
  </si>
  <si>
    <t>Request REFUND TRANSAKSI</t>
  </si>
  <si>
    <t>(Product tidak diterima dan Cust request refund)</t>
  </si>
  <si>
    <t>NOBU</t>
  </si>
  <si>
    <t>R04</t>
  </si>
  <si>
    <t>01/01 Req masuk
01/01 Support teruskan ke NOBU
02/01 Done</t>
  </si>
  <si>
    <t>Buka SOP 'REFUND QR NOBU'</t>
  </si>
  <si>
    <t>02/01 Req masuk
02/01 Support teruskan ke NOBU
02/01 Done</t>
  </si>
  <si>
    <t>kkd_ipm2@corp.bri.co.id</t>
  </si>
  <si>
    <t>MOLINA</t>
  </si>
  <si>
    <t>VOA</t>
  </si>
  <si>
    <t>Pengajuan Pre-Arb</t>
  </si>
  <si>
    <t>(Pengajuan Pre-Arb oleh Bank)</t>
  </si>
  <si>
    <t>BRI VOA</t>
  </si>
  <si>
    <t>R02</t>
  </si>
  <si>
    <t>02/01 KKD KONFIRMASI Pre-Arbitrasi 
02/01 Support infokan jika terdapat request Pre-Arb dari Bank</t>
  </si>
  <si>
    <t>keluhan_payment@bca.co.id</t>
  </si>
  <si>
    <t>PT Teknologi Awan Cerah</t>
  </si>
  <si>
    <t>Issue</t>
  </si>
  <si>
    <t>VA</t>
  </si>
  <si>
    <t>Surat FRAUD</t>
  </si>
  <si>
    <t>(Dana Terpotong, Produk Tdk Diterima)</t>
  </si>
  <si>
    <t>BCA</t>
  </si>
  <si>
    <t>C01</t>
  </si>
  <si>
    <t>02/01 Req masuk
02/01 Support meminta data kronologis dkk
05/01 Belum ada data</t>
  </si>
  <si>
    <t>SOP #01</t>
  </si>
  <si>
    <t>1. Pastikan merchant &amp; transaksi tersebut valid
2. Pastikan ada Surat kronologis
3. Teruskan ke pihak Merchant untuk konfirmasi
4. Terdapat 2 Opsi yang diberikan Merchant
     1. Pastikan Produk diterima Cust/Nasabah
     2. Request Prismalink untuk lakukan refund
5. Opsi-1 -&gt; Infokan ke sender (Bank/Cust) bahwa Produk telah tersedia
6. Opsi-2 -&gt; Infokan Finance untuk hold dana
                 -&gt; Pastikan rekening tujuan valid
                 -&gt; Pastikan refund berhasil dan infokan sender (Bank/Cust)</t>
  </si>
  <si>
    <t>Tommy Manteman uyee &lt;tommyverdiansyah75@gmail.com&gt;</t>
  </si>
  <si>
    <t>PT Daya Net Gemilang</t>
  </si>
  <si>
    <t>03/01 Req masuk dgn kronologis
03/01 Support meminta rekening koran
03/01 Support teruskan ke merchant
05/01 Merchant info jika KTP dan pelapor beda, support konfirm ke customer
05/01 Cust infokan jika mereka suami istri, support teruskan info tersebut ke merchant
05/01 Merchant infokan tdk bisa refund &amp; support teruskan info tersebut ke customer</t>
  </si>
  <si>
    <t>aditya mahardika &lt;adityamahardika051@gmail.com&gt;</t>
  </si>
  <si>
    <t>03/01 Req masuk dgn kronologis
03/01 Support meminta rekening koran
03/01 Support teruskan ke merchant
04/01 Cust melampirkan data KTP
04/01 Support teruskan ke merchant
04/01 Info merchant, KTP dan pelapor berbeda
04/01 Support konfirm ke customer
06/01 Support infokan agar user check berkala</t>
  </si>
  <si>
    <t>Eedjoey Marsal &lt;sofie.raafi@gmail.com&gt;</t>
  </si>
  <si>
    <t>PT Kreasi Kode Kreatif</t>
  </si>
  <si>
    <t>05/01 Req masuk dengan data lengkap
05/01 Support meminta data kronologis dkk
05/01 Belum ada datanya</t>
  </si>
  <si>
    <t>05/01 Req masuk
05/01 Support teruskan ke NOBU
05/01 DONE</t>
  </si>
  <si>
    <t>WA</t>
  </si>
  <si>
    <t>-</t>
  </si>
  <si>
    <t>Request STATUS TRANSAKSI</t>
  </si>
  <si>
    <t>(PRODUK diterima, dashboard belum update)</t>
  </si>
  <si>
    <t>R01</t>
  </si>
  <si>
    <t xml:space="preserve">01/01 Nobecul tanyakan status trx 7900121700089282
01/01 Support cek di mbase dan dashboard masih pendg
01/01 Support infokan tunggu rekon""
02/01 Support infokan team terkait untuk di update karena di cek by mbase sudah aprvd dan dashboard 3 pending 
02/01 Support infokan sukses </t>
  </si>
  <si>
    <t>SOP #05</t>
  </si>
  <si>
    <t>(PRODUK Tdk Diterima, namun ada bukti TRANSFER)</t>
  </si>
  <si>
    <t>03/01 Nobecul tanyakan status trx 7900121700042282
03/01 Support cek di mbase status error reject
03/01 Support infokan gagal</t>
  </si>
  <si>
    <t>SOP #02</t>
  </si>
  <si>
    <t>1. Konfirmasi apakah Merchant terdapat kendala dalam akses Dashboard
2. Tim Support tetap membantu pastikan, bila Merchant meminta
3. Memastikan status transaksi pada Dashboard
     IF "Transaksi GAGAL", AND "Dana TDK MASUK" (via rekon) then "Infokan GAGAL"
     IF "Transaksi SUKSES", AND "Dana MASUK" (via rekon) then "Infokan SUKSES"</t>
  </si>
  <si>
    <t xml:space="preserve">
04/01 Dayanet tanyakan status trx 7900125000096078 / NACL1292816421
04/01 Support cek mbase aprvd dan dashboard 3 setld
04/01 Support infokan sukses</t>
  </si>
  <si>
    <t>05/01 Req masuk
05/01 Support meminta kronologis dkk
07/01 Belum ada data</t>
  </si>
  <si>
    <t>06/01 Req masuk
06/01 Support teruskan ke NOBU
06/01 DONE</t>
  </si>
  <si>
    <t>Yvonne.Li &lt;yvonne.li@storyland.com.cn&gt;</t>
  </si>
  <si>
    <t>Request BUKTI TRANSAKSI VOA</t>
  </si>
  <si>
    <t>(Customer sanggah transaksi CC atas penerbitan Visa)</t>
  </si>
  <si>
    <t>06/01 Req masuk
06/01 Support melampirkan EVISA</t>
  </si>
  <si>
    <t>SOP #03</t>
  </si>
  <si>
    <t>1. Menggunakan Approval_Code Transaksi KartuKredit dari List BRI untuk mencari billing ID VOA
2. Mencari detil No Paspor berdasarkan Billing ID, untuk kemudian diberikan ke pihak Molina
3. Pihak Molina membantu mencarikan bukti penerbitan Visa
4. Tim Support melampirkan data "Penerbitan Visa atas WNA" berdasarkan "Transaksi CC"</t>
  </si>
  <si>
    <t>06/01 Req masuk
06/01 Support meminta kronologis dkk
07/01 Belum ada datanya</t>
  </si>
  <si>
    <t>06/01 KKD KONFIRMASI Pre-Arbitrasi 
06/01 Support infokan jika terdapat request Pre-Arb dari Bank</t>
  </si>
  <si>
    <t>CC</t>
  </si>
  <si>
    <t>06/01 Req masuk
09/01 DONE support melampirkan bukti EVOA</t>
  </si>
  <si>
    <t>Request STATUS TRANSAKSI
(PRODUK Tdk Diterima, namun ada bukti TRANSFER)
[O7165261] Rekap : 01/VA ONLINE/BAYAR2.COM
PT Daya Net Gemilang
7900125000072527
100000</t>
  </si>
  <si>
    <t>06/01 Req masuk
06/01 Support infokan jika trx tdk ditemukan
07/01 BCA kirimkan VA ulang, karena ada typo
07/01 Support infokan trx sykses</t>
  </si>
  <si>
    <t>Request STATUS TRANSAKSI
(PRODUK Tdk Diterima, namun ada bukti TRANSFER)
[O7b31329] Rekap : 02/VA ONLINE/BAYAR2.COM
PT Daya Net Gemilang
7900125000079527
1005981
7900125000054436
1000000</t>
  </si>
  <si>
    <t>06/01 Req masuk
06/01 Support infokan trx sukses</t>
  </si>
  <si>
    <t>07/01 Req masuk
07/01 Support teruskan ke NOBU
07/01 DONE</t>
  </si>
  <si>
    <t xml:space="preserve">
05/01 Dayanet tanyakan status trx 7900125000022158 / NACL1295123209
05/01 Support cek dasboard 3 setld 
05/01 Support infokan sukses</t>
  </si>
  <si>
    <t>MANDIRI</t>
  </si>
  <si>
    <t xml:space="preserve">
05/01 Dayanet tanyakan status trx VA 8903910125008822 / NACL1294223506
05/01 Support cek dasboard 3 setld 
05/01 Support infokan sukses</t>
  </si>
  <si>
    <t>YAYASAN DIAN ASRA</t>
  </si>
  <si>
    <t>BNI</t>
  </si>
  <si>
    <t xml:space="preserve">
05/01 Undira  tanyakan status trx VA 8919101123059316
05/01 Support cek dasboard 3 cancel, cek agregator dana masuk, support update status
05/01 Support infokan sukses</t>
  </si>
  <si>
    <t xml:space="preserve">
05/01 Undira tanyakan status trx VA 8919101123089124
05/01 Support cek dasboard 3 cancel, cek agregator dana masuk, support update statusnya
05/01 Support infokan sukses</t>
  </si>
  <si>
    <t>olivialihongyao@gmail.com</t>
  </si>
  <si>
    <t>05/01 Customer request bukti transaksi untuk eVisa 
05/01 Support konfirmasi cc yg digunakan
05/01 Support investigasi menggunakan cc yg diberikan
05/01 Support melampirkan bukti transkasi eVisa</t>
  </si>
  <si>
    <t>xieruiqing79@gmail.com</t>
  </si>
  <si>
    <t>Tripay</t>
  </si>
  <si>
    <t>05/01 tripay tanyakan 8903910117909234 
05/01 Support cek mbase belum ditermukan
05/01 support infokan menunggu rekon
07/01 Info dari rekon sudah di settle
07/10 Support infokan sukses</t>
  </si>
  <si>
    <t>05/01 nobecul tanyakan 7900121700013197 
05/01 Support cek mbase apprv dashboard settle
05/01 support infokan sukses</t>
  </si>
  <si>
    <t>06/01 Nobecul tanyakan status trx 7900121700075079
06/01 Support cek di mbase status error reject 
06/01 Support infokan failed</t>
  </si>
  <si>
    <t>06/01 DNT tanyakan status trx 7900125000015050
06/01 Support cek di mbase dan db stts nya sttld
06/01 Support infokan sukses</t>
  </si>
  <si>
    <t>PT BARAKA SARANA TAMA</t>
  </si>
  <si>
    <t>06/01 Baraka tanyakan status trx 1551200000023795
06/01 Ko daniel infokan stts sudah update
06/01 Support infokan sukses</t>
  </si>
  <si>
    <t>06/01 Univs sains tanyakan status trx 000433867224 / 0011310122580079190
06/01 Support up ke Nobu dan Nobu infokan stts sukses
06/01 Support update status &amp; infokan sukses</t>
  </si>
  <si>
    <t>06/01 DNT tanyakan status trx 7900125000045973 / NACL1297229095 
06/01 Support cek di mbase dan db stts nya sttld
06/01 Support infokan sukses</t>
  </si>
  <si>
    <t>PT Hotel Murah Travelindo</t>
  </si>
  <si>
    <t>06/01 Hotelmurah tanyakan status trx 
P82332920 // 000938945282 
06/01 Support cek di dashboard plink cancel, cek di dashboard nobu ada yg artinya sukses, support update statusnya
06/01 Support infokan sukses</t>
  </si>
  <si>
    <t>06/01 Customer request bukti transaksi untuk eVisa 
06/01 Support cek bukti pembayaran wisman karena wisman sudah mengirimkan bukti pembayaran
06/01 Support investigasi menggunakan Reff no yg diberikan pada Mbase
06/01 Support melampirkan bukti transkasi eVisa</t>
  </si>
  <si>
    <t>06/01 nobecul tanyakan 7900125000090145 
06/01 Support cek mbase apprv dashboard settle
06/01 support infokan sukses</t>
  </si>
  <si>
    <t>chargebackops.acq@corp.bri.co.id</t>
  </si>
  <si>
    <t>PT Cerdik Karya Gemilang</t>
  </si>
  <si>
    <t xml:space="preserve">07/01 Req masuk
07/01 Support teruskan ke Cerdik
29/01 belum ada update
</t>
  </si>
  <si>
    <t>07/01 KKD KONFIRMASI Pre-Arbitrasi 
07/01 Support infokan jika terdapat request Pre-Arb dari Bank</t>
  </si>
  <si>
    <t>Yuga Ardiyatma &lt;yuga.ardiyatma@cimbniaga.co.id&gt;</t>
  </si>
  <si>
    <t>PT Wahana Pembayaran Digital</t>
  </si>
  <si>
    <t>CIMB</t>
  </si>
  <si>
    <t>07/01 Req masuk
07/01 Support infokan trx sukses</t>
  </si>
  <si>
    <t>Naily Adawiyah &lt;nailyadawiyah22@gmail.com&gt;</t>
  </si>
  <si>
    <t>07/01 Req masuk dengan kronologis dkk
07/01 Support teruskan ke merchant subj ;Pengecekan transaksi 7900125000062872 &amp; 7900125000013652'
07/01 Support infokan agar customer melaporkan ke masing2 BANK
12/01 Merchant konfirmasi dana bisa dipotong dari settelment</t>
  </si>
  <si>
    <t>08/01 Req masuk
08/01 Support teruskan ke NOBU
08/01 DONE</t>
  </si>
  <si>
    <t>05/01 Req masuk
07/01 Support lampirkan bukti EVOA</t>
  </si>
  <si>
    <t>07/01 DNT tanyakan  7900125000024763 / NACL1290461809 
07/01 Support cek mbase apprv dashboard settle
07/01 support infokan sukses</t>
  </si>
  <si>
    <t>PT Daya Net Gemilang
PT Envoiz Digital Indonesia</t>
  </si>
  <si>
    <t>08/01 Req masuk
08/01 Support meminta kronologis dkk
09/01 Melampirkan kronologis dkk, support teruskan ke merchant
09/01 Merchant meminta data tambahan
09/01 Support konfirmasi ke BCA meminta email customer agar bisa dimintai data tambahan
12/01 Belum ada update
13/01 Envoiz infokan surat pernyataan agar diisi oleh customer
13/01 Support FU ke BCA</t>
  </si>
  <si>
    <t>Libersa Official &lt;libersaofficial@gmail.com&gt;</t>
  </si>
  <si>
    <t>Bill Payment</t>
  </si>
  <si>
    <t>08/01 Req masuk
08/01 Support infokan pengecekan
08/01 Support konfirmasi karena email tidak ditemukan
08/01 Merchant infokan terdaftar a.n L Payment
09/01 Support infokan saldo yang tersisa
09/01 Support konfirmasi apakah akan request refund, jika iya bis adi email ke finance dan cc support
09/01 Merchant email dengan subj 'Konfirmasi penarikan saldo'
09/01 Support meminta evidence rekening koran
12/01 Support follow up by email
15/01 Suppoort meminta approval pak karno untuk pengembalian dana ke merchant
17/01 Pak Karno approve
21/01 support teruskan ke finance untuk transfer dana
21/01 finance konfirm ke pak stef, perihal penutupan L Payment
22/01 pak stef konfirm, finance konfirmasi ke support perihal penutupan L Payment
22/01 support konfirm
22/01 finance konfirm kapan layanan dinon-aktifkan
22/01 support konfirm tgl 16/11/2025
23/01 DONE</t>
  </si>
  <si>
    <t>honggo kns &lt;honggo_kns@yahoo.com&gt;</t>
  </si>
  <si>
    <t>08/01 Req masuk
08/01 Support ack + teruskan ke merchant
09/01 Merchant infokan bisa memotong settelment harian mereka
09/01 Support meminta lampirkan rekening koran
12/01 Support FU
12/01 Customer melampirkan rekening koran
14/01 Support meminta approval management, setelah approve meminta finance untuk tf dana ke rekening customer
19/01 DONE</t>
  </si>
  <si>
    <t>09/01 Req masuk
09/01 Support teruskan ke NOBU
12/01 Support FU NOBU
12/01 DONE</t>
  </si>
  <si>
    <t>08/01 Dayanet tanyakan status trx 7900125000019609 / NACL1300768749
08/01 Support cek di mbase dan db stts nya settled
08/01 Support infokan sukses</t>
  </si>
  <si>
    <t>BRI</t>
  </si>
  <si>
    <t>08/01 Paylabs tanyakan status trx 4041913285651763
08/01 Support cek di mbase stts settled dan info dari rekon sudah settled tanggal 2 januari
08/01 Support infokan sukses</t>
  </si>
  <si>
    <t>08/01 Nobecul tanyakan status trx 7900121700050778 / 2026010840100007061  
08/01 Support cek di mbase pending dan di db cancel
08/01 Support infokan tunggu rekon
09/10 Support update &amp; infokan sukses</t>
  </si>
  <si>
    <t>08/01 Nobecul tanyakan status trx 4041910124905049
08/01 Support cek di mbase VA tersebut milik envoiz, bukan milik nobecul
08/01 Support infokan VA tersebut bukan milik nobecul</t>
  </si>
  <si>
    <t>09/01 KKD KONFIRMASI Pre-Arbitrasi 
09/01 Support infokan jika terdapat request Pre-Arb dari Bank</t>
  </si>
  <si>
    <t>12/01 Req masuk
12/01 Support teruskan ke NOBU
12/01 DONE</t>
  </si>
  <si>
    <t>10/01 Dayanet tanyakan status trx 8919101250473731 / NACL1301537126
10/01 Support cek di mbase status eror aprvd dan dashbaord 3 cancel 
10/01 Support infokan team terkait untuk di update
10/01 Support infokan harap menunggu rekon 
12/01 Support infokan trx sukses</t>
  </si>
  <si>
    <t>10/01 baraka tanyakan status trx 1551200000022067 
10/01 Support cek di mbase status aprvd dan dashbaord 3 cancel 
10/01 Support infokan team terkait untuk di update
10/01 Support infokan updated</t>
  </si>
  <si>
    <t xml:space="preserve">09/01 Dayanet tanyakan status trx 8919101250757539/NACL1299365595
09/01 Support cek di mbase status aprvd dan dashbaord 3 setld
09/01 Support lakukan callback manual
09/01 Support infokan sukses </t>
  </si>
  <si>
    <t xml:space="preserve">09/01 kvoucher tanyakan status trx 2026010840100158545 // 7900119200362316 
09/01 Support cek di mbase status error reject
09/01 Support infokan gagal </t>
  </si>
  <si>
    <t>09/01 DNT tanyakan status trx 7900125000051556 / NACL1262144089
09/01 Support cek di mbase dan db stts sukses
09/01 Support infokan sukses</t>
  </si>
  <si>
    <t xml:space="preserve">PT Wahana Pembayaran Digital </t>
  </si>
  <si>
    <t>09/01 Paylabs tanyakan status trx 4041913284568695
09/01 Support cek di mbase belum ada datanya
09/01 Support infokan tunggu rekon
12/01 Support infokan dana masuk</t>
  </si>
  <si>
    <t>David Jiang &lt;jianghao812@gmail.com&gt;</t>
  </si>
  <si>
    <t>Request BUKTI TRANSAKSI VOA dari CUSTOMER
(Customer sanggah transaksi CC atas penerbitan Visa)
Request for eVisa Payment Invoice/Receipt (Payment Receipt No. RA0695025)</t>
  </si>
  <si>
    <t>12/01 Req masuk
12/01 Support melampirkan bukti EVOA</t>
  </si>
  <si>
    <t>12/01 Req masuk
12/01 Support meminta kronologis dkk
13/01 Belum ada update
21/01 BCA memberikan kronologis 'customer memberli HP dari FB tetapi barang tidak datang'
21/01 support infokan jika kronologis yang dikirimkan bukan untuk VA yang dilaporkan tp untuk transfer antar rekening
22/01 belum ada update</t>
  </si>
  <si>
    <t>12/01 KKD KONFIRMASI Pre-Arbitrasi 
12/01 Support infokan jika terdapat request Pre-Arb dari Bank</t>
  </si>
  <si>
    <t>12/01 Req masuk
14/01 DONE</t>
  </si>
  <si>
    <t>ana nurludana &lt;ananurludana29@gmail.com&gt;</t>
  </si>
  <si>
    <t>12/01 Req masuk
12/01 Support infokan trx sukses dan sarankan cutomer untuk menghubungi pihak merchant</t>
  </si>
  <si>
    <t>13/01 Req masuk
13/01 Support teruskan ke NOBU
13/01 DONE</t>
  </si>
  <si>
    <t>13/01 Req masuk
14/01 DONE</t>
  </si>
  <si>
    <t>13/01 Req masuk
13/01 Support teruskan ke cerdik
13/01 Support info ke finance untuk hold dana
23/01 DONE</t>
  </si>
  <si>
    <t>corey mitchell &lt;willowbrook14@hotmail.com&gt;</t>
  </si>
  <si>
    <t>13/01 Req masuk
13/01 Support meminta info cc yang digunakan 
14/01 Belum ada update</t>
  </si>
  <si>
    <t>12/01 baraka tanyakan status trx 4041910120555798 
12/01 Support cek di mbase status aprvd dan dashbaord 3 cancel 
12/01 Support infokan team terkait untuk di update
12/01 Support infokan sukses</t>
  </si>
  <si>
    <t xml:space="preserve">12/01 Dayanet tanyakan status trx NACL1283307783//7900125000052477 
NACL1306547356 //7900125000083646 
12/01 Support cek di mbase untuk 7900125000052477 gagal dan untuk 7900125000083646 sukses 12/01 Support infokan sesuai hasil pengecekan
</t>
  </si>
  <si>
    <t xml:space="preserve">12/01 Tripay tanyakan status trx 4041910117921267
12/01 Support cek di mbase untuk 4041910117921267 Aprvd  12/01 Support infokan sukses
</t>
  </si>
  <si>
    <t>PT TEKNOLOGI AWAN CERAH</t>
  </si>
  <si>
    <t xml:space="preserve">13/01 Req masuk
13/01 Support meminta kronologis 
14/01 Belum ada update
21/01 BCA melampirkan kronologis dimana customer membeli barang fiktif
22/01 belum ada update
02/02 BCA FU
02/02 support infokan jika memerlukan data2 tambahan seperti yang diinfokan pada email sebelumnya
</t>
  </si>
  <si>
    <t>13/01 Req masuk
13/01 Support meminta kronologis 
14/01 Belum ada update</t>
  </si>
  <si>
    <t>13/01 KKD KONFIRMASI Pre-Arbitrasi 
13/01 Support infokan jika terdapat request Pre-Arb dari Bank</t>
  </si>
  <si>
    <t>Eva Scherer &lt;evamarie.scherer@googlemail.com&gt;</t>
  </si>
  <si>
    <t>13/01 Req masuk
13/01 Support melampirkan payment receipt
13/01 Customer meminta transaksi tersebut untuk dibatalkan
13/01 Support infokan tidak bisa di cancel karena transaksi sudah diproses dan tidak bisa refund</t>
  </si>
  <si>
    <t>14/01 Req masuk
14/01 Support teruskan ke NOBU
19/01 DONE</t>
  </si>
  <si>
    <t>Request STATUS TRANSAKSI
(PRODUK Tdk Diterima, namun ada bukti TRANSFER)
[O3d074ca] Rekap : 03/VA ONLINE/BAYAR2.COM
PT TEKNOLOGI AWAN CERAH
7900121700059675
700,000</t>
  </si>
  <si>
    <t>14/01 Req masuk
14/01 Support infokan trx sukses</t>
  </si>
  <si>
    <t>Pejuang Online &lt;usahakoe99@gmail.com&gt;</t>
  </si>
  <si>
    <t>14/01 Req masuk
15/01 Support konfirmasi ke Customer apakah sudah menghubungi penyedia produk
15/01 Customer infokan sudah menghubungi akan tetapi belum di response
15/01 Support infokan transaksi sukses dan sarankan customer untuk menghubungi berkala</t>
  </si>
  <si>
    <t>14/01 Req masuk
14/01 Support teruskan ke NOBU
16/01 DONE</t>
  </si>
  <si>
    <t>Andrea Giovannini &lt;gia@vistajet.com&gt;</t>
  </si>
  <si>
    <t xml:space="preserve">15/01 Req masuk
15/01 Support melampirkan Payment receipt </t>
  </si>
  <si>
    <t>15/01 Req masuk
19/01 Suport melampirkan bukti EVOA</t>
  </si>
  <si>
    <t>15/01 Req masuk
15/01 Support teruskan ke merchant
15/01 Support infokan ke finance untuk hold dana
23/01 belum ada update
10/02 cerdik melampirkan bukti transaksi
10/02 DONE</t>
  </si>
  <si>
    <t>15/01 Req masuk
15/01 Support meminta kronologis dkk
19/01 Belum ada update</t>
  </si>
  <si>
    <t>15/01 Req masuk
15/01 Support teruskan ke NOBU
19/01 DONE</t>
  </si>
  <si>
    <t>19/01 Req masuk
19/01 Support teruskan ke NOBU
19/01 DONE</t>
  </si>
  <si>
    <t>15/01 Req masuk
17/01 Suport melampirkan bukti EVOA</t>
  </si>
  <si>
    <t>12/01 dayanet tanyakan status trx 4041910125029523 
12/01 Support cek di mbase status aprvd dan dashbaord 3 setld 
12/01 Support infokan sukses</t>
  </si>
  <si>
    <t>13/01 Dayanet tanyakan status trx 8919101250729951 / NACL1307725542
13/01 Support cek di mbase no result dan dashbaord 3 cancel
13/01 Support infokan harap menunggu rekon + support update
13/10 Support infokan sukses</t>
  </si>
  <si>
    <t xml:space="preserve">13/01 Dayanet tanyakan status trx 7900125000088945 / NACL1309633992
13/01 Support cek di mbase dan db settled
13/01 Support infokan sukses </t>
  </si>
  <si>
    <t>13/01 Kvoucher tanyakan status trx 7900119200378461 / 2026011340100005556
13/01 Support cek di mbase belum ada datanya
13/01 Support infokan tunggu rekon"
15/01 tim infokan bahwa trx tersebut gagal karena berbeda amount</t>
  </si>
  <si>
    <t>13/01 DNT tanyakan status trx 7900125000085205 / NACL1309598721 
13/01 Support cek di mbase belum ada datanya
13/01 Support infokan tunggu rekon
14/10 info dari rekon trx tersebut tidak ada
14/10 support infokan gagal</t>
  </si>
  <si>
    <t xml:space="preserve">13/01 Dayanet tanyakan status trx 8919101250952211 / NACL1303365977
13/01 Support cek di mbase dan db settled
13/01 Support infokan sukses </t>
  </si>
  <si>
    <t>13/01 Nubecul tanyakan status trx 
7900121700047548 // 2026011340100005545
13/01 Support cek di mbase belum ada datanya
13/01 Support infokan tunggu rekon
14/01 Support update +  infokan sukses</t>
  </si>
  <si>
    <t>13/01 Nubecul tanyakan status trx 
7900121700047548 // 2026011340100005545
13/01 Support cek di mbase belum ada datanya
13/01 Support infokan tunggu rekon
14/01 Support update + infokan sukses</t>
  </si>
  <si>
    <t>13/01 dayanet tanyakan status trx 7900125000019639 
13/01 Support cek di mbase status error reject
13/01 Support infokan menunggu rekon
14/10 Info dari tim rekon, trx tersebut tidak da
14/10 Support infokan trx tersebut gagal</t>
  </si>
  <si>
    <t>13/01 dayanet tanyakan status trx 7900125000019639 
13/01 Support cek di mbase status aprrvd
13/01 Support infokan sukses</t>
  </si>
  <si>
    <t>14/01 dayanet tanyakan status trx 7900125000019639 
14/01 Support cek di mbase status aprrvd
14/01 Support infokan sukses</t>
  </si>
  <si>
    <t>14/01 dayanet tanyakan status trx 8919101250927471 / NACL1310649748 
14/01 Support cek di mbase apprvd, db cancel
14/01 Rekon infokan sudah settle hari ini, support  update
14/01 infokan sukses</t>
  </si>
  <si>
    <t>14/01 dayanet tanyakan status trx 4041910125041573 / NACL1312208914 
14/01 Support cek di mbase status aprrvd
14/01 Support infokan sukses</t>
  </si>
  <si>
    <t>15/01 dayanet tanyakan status trx 4041910125054681 / NACL1313796252
15/01 Support cek di mbase status aprrvd
15/01 Support infokan sukses</t>
  </si>
  <si>
    <t>15/01 dayanet tanyakan status trx 8919101250733997 / NACL1312092669
15/01 Support cek di mbase status aprrvd
15/01 Support infokan sukses</t>
  </si>
  <si>
    <t>15/01 Kvoucher tanyakan status trx 7900119200378018
15/01 Support cek di mbase dan plink operator stts nya apprvd
15/01 Support infokan sukses</t>
  </si>
  <si>
    <t>16/01 dayanet tanyakan status trx  8903910125041552 / NACL1315520834 
16/01 Support cek di mbase status aprrvd
16/01 Support infokan sukses</t>
  </si>
  <si>
    <t>16/01 Nobecul tanyakan status trx 7900121700098127
16/01 Support cek di mbase belum ada
16/01 Support infokan tunggu rekon
19/01 Support infokan trx gagal</t>
  </si>
  <si>
    <t>16/01 dayanet tanyakan status trx 7900125000072032 / NACL1315943678
16/01 Support cek di mbase dan db status aprrvd
16/01 Support infokan sukses</t>
  </si>
  <si>
    <t>16/01 dayanet tanyakan status trx 7900125000091808 / NACL1315607997
16/01 Support cek di mbase dan db status aprrvd
16/01 Support infokan sukses</t>
  </si>
  <si>
    <t>16/01 dayanet tanyakan status trx 7900125000047878 / NACL1316096152
16/01 Support cek di mbase dan db status aprrvd
16/01 Support infokan sukses</t>
  </si>
  <si>
    <t>16/01 dayanet tanyakan status trx  7900125000073272
16/01 Support cek di mbase status aprrvd
16/01 Support infokan sukses</t>
  </si>
  <si>
    <t>16/01 dayanet tanyakan status trx  NACL1315540385 // 4041910125033658
16/01 Support cek di mbase status aprrvd
16/01 Support infokan sukses</t>
  </si>
  <si>
    <t>17/01 Baraka tanyakan status trx  4041910120593772
17/01 Support cek di mbase status aprrvd
17/01 Support infokan sukses</t>
  </si>
  <si>
    <t>18/01 dayanet tanyakan status trx  NACL1315944674 // 4041910125099558
18/01 Support cek di mbase status aprrvd
18/01 Support infokan sukses</t>
  </si>
  <si>
    <t>PT ENVOIZ DIGITAL INDONESIA</t>
  </si>
  <si>
    <t>18/01 envoiz infokan Mohon Dijadikan Paid Pada Dashboard Plink status trx  NACL1315944674 // 4041910125099558
18/01 Support cek di mbase status error aprrvd
18/01 Support update</t>
  </si>
  <si>
    <t>18/01 DNT tanyakan status trx NACL1315944538 // 4041910125005082
18/01 Support cek di dashboard sudah setld
18/01 Support info trx sukses</t>
  </si>
  <si>
    <t>18/01 DNT tanyakan status trx NACL1315944541 // 4041910125045558 
18/01 Support cek di dashboard sudah setld
18/01 Support info trx sukses</t>
  </si>
  <si>
    <t>18/01 envoiz tanyaakan status trx apakah sudah berhasil  NACL1315944674 // 4041910125099558
18/01 Support cek di mbase status cancel, support update
18/01 Support info trx sukses dan status sudah di update</t>
  </si>
  <si>
    <t>19/01 Nobecul tanyakan status trx 7900121700028196
19/01 Support cek di dashboard stts nya on prg
19/01 Support info tunggu rekon
19/01 Support update + infokan sukses</t>
  </si>
  <si>
    <t>19/01 Nobecul tanyakan status trx 7900121700043490
19/01 Support cek di dashboard stts nya on prg
19/01 Support info tunggu rekon
19/01 Support infokan trx gagal</t>
  </si>
  <si>
    <t>19/01 Nobecul tanyakan status trx 7900121700020357 / 2026011940100005967
19/01 Support cek di mbase blm ditemukan
19/01 Support info tunggu rekon
19/01 Support update + infokan sukses</t>
  </si>
  <si>
    <t>19/01 Nobecul tanyakan status trx 7900121700000565 / 2026011842500187263
19/01 Support cek di mbase blm ditemukan
19/01 Support info tunggu rekon
20/01 support infokan sukses</t>
  </si>
  <si>
    <t>19/01 Req masuk + support meminta kronologis dkk
21/01 belum ada update</t>
  </si>
  <si>
    <t>19/01 Req masuk
20/01 support konfirmasi karena banyak data yang berulang + BRI ack
21/01 belum ada update</t>
  </si>
  <si>
    <t>19/01 Req masuk
20/01 support melampirkan EVOA</t>
  </si>
  <si>
    <t>20/01 Req masuk + support teruskan ke NOBU
20/01 DONE</t>
  </si>
  <si>
    <t>Harrison, Angela &lt;AHARRISON@beckman.com&gt;</t>
  </si>
  <si>
    <t>20/01 req masuk
20/01 Support melampirkan invoice</t>
  </si>
  <si>
    <t>ivan stepanus &lt;ivanstepanus28@gmail.com&gt;</t>
  </si>
  <si>
    <t>20/01 req masuk
20/01 support infokan trx sukses dan sarankan customer untuk menghubungi pihak merchant</t>
  </si>
  <si>
    <t>PT Kreasi Kode Kreatif
PT TEKNOLOGI AWAN CERAH</t>
  </si>
  <si>
    <t xml:space="preserve">20/01 req masuk + support meminta kronologis dkk
21/01 belum ada update
26/01 bca konfirmasi apakah ada sisa dana yang bisa diselamatkan
26/01 support info jika terbukti maka bisa di refund
</t>
  </si>
  <si>
    <t>21/01 req masuk + support teruskan ke nobu
21/01 DONE</t>
  </si>
  <si>
    <t>Layla Lidyawati &lt;laylalidyawati@gmail.com&gt;</t>
  </si>
  <si>
    <t>21/01 req masuk, customer infokan tidak memiliki tagihan tetapi dihubungi oleh orang tidak dikenal dan dipaksa membayar
21/01 support meminta kronologis dkk
21/01 cust melampirkan data + support teruskan ke kvoucher
21/01 kvoucher infokan bisa memotong dana settelment
21/01 support meminta capture no rekening + nama
21/01 cust melampirkan data nya
22/01 support req hold dana ke finance
23/01 finance infokan sudah hold dana
23/01 support minta approval pak karno
27/01 support meminta finance untuk tf ke rekening customer
30/01 DONE</t>
  </si>
  <si>
    <t>Tidak ada tagihan tetapi dihubungi oleh orang tidak dikenal dan dihimbau untuk transfer dana</t>
  </si>
  <si>
    <t>20/01 req masuk
21/01 DONE</t>
  </si>
  <si>
    <t>20/01 req masuk
21/01 support melampirkan EVOA</t>
  </si>
  <si>
    <t>18/01 DNT tanyakan status trx NACL1316052222 // 8919101250747955 
18/01 Support cek di dashboard cancel, dan di pg admin APRVD,  support update status pada dashboard
18/01 Support info trx sukses</t>
  </si>
  <si>
    <t>18/01 DNT tanyakan status trx NACL1315701175 // 8919101250699409
18/01 Support cek di dashboard cancel, dan di pg admin APRVD, support update status pada dashboard
18/01 Support info trx sukses</t>
  </si>
  <si>
    <t>18/01 DNT tanyakan status trx 
NACL1316379654 // 4041910125061475
18/01 Support cek di dashboard SETLD
18/01 Support info trx sukses</t>
  </si>
  <si>
    <t>metallic001@163.com</t>
  </si>
  <si>
    <t>06/01 Customer request bukti transaksi untuk eVisa 
06/01 Support cek bukti pembayaran wisman karena wisman sudah mengirimkan bukti pembayaran
06/01 Support investigasi menggunakan no CC yang diberikan
06/01 Support melampirkan bukti transkasi eVisa</t>
  </si>
  <si>
    <t>19/01 nobecul tanyakan status trx  7900121700001312 
19/01 Support cek di mbase aprrvd
19/01 Support info sukses</t>
  </si>
  <si>
    <t>18/01 DNT tanyakan status trx 
NACL1320430158 // 7900125000045043
18/01 Support cek di dashboard SETLD
18/01 Support info trx sukses</t>
  </si>
  <si>
    <t>18/01 DNT tanyakan status trx 
NACL1320430006 // 7900125000079405
18/01 Support cek di dashboard SETLD
18/01 Support info trx sukses</t>
  </si>
  <si>
    <t>06/01 Customer request bukti transaksi untuk eVisa 
06/01 Support cek bukti pembayaran wisman karena wisman sudah mengirimkan bukti pembayaran
06/01 Support investigasi menggunakan no inv yang diberikan
06/01 Support melampirkan bukti transkasi eVisa</t>
  </si>
  <si>
    <t>20/01 envoiz minta updatw status trx 8919101249791991 karena di dashboard belum ada
20/01 Support cek di dashboard cancel, dan di pg admin APRVD, support update status pada dashboard
20/01 Support info trx updated</t>
  </si>
  <si>
    <t>20/01 dayanet tanyakan status trx  4041910125013562 // NACL1320431091 
20/01 Support cek di mbase status aprrvd
20/01 Support infokan sukses</t>
  </si>
  <si>
    <t>21/01 dayanet tanyakan status trx  7900125000069067 / NACL1321705813
21/01 Support cek di mbase status aprrvd namun pada db belum ada 
21/01 Support infokan tunggu rekon
22/01 support infokan sukses</t>
  </si>
  <si>
    <t>Felly Khaerunnissah &lt;felly.khaerunnissah@bankmandiri.co.id&gt;</t>
  </si>
  <si>
    <t>21/01 req masuk + support meminta konfirmasi perihal transaksi dilakukan melalui aplikasi atau teller
22/01 mandiri infokan jika trx tersebut diproses melalui m-banking
22/01 support konfirmasi apakah menggunakan credential valid &amp; apakah terdapat pergantian credential
22/01 mandiri konfirm jika credential valid dan tidak ada pergantian credential
29/01 support infokan tidak bisa refund karena trx valid</t>
  </si>
  <si>
    <t>21/01 req masuk + support report</t>
  </si>
  <si>
    <t>22/01 req masuk + support teruskan ke NOBU
22/01 DONE</t>
  </si>
  <si>
    <t>22/01 req masuk + support report</t>
  </si>
  <si>
    <t>22/01 req masuk + support meminta kronologis dkk
22/01 belum ada update
27/01 bca melampirkan data2, kronologis : pelapor dihubungi penipu diinfokan jika memiliki tagihan di apk tunai flexi dan flexi cepat
27/01 support teruskan data tersebut ke merchant 'Pengcekan Transaksi 7900119200379284' &amp; 'Pengcekan Transaksi 7900121700073480'
27/01 nubecul &amp; kvoucher ack
28/01 nubecul &amp; kvoucher info bisa memotong settelment
28/01 support request hold dana ke dinance untuk masing2 merchant
29/01 finance sudah hold dana + support request tf ke customer
30/01 DONE</t>
  </si>
  <si>
    <t>22/01 req masuk + support meminta kronologis dkk
22/01 belum ada update</t>
  </si>
  <si>
    <t>23/01 req masuk + support teruskan ke NOBU
23/01 DONE</t>
  </si>
  <si>
    <t>21/01 Undira tanyakan status trx  4041910112322156
21/01 Support cek di mbase status cancel , koordinasi dengan rekon infonya akan di setle esok hari
21/01 Support update status dan infokan trx sukses</t>
  </si>
  <si>
    <t>21/01 DNT tanyakan status trx  NACL1322650518 // 7900125000085031
21/01 Support cek di dashboard trx setld
21/01 Supportinfokan sukses</t>
  </si>
  <si>
    <t>22/01 Kvoucher tanyakan status trx  7900119200400116
22/01 Support cek di mbase status aprrvd
22/01 Support infokan sukses</t>
  </si>
  <si>
    <t>22/01 dayanet tanyakan status trx  7900121700026746 
7900121700053083 
22/01 Support cek di mbase status aprrvd namun pada db cancel 
22/01 Support infokan team terkait
22/01 Support infokan bahwa sudah setld</t>
  </si>
  <si>
    <t>22/01 Kvoucher tanyakan status trx  7900119200410358
22/01 Support cek di mbase dan plink stts reject karena beda nominal
22/01 Support infokan gagal</t>
  </si>
  <si>
    <t>22/01 DNT tanyakan status trx  4041910125053664 / NACL1324344692
22/01 Support cek di mbase dan db stts cancel
22/01 Support infokan tunggu rekon
23/01 support infokan gagal</t>
  </si>
  <si>
    <t>22/01 Envoiz tanyakan status trx 4041910124987054 / NACL1324343589
22/01 Support cek di mbase dan db stts cancel
22/01 Support infokan tunggu rekon
22/01 support infokan trx gagal</t>
  </si>
  <si>
    <t>22/01 DNT tanyakan status trx 7900125000027135 / NACL1286532135
22/01 Support cek di mbase dan db status aprrvd
22/01 Support infokan sukses</t>
  </si>
  <si>
    <t>Putri Afsari &lt;putriafsari3@gmail.com&gt;</t>
  </si>
  <si>
    <t>PT Daya Net Gemilang
PT ENVOIZ DIGITAL INDONESIA</t>
  </si>
  <si>
    <t>23/01 req masuk, cust melampirkan surat kepolisian dimana ada iklan belajar investasi di aplikasi stonehall (customer trading beberapa kali)
23/01 support meminta kronologis dkk
29/01 cust melampirkan bukti kronologis (belajar investasi di apk stownhall)
29/01 support teruskan ke envoiz dan dayanet
29/01 merchant info tidak bersedia refund
02/02 merchant meminta mutasi rekening customer terkait trx tersebut + support request ke customer
02/02 customer melmpirkan bukti mutasi + support teruskan ke merchant
03/02 envoiz ack
23/02 envoiz infokan hanya tercatat 3 VA saja. dan menanyakan apakah user sdh menghubungi plink
24/02 envoiz infokan jika sudah diselesaikan oleh menegement envoiz &amp; prismalink</t>
  </si>
  <si>
    <t>23/01 req masuk + support teruskan ke cerdik
29/01 belum ada update</t>
  </si>
  <si>
    <t>26/01 req masuk + support teruskan ke NOBU
26/01 DONE</t>
  </si>
  <si>
    <t>26/01 req masuk
26/01 DONE</t>
  </si>
  <si>
    <t>27/01 req masuk + support report</t>
  </si>
  <si>
    <t>27/01 req masuk + support teruskan ke NOBU
27/01 DONE</t>
  </si>
  <si>
    <t>Merchant Resolution &lt;merchant.resolution@nobubank.com&gt;</t>
  </si>
  <si>
    <t>(PRODUK Tdk Diterima Customer, 
SWITCHING &amp; ACQ telah credit dana)</t>
  </si>
  <si>
    <t>Request STATUS TRANSAKSI (ACQ NOBU)
(PRODUK Tdk Diterima Customer, 
SWITCHING &amp; ACQ telah credit dana)
Surat DISPUTE dari NOBU
email : Dispute 27012026 PT PRISMALINK INTERNATIONAL
11120012625936300</t>
  </si>
  <si>
    <t>27/01 req masuk + support lampirkan evidence trx sukses
27/01 DONE</t>
  </si>
  <si>
    <t>1. Memastikan status transaksi pada Dashboard
     IF "Transaksi GAGAL", AND "Dana TDK MASUK" (via rekon) then "Infokan GAGAL"
     IF "Transaksi SUKSES", AND "Dana MASUK" (via rekon) then "Infokan SUKSES"</t>
  </si>
  <si>
    <t>tirta ciputra &lt;tirtacipuutra@gmail.com&gt;</t>
  </si>
  <si>
    <t>27/01 req masuk dengan kronologi customer dihubungi admin treding &amp; diarabkan untuk payment melalui QR &amp; VA guna pencairan keuntungan &amp; trading
27/01 support teruskan ke merchant 'FW: Pengecekan VA 7900125000009074'
29/01 FU daya net
29/01 daya net info jika bersedia di refund
04/02 support infokan jika detail VA tersebut dr mana &amp; sarankan customer untuk melaporkan pemilik VA tersebut</t>
  </si>
  <si>
    <t>yangwj40 &lt;yangwj40@aliyun.com&gt;</t>
  </si>
  <si>
    <t>28/01 req masuk
28/01 support meminta info cc yang digunakan
28/01 cust melampirkan no cc yang digunakan + support melampirkan EVOA</t>
  </si>
  <si>
    <t>28/01 req masuk + support teruskan ke NOBU
29/01 DONE</t>
  </si>
  <si>
    <t>26/01req masuk
27/01 DONE</t>
  </si>
  <si>
    <t>23/01 Nobecul tanyakan status trx  8919101217399665 
23/01 Support cek di mbase status onprg namun pada db cancel 
23/01 Support infokan team terkait
23/01 Support infokan sukses krn sudah setld</t>
  </si>
  <si>
    <t>23/01 Envoiz tanyakan status trx  8919101249933262 
8919101249354527  
23/01 Support cek di mbase status onprg namun pada db cancel 
23/01 Support infokan team terkait
23/01 Support infokan untuk va 
8919101249933262 sukses karena sudah setld di dashboard 23/01 Support infokan untuk va 
8919101249354527 sukses karena sudah setld di dashboard</t>
  </si>
  <si>
    <t>23/01 Dayanet tanyakan status trx  4041910125089630
23/01 Support cek di mbase status miss pada db no result
23/01 Support infokan team terkait
23/01 Support infokan trx tersebut tidak ada</t>
  </si>
  <si>
    <t>23/01 DNT tanyakan status trx 7900125000040510 / NACL1327032681
23/01 Support cek di mbase status cancel CANCLSCHEDULER dan db cancel
23/01 Info ko daniel gagal karena beda amount</t>
  </si>
  <si>
    <t>23/01 DNT tanyakan status trx 7900125000073300 / NACL1327217086
23/01 Support cek di mbase dan db status aprrvd
23/01 Support infokan sukses</t>
  </si>
  <si>
    <t>23/01 Nobecul tanyakan status trx 8919101217001496
23/01 Support up BNI
23/01 BNI infokan sudah berhasil callback
23/01 Support cek mbase dan db stts apprvd, infokan sukses</t>
  </si>
  <si>
    <t>23/01 Nobecul tanyakan status trx 8919101217693028
23/01 Support up BNI
23/01 BNI infokan sudah berhasil callback
23/01 Support cek mbase dan db stts apprvd, infokan sukses</t>
  </si>
  <si>
    <t>25/01  tim imigrasai menanyakan trx berhasil atau tidak
25/01 support cek di mbase dan pcs, status trx declined
25/01 support infokan jika trx tersebut gagal, case closed</t>
  </si>
  <si>
    <t>25/01 nobecul tanyakan status trx  NACL1330061384 // 8903910125040627 
25/01 Support cek di mbase status aoorv
25/01 Support infokan menunggu sukses</t>
  </si>
  <si>
    <t>SOP #06</t>
  </si>
  <si>
    <t>1. Pastikan merchant valid
2. Check MBASE dan PCS
3.  Memastikan status transaksi pada Dashboard
     IF "Transaksi REJECT",  then "Infokan GAGAL"
     IF "Transaksi SUKSES",  then "Infokan SUKSES"</t>
  </si>
  <si>
    <t>25/01 nobecul tanyakan status trx 7900121700083691
25/01 Support cek di mbase apprvd namun db stts pending
25/01 Support infokan tunggu rekon
26/01 pada dashboard sudah sukses dan sudah di infokan ke merchant</t>
  </si>
  <si>
    <t>25/01 nobecul tanyakan status trx 7900121700004701
25/01 Support cek di mbase apprvd namun db stts pending
25/01 Support infokan tunggu rekon
26/01 pada dashboard sudah sukses dan sudah di infokan ke merchant</t>
  </si>
  <si>
    <t>26/01 DNT tanyakan status trx 
NACL1331499631 / 7900125000077172  
26/01 Support cek di mbase apprvd 
26/01 Support infokan sukses</t>
  </si>
  <si>
    <t>26/01 DNT tanyakan status trx 
8903910125069742 - NACL1331499571                                     
8903910124933864 - NACL1331469037 
26/01 Support cek di mbase apprvd 8903910125069742 dan satu lagi 8903910124933864 bukan trx merchant tersebut
26/01 Infokan sesuai hasil pengecekan</t>
  </si>
  <si>
    <t>26/01 K Voucher tanyakan status trx 
7900119200400116
26/01 Support cek di operator trx setld
26/01 Infokan sesuai hasil pengecekan</t>
  </si>
  <si>
    <t>26/01 Dayanet tanyakan status trx  7900125000056914  
26/01 Support cek di mbase no result
26/01 Support infokan menunggu rekon esok hari
27/01 Info dari rekon dananya tidak ada
27/01 Support Infokan trx gagal</t>
  </si>
  <si>
    <t>BCA
BRI</t>
  </si>
  <si>
    <t>26/01 Dayanet tanyakan status trx  4041910125061742 // NACL1331498692
7900125000009069 // NACL1331498558  
26/01 Support cek di mbase APRV
26/01 Support infokan SUKSES</t>
  </si>
  <si>
    <t>26/01 envoiz tanyakan status trx  4041910124967730   
26/01 Support cek di mbase no result
26/01 Support infokan menunggu rekon esok hari (updated sukses)</t>
  </si>
  <si>
    <t>Pergiyuks</t>
  </si>
  <si>
    <t>26/01 pergiyuks tanyakan status trx  001746988257
26/01 Support fu ke nobu, info nobu trx gagal 26/01 Support infokan gagal</t>
  </si>
  <si>
    <t>27/01 Nobecul tanyakan status trx  7900121700082166
27/01 Support cek di mbase no result
27/01 Support infokan menunggu rekon
27/01 Info dari rekon dananya sudah settle
27/01 Support infokan trx sukses</t>
  </si>
  <si>
    <t>27/01 Tripay tanyakan status trx 4041910117952239
27/01 Support cek di mbase ada 2 dana dan stts aprvd
27/01 Support up team rekon dan rekon infokan sudah settle tgl 6 &amp; 8 
27/01 Support infokan sukses</t>
  </si>
  <si>
    <t>27/01 K Voucher tanyakan status trx 7900119200400116
27/01 Support cek di mbase status aprvd
27/01 Support infokan sukses</t>
  </si>
  <si>
    <t>27/01 DNT tanyakan status trx 
8903910125030001 and ID NACL1332628995   
27/01 Support cek di mbase status aprvd
27/01 Support infokan sukses</t>
  </si>
  <si>
    <t>27/01 K dayanet tanyakan status trx 7900125000092794
27/01 Support cek di mbase status error
27/01 Support infokan gagal</t>
  </si>
  <si>
    <t>27/01  tim imigrasai menanyakan trx berhasil atau tidak
27/01 support cek di mbase dan pcs, status trx declined
27/01 support infokan jika trx tersebut gagal, case closed</t>
  </si>
  <si>
    <t>SOP #08</t>
  </si>
  <si>
    <t>CHARLES GREENWALD &lt;charles.greenwald@fedex.com&gt;</t>
  </si>
  <si>
    <t>28/01 req masuk meminta proof of payment
28/01 support meminta info cc yang digunakan
28/01 cust melampirkan cc yang digunakan
29/01 belum ada update
03/02 cust melampirkan cc + support melampirkan evoa</t>
  </si>
  <si>
    <t>Emma Harris &lt;erh116166@icloud.com&gt;</t>
  </si>
  <si>
    <t>28/01 req masuk menanyakan refund karena trx gagal
28/01 support meminta info cc yang digunakan
28/01 cust melampirkan info cc yang digunakan
28/01 support infokan jika no cc tersebut tidak terdaftar, jika customer merasa dana terpotong sarankan agar customer menghubungi bank penyedia</t>
  </si>
  <si>
    <t>Tayla Stephens &lt;tayla.stephens@icloud.com&gt;</t>
  </si>
  <si>
    <t>28/01 req masuk dana terpotong tapi EVISA belum diterima
28/01 support meminta info cc yang digunakan
28/01 cust melampirkan info cc yang digunakan
28/01 support infokan jika tidaka da trx sukses untuk cc tersebut dan sarankan agar cust coba lagi</t>
  </si>
  <si>
    <t>Ebanking non kartu &lt;fraudnonkartu.ord@corp.bri.co.id&gt;</t>
  </si>
  <si>
    <t>28/01 req masuk + support meminta kronologis dkk
29/01 belum ada update</t>
  </si>
  <si>
    <t>28/01 req masuk + support infokan jika trx status nya sukses</t>
  </si>
  <si>
    <t>29/01 req masuk + support teruskan ke NOBU
30/01 DONE</t>
  </si>
  <si>
    <t>28/01  tim imigrasai menanyakan trx dengan no regist 2280126B1521348
28/01 support cek di mbase ada dan stts nya onprg
28/01 support infokan bahwa trx failed karena usernya tidak melanjutkan proses payment</t>
  </si>
  <si>
    <t>PT Bali Dawaves Surf</t>
  </si>
  <si>
    <t>29/01  Nebesa menanyakan trx dengan no regist 487410**4576
432338**5118
29/01 support cek di mbase ada dan stts nya eror reject
29/01 support infokan bahwa trx failed karena kartu terblocked karena negara ukraina (high risk country)</t>
  </si>
  <si>
    <t>29/01 req masuk + support meminta kronologis dkk</t>
  </si>
  <si>
    <t>Thomas Higgs &lt;tomhiggs94@gmail.com&gt;</t>
  </si>
  <si>
    <t>29/01 req refund
29/01 support info trx tersebut status failed jadi customer bisa check berkala</t>
  </si>
  <si>
    <t>29/01 req masuk + support konfim rekon perihal dana
30/01 rekon konfirm jika dana belum dilimpahkan
30/01 support request finance untuk tf ke rekening penampung BCA
30/01 finance tf ke rekening penampung BCA
30/01 DONE</t>
  </si>
  <si>
    <t>30/01 req masuk + support teruskan ke NOBU
30/01 DONE</t>
  </si>
  <si>
    <t>30/02/2026</t>
  </si>
  <si>
    <t>30/01 req masuk
30/01 DONE</t>
  </si>
  <si>
    <t>30/01 req masuk
03/02 DONE</t>
  </si>
  <si>
    <t>30/01 req masuk + support teruskan ke cerdik
30/01 support teruskan ke cerdik + teruskan request hold dana ke finance
03/02 DONE
19/02 BRI info akan lakukan pendebetan karena lewat due date
20/02 support infokan jika sudah kirim bukti tgl 03/02</t>
  </si>
  <si>
    <t>Dylan Niel &lt;dylan.niel@icloud.com&gt;</t>
  </si>
  <si>
    <t>30/01 req masuk dengan customer infokan jika melakukan pembayaran 3x untuk 2 visa
30/01 support meminta info cc yang digunakan
04/02 belum ada update</t>
  </si>
  <si>
    <t>Zhu Davide &lt;davidezhu@hotmail.com&gt;</t>
  </si>
  <si>
    <t xml:space="preserve">02/02 req masuk infokan jika sudah proses payment dan meminta refund &amp; verifikasi sttatus trx tersebut
02/02 support infokan jika trx tersebut sukses &amp; tidak bisa melakukan refund </t>
  </si>
  <si>
    <t>02/02 req masuk + support teruskan ke NOBU
02/02 DONE</t>
  </si>
  <si>
    <t xml:space="preserve">29/01  Da waves surf menanyakan trx dengan no cc 535240**5146
29/01 support cek di mbase ada dan stts aprvd
29/01 support infokan bahwa trx sukses </t>
  </si>
  <si>
    <t xml:space="preserve">Request STATUS TRANSAKSI
(PRODUK Tdk Diterima, namun ada bukti TRANSFER)
7900125000059771 / NACL1336288846   </t>
  </si>
  <si>
    <t>29/01 DNT tanyakan trx 7900125000059771 / NACL1336288846
29/01 Support cek di mbase reject dan di db cancel
29/01 Support up rekon dan rekon infokan dana tidak ada
29/01 Support infokan trx gagal</t>
  </si>
  <si>
    <t>Request STATUS TRANSAKSI
(PRODUK Tdk Diterima, namun ada bukti TRANSFER)
7900121700017780</t>
  </si>
  <si>
    <t>29/01 Nobecul tanyakan trx 7900121700017780
29/01 Support cek di mbase stts onprg
29/01 Support infokan tunggu rekon
30/01 Support infokan ke team terkait untuk update
30/01 Support infokan sukses krn di db sudah setld</t>
  </si>
  <si>
    <t>Request STATUS TRANSAKSI
(PRODUK Tdk Diterima, namun ada bukti TRANSFER)
7900125000004746</t>
  </si>
  <si>
    <t>30/01 DNT tanyakan trx 7900125000004746 
30/01 Support cek di mbase approve
30/01 Support infokan trx sukses</t>
  </si>
  <si>
    <t>Request STATUS TRANSAKSI
(PRODUK Tdk Diterima, namun ada bukti TRANSFER)
4041910125039671 / NACL1339605458</t>
  </si>
  <si>
    <t>30/01 Dayanet tanyakan trx 4041910125039671 / NACL1339605458 
30/01 Support cek di mbase approve
30/01 Support infokan trx sukses</t>
  </si>
  <si>
    <t>Request STATUS TRANSAKSI
(PRODUK Tdk Diterima, namun ada bukti TRANSFER)
7900117900065714</t>
  </si>
  <si>
    <t>01/02 Tripay tanyakan trx 7900117900065714
01/02 Support cek di mbase eror reject
01/02 Support infokan trx gagal</t>
  </si>
  <si>
    <t>03/02 req masuk + support teruskan ke NOBU
03/02 DONE</t>
  </si>
  <si>
    <t>03/02 req masuk
03/02 DONE</t>
  </si>
  <si>
    <t>03/02 KKD KONFIRMASI Pre-Arbitrasi 
03/02 Support infokan jika terdapat request Pre-Arb dari Bank</t>
  </si>
  <si>
    <t>PT Kreasi Kode Kreatif
PT TEKNOLOGI AWAN CERAH</t>
  </si>
  <si>
    <t>03/02 req masuk + support meminta kronologis dkk
04/02 belum ada update
10/02 bca melampirkan kronologi tp data yang dilampirkan salah</t>
  </si>
  <si>
    <t>Ziva Steckyte &lt;stz@vistajet.com&gt;</t>
  </si>
  <si>
    <t>03/02 req masuk request payment receipt
03/02 DONE</t>
  </si>
  <si>
    <t>Lisa Lorena &lt;lisalorena.4500@gmail.com&gt;</t>
  </si>
  <si>
    <t>04/02 req masuk + support meminta info cc yang digunakan
10/02 belum ada update</t>
  </si>
  <si>
    <t>03/02 req masuk + support lampirkan EVOA</t>
  </si>
  <si>
    <t xml:space="preserve">Request STATUS TRANSAKSI
(PRODUK Tdk Diterima, namun ada bukti TRANSFER)
NACL1345708453  </t>
  </si>
  <si>
    <t>02/02 dayanet tanyakan trx NACL1345708453 
02/02 Support cek di mbase APPRV
02/02 Support infokan trx SUKSES</t>
  </si>
  <si>
    <t xml:space="preserve">Request STATUS TRANSAKSI
(PRODUK Tdk Diterima, namun ada bukti TRANSFER)
NACL1333952445 // 7900125000086973   </t>
  </si>
  <si>
    <t>02/02 dayanet tanyakan trx NACL1333952445 // 7900125000086973  
02/02 Support cek di mbase error
02/02 Support infokan trx gagal</t>
  </si>
  <si>
    <t>Request STATUS TRANSAKSI
(PRODUK Tdk Diterima, namun ada bukti TRANSFER)
4041913203100010</t>
  </si>
  <si>
    <t>02/02 PAYLABS tanyakan trx 4041913203100010   
02/02 Support cek di mbase appr
02/02 Support infokan trx sukses</t>
  </si>
  <si>
    <t xml:space="preserve">Request STATUS TRANSAKSI
(PRODUK Tdk Diterima, namun ada bukti TRANSFER)
7900121700015415 / 2026020140100560134  </t>
  </si>
  <si>
    <t>02/02 Nobcul tanyakan trx 7900121700015415 / 2026020140100560134       
02/02 Support cek di mbase appr
02/02 Support infokan trx sukses</t>
  </si>
  <si>
    <t>Request STATUS TRANSAKSI
(PRODUK Tdk Diterima, namun ada bukti TRANSFER)
7900117900086833</t>
  </si>
  <si>
    <t>02/02 Tripay tanyakan trx 7900117900086833     
02/02 Support cek di mbase cancel
02/02 Support infokan trx gagal</t>
  </si>
  <si>
    <t>03/02 Baraka tanyakan trx 8919101205078593 / Tx-Bar-182-260202     
03/02 Support cek di mbase error aprvd dan di bd cancel
03/02 support update
03/02 Support infokan trx sukses</t>
  </si>
  <si>
    <t>Request STATUS TRANSAKSI
(PRODUK Tdk Diterima, namun ada bukti TRANSFER)
7900125000099921 // NACL1345799183</t>
  </si>
  <si>
    <t>03/02 DNT tanyakan trx 7900125000099921 // NACL1345799183    
03/02 Support cek di mbase aprvd &amp; Cek DB SETLD
 03/02 Support infokan trx sukses</t>
  </si>
  <si>
    <t xml:space="preserve">03/02 DNT tanyakan trx 7900125000030059 //  NACL1345776002    
03/02 Support cek di mbase cancel &amp; Cek DB cancel, lalu cek agre nominal bayar dan tagihan tidak sesuai
 03/02 Support infokan trx gagal
</t>
  </si>
  <si>
    <t>03/02 baraka tanyakan trx1551200000096397 
03/02 Support cek di mbase appr
03/02 Support infokan trx sukses</t>
  </si>
  <si>
    <t>03/02 baraka tanyakan trx 4041910121477157 
03/02 Support cek di mbase no results
03/02 Support  update statusnya dan infokan trx sukses</t>
  </si>
  <si>
    <t>03/02 kvoucher tanyakan trx 7900119200458531 apakah diterima 2x 
03/02 Support cek di mbase benar ada 2trx utk va tersebut
03/02 Support infokan jika trx diterima 2x</t>
  </si>
  <si>
    <t>Request STATUS TRANSAKSI
(PRODUK Tdk Diterima, namun ada bukti TRANSFER)
7900125000071031</t>
  </si>
  <si>
    <t>03/02 dayanet tanyakan trx 7900125000071031 
03/02 Support cek di mbase reject 
03/02 Support infokan jika trx gagal</t>
  </si>
  <si>
    <t>Request STATUS TRANSAKSI
(PRODUK Tdk Diterima, namun ada bukti TRANSFER)
8919101217343899</t>
  </si>
  <si>
    <t>03/02 nobecul tanyakan trx 8919101217343899  
03/02 Support cek di mbase apprv 
03/02 Support infokan jika trx sukses</t>
  </si>
  <si>
    <t xml:space="preserve">04/02 Nobecul tanyakan trx 7900121700048952
04/02 Support cek di mbase aprvd dan db cancel
04/02 Support infokan trx sukses
04/02 Support infokan ke team terkait untuk dilakukan update </t>
  </si>
  <si>
    <t>04/02 Req masuk + support teruskan ke NOBU
04/02 DONE</t>
  </si>
  <si>
    <t>PT Envoiz Digital Indonesia</t>
  </si>
  <si>
    <t>04/02 req masuk + support meminta kronologis dkk</t>
  </si>
  <si>
    <t>05/02 Req masuk + support teruskan ke NOBU
05/02 DONE</t>
  </si>
  <si>
    <t>fahrialbaihaqi22@gmail.com</t>
  </si>
  <si>
    <t>05/02 req masuk, user melampirkan bukti transfer
05/02 support infokan jika sukses 2x dan sudah diteruskan ke merchant &amp; sarankan merchant untuk menghubungi merchant langsung</t>
  </si>
  <si>
    <t>SY L &lt;lishuyao126@gmail.com&gt;</t>
  </si>
  <si>
    <t>(Customer request payment receipt)</t>
  </si>
  <si>
    <t xml:space="preserve">05/02 req masuk + support melampirkan payment receipt
</t>
  </si>
  <si>
    <t>05/02 req masuk + support meminta kronologis dkk</t>
  </si>
  <si>
    <t>06/02 req masuk + support teruskan ke NOBU
06/02 DONE</t>
  </si>
  <si>
    <t>Request STATUS TRANSAKSI
(PRODUK Tdk Diterima, namun ada bukti TRANSFER)
7900124900029798</t>
  </si>
  <si>
    <t>04/02 Envoiz tanyakan trx 7900124900029798  / NACL1346952833
04/02 Support cek di mbase aprvd dan db settled
04/02 Support infokan trx sukses</t>
  </si>
  <si>
    <t>04/02 Nobecul tanyakan trx 7900121700079152
04/02 Support cek di server 25 pndg di 119 apprvd dan info dari rekon sudah settle, di db masih belum ditemukan
04/02 Support infokan ke team terkait untuk dilakukan update</t>
  </si>
  <si>
    <t>Request STATUS TRANSAKSI
(PRODUK Tdk Diterima, namun ada bukti TRANSFER)
4041910117986475 / T3422430371014M6NNS</t>
  </si>
  <si>
    <t>05/02 Tripay tanyakan trx 4041910117986475 / T3422430371014M6NNS
05/02 Support cek di mbase aprvd 
05/02 Support infokan trx sukses</t>
  </si>
  <si>
    <t>Request STATUS TRANSAKSI
(PRODUK Tdk Diterima, namun ada bukti TRANSFER)
4041910125056745 / NACL1351511663</t>
  </si>
  <si>
    <t>05/02 DNT tanyakan trx 4041910125056745 / NACL1351511663
05/02 Support cek di mbase aprvd 
05/02 Support infokan trx sukses</t>
  </si>
  <si>
    <t>Request STATUS TRANSAKSI
(PRODUK Tdk Diterima, namun ada bukti TRANSFER)
7900124900056239 / NACL1351676705</t>
  </si>
  <si>
    <t>Request STATUS TRANSAKSI
(PRODUK Tdk Diterima, namun ada bukti TRANSFER)
T463983057318540S1I //
7900117900062502</t>
  </si>
  <si>
    <t>05/02 Tripay tanyakan trx 7900117900062502 
05/02 Support cek di mbase dan plink VA nya belum ditemukan
05/02 Support infokan tunggu rekon
06/02 support infokan trx gaga</t>
  </si>
  <si>
    <t>Request STATUS TRANSAKSI
(PRODUK Tdk Diterima, namun ada bukti TRANSFER)
8903910125059726 / NACL1352424049</t>
  </si>
  <si>
    <t>05/02 dayaNet tanyakan trx 8903910125059726 / NACL1352424049
05/02 Support cek di mbase dan db sukses
05/02 Support infokan trx sukses</t>
  </si>
  <si>
    <t>Request STATUS TRANSAKSI
(PRODUK Tdk Diterima, namun ada bukti TRANSFER)
8903910125071480 / NACL1352077593</t>
  </si>
  <si>
    <t>05/02 dayaNet tanyakan trx 8903910125071480 / NACL1352077593
05/02 Support cek di mbase dan db sukses
05/02 Support infokan trx sukses</t>
  </si>
  <si>
    <t>Fariq Rais Hakim &lt;Fariq.Hakim@danamon.co.id&gt;</t>
  </si>
  <si>
    <t>06/02 req masuk dr danamon
06/02 support infokan jika trx sukses</t>
  </si>
  <si>
    <t>Josh Lai Say Aik &lt;joshlai_sayaik@waters.com&gt;</t>
  </si>
  <si>
    <t>07/02 req masuk
07/02 support melampirkan payment receipt</t>
  </si>
  <si>
    <t>09/02 req masuk + support teruskan ke NOBU
09/02 DONE</t>
  </si>
  <si>
    <t>09/02 req masuk
13/02 DONE</t>
  </si>
  <si>
    <t>09/02 req masuk + support meminta kronologis dkk
10/02 belum ada update</t>
  </si>
  <si>
    <t>10/02 req masuk + support teruskan ke NOBU
10/02 DONE</t>
  </si>
  <si>
    <t>10/02 req masuk + support meminta kronologis dkk
10/02 belum ada update</t>
  </si>
  <si>
    <t>09/02 req masuk
10/02 DONE</t>
  </si>
  <si>
    <t xml:space="preserve">Request STATUS TRANSAKSI
(PRODUK Tdk Diterima, namun ada bukti TRANSFER)
 7900125000092786 / NACL1354159953 </t>
  </si>
  <si>
    <t>06/02 DNT tanyakan trx  7900125000092786 / NACL1354159953 
06/02 Support cek di mbase aprvd dan db settled
06/02 Support infokan trx sukses</t>
  </si>
  <si>
    <t>06/02 envoiz tanyakan trx  8919101249102581 
06/02 Support  update pada dashboard
06/02 Support infokan updated</t>
  </si>
  <si>
    <t>Hotel Murah</t>
  </si>
  <si>
    <t>06/02 hotelmurah tanyakan trx  P84799588 
06/02 Support cek di dashboard cancel, support cek dashboard nobu ada
06/02 Support infokan trx sukses</t>
  </si>
  <si>
    <t>06/02 Envoiz tanyakan trx  78919101249557168 / NACL1354173022
06/02 Support cek di mbase eror aprvd dan db cancel
06/02 Support infokan team terkait untuk update
06/02 Support infokan trx sukses karena sudah setld di db</t>
  </si>
  <si>
    <t>PT Infra Digital Nusantara</t>
  </si>
  <si>
    <t>Request STATUS TRANSAKSI
(PRODUK Tdk Diterima, namun ada bukti TRANSFER)
8507000000165949</t>
  </si>
  <si>
    <t>PERMATA</t>
  </si>
  <si>
    <t>06/02 IDN tanyakan trx  8507000000165949
06/02 Support cek di operator reject
06/02 Support infokan trx gagal/tidak berhasil</t>
  </si>
  <si>
    <t xml:space="preserve">06/02 Nobecul  tanyakan trx  7900121700033081 / 2026020542500381048 
06/02 Support cek dimbase aprvd dan db pending
06/02 Support infokan pada team terkait untuk update
06/02 Support infokan trx sukses </t>
  </si>
  <si>
    <t>06/02 Envoiz tanyakan trx  7900124900017522 / NACL1354750622
06/02 Support cek di mbase eror aprvd dan db cancel
06/02 Support infokan team terkait untuk update
06/02 Support infokan trx sukses karena sudah setld di db</t>
  </si>
  <si>
    <t>Request STATUS TRANSAKSI
(PRODUK Tdk Diterima, namun ada bukti TRANSFER)
7900125000092903 / NACL1354624702</t>
  </si>
  <si>
    <t>06/02 dnt tanyakan trx 7900125000092903 / NACL1354624702
06/02 Support cek di mbase aprvd dan db sukses
06/02 Support infokan trx sukses karena sudah setld di db</t>
  </si>
  <si>
    <t>06/02 Baraka tanyakan trx 1551200000089490
06/02 Support cek di mbase aprvd dan db pending
06/02 Support update
06/02 Support infokan trx sukses karena sudah setld di db</t>
  </si>
  <si>
    <t>Request STATUS TRANSAKSI
(PRODUK Tdk Diterima, namun ada bukti TRANSFER)
4041913274578000</t>
  </si>
  <si>
    <t>09/02 paylabs tanyakan trx  4041913274578000  
09/02 Support cek di dashboard apprv
09/02 Support infokan trx sukses</t>
  </si>
  <si>
    <t>Request STATUS TRANSAKSI
(PRODUK Tdk Diterima, namun ada bukti TRANSFER)
4041910125089630</t>
  </si>
  <si>
    <t>09/02 dnt tanyakan trx  4041910125089630   
09/02 Support cek di dashboard dan mbase no result
09/02 Support infokan trx gagal</t>
  </si>
  <si>
    <t xml:space="preserve">Request STATUS TRANSAKSI
(PRODUK Tdk Diterima, namun ada bukti TRANSFER)
4041910124910645 dengan ID NACL1359542459 </t>
  </si>
  <si>
    <t>09/02 dnt tanyakan trx  4041910124910645 dengan ID NACL1359542459   
09/02 Support cek di dashboard dan mbase apprv
09/02 Support infokan trx sukses</t>
  </si>
  <si>
    <t>10/02 Hotel Murah tanyakan trx dengan RRN 117342836 / Merchant Ref P85129951
10/02 Support cek di db Nobu RRN dan MTN nya ada
10/02 cek MTN di db prismalink, stts nya cancel sehingga support up ke Nobu untuk cek lebih lanjut
10/02 Nobu infokan trx sukses, done infokan ke merch</t>
  </si>
  <si>
    <t>10/02 Hotel Murah tanyakan trx dengan RRN 604163150134 / RRN Qris 1llj77103939 / merchant ref no P85130928
10/02 Support cek di db Nobu RRN dan MTN nya ada
10/02 cek MTN di db prismalink, stts nya cancel sehingga support up ke Nobu untuk cek lebih lanjut</t>
  </si>
  <si>
    <t>10/02 Hotel Murah tanyakan trx dengan RRN 017975853845 / merc ref no P85129952
10/02 Support cek di db Nobu RRN dan MTN nya ada
10/02 cek MTN di db prismalink, stts nya cancel sehingga support up ke Nobu untuk cek lebih lanjut</t>
  </si>
  <si>
    <t>10/02 Hotel Murah tanyakan trx dengan RRN AX4UR577V3AN / merc ref no P85132190  
10/02 Support cek di db Nobu RRN dan MTN nya ada
10/02 cek MTN di db prismalink, stts nya cancel sehingga support up ke Nobu untuk cek lebih lanjut
10/02 Nobu infokan trx sukses, done infokan ke merch</t>
  </si>
  <si>
    <t>10/02 Hotel Murah tanyakan trx 
Reff no P85130928 // RRN 1llj77103939 
Reff no P85131460 // RRN 017903897263 
Reff no P85132190 // RRN AX4UR577V3AN  
Reff no P85131979 // RRN AX4UR577V0XY  
Reff no P85132010 // RRN 1lljs6l28537 
Reff no P85132301 // RRN 017859793086
Reff no P85132036 // RRN TNGD03180751 
Reff no P85131813 // RRN 000000M6GL9G 
Reff no P85132299 // RRN 017882762737
Reff no P85131843 // RRN 018297528059 
Reff no P85131836 // RRN 018118986155
Reff no P85132218 // RRN 1c3228b71569  
10/02 Support cek di db Nobu RRN dan MTN nya ada
10/02 cek MTN di db prismalink, stts nya cancel sehingga support up ke Nobu untuk cek lebih lanjut
10/02 Nobu infokan trx sukses, done infokan ke merchant</t>
  </si>
  <si>
    <t>Melania Harmita &lt;harmitasinar@gmail.com&gt;</t>
  </si>
  <si>
    <t>11/02 req masuk + support teruskan ke NOBU
11/02 DONE</t>
  </si>
  <si>
    <t>11/02 req masuk
13/02 DONE</t>
  </si>
  <si>
    <t>11/02 req masuk + support meminta kronologis dkk
11/02 belum ada update
18/02 BCA melampirkan data
18/02 support teruskan ke envoiz dgn subj 'FW: [O847270b] Indikasi Penipuan: BAYAR2.COM/11022026/025  VA 7900124900061653'
18/02 merchant meminta data foto selfi dgn KTP &amp; mutasi rekening
18/02 support meminta email nasabah guna meminta data lain</t>
  </si>
  <si>
    <t>Xiaoyi Ze &lt;xiaoyi.ze@asiapacific.ca&gt;</t>
  </si>
  <si>
    <t>11/02 req masuk
19/02 support menanyakan no cc yg digunakan
20/02 belum ada update</t>
  </si>
  <si>
    <t>12/02 req masuk + support teruskan ke NOBU
12/02 DONE</t>
  </si>
  <si>
    <t>12/02 req masuk + support meminta kronologis dkk
12/02 belum ada update
18/02 BCA menanyakan perihal dana
18/02 support infokan jika memang terbukti bisa dikembalikan 
20/02 BCA melampirkan bukti + support teruskan ke merchant dgn subj 'FW: [O1296dd1] Indikasi Penipuan: BAYAR2.COM/12022026/026 VA 7900119200495477'
23/02 kvoucher infokan bisa memotong settelment
23/02 support req hold dana ke finance
24/02 finance infokan dana sudah di hold
25/02 support req finance untuk tf ke rek biro BCA
25/02 finance sudah tf ke BCA</t>
  </si>
  <si>
    <t>Davis, Paige &lt;paige.davis@abbott.com&gt;</t>
  </si>
  <si>
    <t>13/02 req masuk
13/02 DONE</t>
  </si>
  <si>
    <t>13/02 req masuk + support teruskan ke NOBU
13/02 DONE</t>
  </si>
  <si>
    <t>02/02 req masuk + support meminta info cc
12/02 cust melampirkan no cc yang digunakan
13/02 DONE</t>
  </si>
  <si>
    <t>7th World Congress on Probation and Parole &lt;mail@wcpp2026.id&gt;</t>
  </si>
  <si>
    <t>WCPP Indonesia 2026</t>
  </si>
  <si>
    <t>(Permohonan kenaikan limit kartu kredit dr merchant atau pembukaan BIN untuk mendukung transaksi)</t>
  </si>
  <si>
    <t>BRI CC</t>
  </si>
  <si>
    <t>R05</t>
  </si>
  <si>
    <t>13/02 req masuk + teruskan ke pak karno guna approval
18/02 sudah diapprove + support prosess</t>
  </si>
  <si>
    <t>13/02 KKD KONFIRMASI Pre-Arbitrasi 
13/02 Support infokan jika terdapat request Pre-Arb dari Bank</t>
  </si>
  <si>
    <t>13/02 req masuk
18/02 DONE</t>
  </si>
  <si>
    <t>15/02 req masuk
15/02 DONE</t>
  </si>
  <si>
    <t>15/02 req masuk + support teruskan ke NOBU
18/02 done</t>
  </si>
  <si>
    <t>kazuki.mabuchi@ctc-g.co.jp</t>
  </si>
  <si>
    <t>16/02 req masuk
16/02 DONE</t>
  </si>
  <si>
    <t>Hendra Sukma Widodo &lt;hendra.s.widodo@gmail.com&gt;</t>
  </si>
  <si>
    <t>17/02 req masuk
18/02 support sarankan user agar menghubungi pihak merchant</t>
  </si>
  <si>
    <t>Murdani Dani &lt;murdani231091@gmail.com&gt;</t>
  </si>
  <si>
    <t>18/02 req masuk
18/02 support infokan jika trx sukses &amp; bisa menghubungi pihak partner merchant</t>
  </si>
  <si>
    <t>18/02 req masuk + support teruskan ke NOBU
18/02 done</t>
  </si>
  <si>
    <t>YAYASAN ENAM PEDULI PENDIDIKAN</t>
  </si>
  <si>
    <t>Request STATUS TRANSAKSI
(PRODUK Tdk Diterima, namun ada bukti TRANSFER)
000000M3WCGJ</t>
  </si>
  <si>
    <t>10/02 univ sains tanyakan trx  000000M3WCGJ   
10/02 Support cek di dashboard nobu ada
09/02 Support infokan trx sukses</t>
  </si>
  <si>
    <t>10/02 ENVOIZ tanyakan trx  8919101249080532    
10/02 Support cek di mbase error apprv
09/02 Support infokan trx sukses</t>
  </si>
  <si>
    <t>10/02 dnt tanyakan trx  602502662412   
10/02 Support cek di dashboard nobu ada
09/02 Support infokan trx sukses</t>
  </si>
  <si>
    <t>10/02 hotekmurah tanyakan trx  P85132276, RRN AX4U1MEVM4QP    
10/02 Support cek di dashboard nobu ada
09/02 Support infokan trx sukses</t>
  </si>
  <si>
    <t>10/02 DNT tanyakan trx  RRN 000131476909 / NACL1361301912    
10/02 Support cek di dashboard nobu ada
09/02 Support infokan trx sukses</t>
  </si>
  <si>
    <t>10/02 DNT tanyakan trx  7900125000090047 / NACL1361301858
10/02 Support cek di mbase aprvd dan db setld
09/02 Support infokan trx sukses</t>
  </si>
  <si>
    <t>11/02 hotelmurah tanyakan trx P85130976, RRN TNGD03157280       
11/02 Support cek di dashboard nobu ada namun di db cancel
11/02 Support up wag nobu
11/02 Support infokan trx sukses</t>
  </si>
  <si>
    <t>12/02 NOBECUL tanyakan trx  8919101217435469    
12/02 Support cek di mbase apprv di dashboard tidak ada
12/02 Support infokan menunggu rekon"
12/02 Support infokan sukses karena di db sudah setld</t>
  </si>
  <si>
    <t>12/02 hotelmurah tanyakan trx NACL1363464608 / 0012211022627001869    
12/02 Support cek di dashboard nobu ada namun di db cancel
12/02 Support infokan team terkait</t>
  </si>
  <si>
    <t>12/02 DNT tanyakan trx NACL1363411164 // RRN 974528029699    
12/02 Support cek di dashboard nobu ada namun di db cancel
12/02 Support infokan team terkait untuk update
12/01 Support infokan sukses</t>
  </si>
  <si>
    <t xml:space="preserve">12/02 DNT tanyakan trx 0012211022636591571 // RRN 000162624943    
12/02 Support cek di dashboard nobu ada namun di db cancel
12/02 Support infokan team terkait untuk update
</t>
  </si>
  <si>
    <t>12/02 K Voucher tanyakan trx  7900119200501488  / 2026021340100120177
12/02 Support cek di Mbase masih belum ada
12/02 Support infokan tunggu rekon
13/02 Support infokan tunggu rekon karena trx cek by mbase maupun operator tidak ada 
16/02 support infokan trx sukses</t>
  </si>
  <si>
    <t>12/02 K Voucher tanyakan trx  7900119200501490 / 2026021340100120334
12/02 Support cek di Mbase masih belum ada
12/02 Support infokan tunggu rekon"
13/02 Support infokan tunggu rekon karena trx cek by mbase maupun operator tidak ada 
16/02 support infokan trx sukses</t>
  </si>
  <si>
    <t xml:space="preserve">12/02 DNT tanyakan trx NACL1365474672 with RRN 602527504391 
12/02 Support cek di dashboard nobu ada namun di db cancel
12/02 Support infokan team terkait untuk update
13/02 Support infokan sukses karena di db sudah setld </t>
  </si>
  <si>
    <t>13/02 dnt tanyakan trx  7900125000071732     
12/02 Support cek di mbase dashboard tidak ada
13/02 Support infokan menunggu rekon
16/02 support infokan trx sukses</t>
  </si>
  <si>
    <t>13/02 NOBECUL tanyakan trx  7900121700094470     
13/02 Support cek di mbase dashboard tidak ada
13/02 Support infokan menunggu rekon
16/02 support infokan trx sukses</t>
  </si>
  <si>
    <t>13/02 Nobecul tanyakan trx   7900121700038986 / 2026021340100119844 
13/02 Support cek di mbase tidak ada dan db pending
13/02 Support infokan menunggu rekon 
16/02 support infokan trx sukses</t>
  </si>
  <si>
    <t>13/02 Nobecul tanyakan trx   7900121700098603 
13/02 Support cek di mbase tidak ada dan db pending
13/02 Support infokan menunggu rekon 
16/02 support infokan trx sukses</t>
  </si>
  <si>
    <t>13/02 dayanet tanyakan trx  7900125000081846      
13/02 Support cek di mbase dashboard tidak ada
13/02 Support infokan menunggu rekon
16/02 support infokan trx sukses</t>
  </si>
  <si>
    <t>13/02 dayanet tanyakan trx  7900125000071732      
13/02 Support cek di mbase dashboard tidak ada
13/02 Support infokan menunggu rekon
16/02 support infokan trx sukses</t>
  </si>
  <si>
    <t>13/02 dayanet tanyakan trx 0000000MKFSVC      
13/02 Support cek di db Nobu tidak ada
13/02 Support up Nobu
14/02 support infokan trx sukses</t>
  </si>
  <si>
    <t>13/02 dayanet tanyakan trx 602539449029      
13/02 Support cek di db prismalink dan Nobu ada
13/02 Support infokan sukses</t>
  </si>
  <si>
    <t>13/02 dayanet tanyakan trx NACL1366835049 / 7900125000098969      
13/02 Support cek di db prismalink dan mbase sukses
13/02 Support infokan sukses</t>
  </si>
  <si>
    <t>13/02 dayanet tanyakan trx NACL1366854083 / 8903910125032116
13/02 Support cek di db prismalink sukses
13/02 Support infokan sukses</t>
  </si>
  <si>
    <t>13/02 dayanet tanyakan trx NACL1366339379 / 7900125000008298
13/02 Support cek di db prismalink dan mbase sukses
13/02 Support infokan sukses</t>
  </si>
  <si>
    <t>13/02 dayanet tanyakan trx NACL1366857934 / 7900125000086885
13/02 Support cek di db prismalink dan mbase sukses
13/02 Support infokan sukses</t>
  </si>
  <si>
    <t>13/02 dayanet tanyakan trx NACL1366854859 / 7900125000094512
13/02 Support cek di db prismalink dan mbase sukses
13/02 Support infokan sukses</t>
  </si>
  <si>
    <t>13/02 dayanet tanyakan trx NACL1367175675 / 018240468277      
13/02 Support cek di db prismalink dan Nobu ada
13/02 Support infokan sukses</t>
  </si>
  <si>
    <t>13/02 dayanet tanyakan trx NACL1367176561 / 000213702490   
13/02 Support cek di db prismalink dan Nobu ada
13/02 Support infokan sukses</t>
  </si>
  <si>
    <t>13/02 dayanet tanyakan trx  7900125000051597      
13/02 Support cek di mbase dashboard tidak ada
13/02 Support infokan menunggu rekon
16/02 support infokan trx sukses</t>
  </si>
  <si>
    <t>13/02 dayanet tanyakan trx 7900125000060295 / NACL1366855505 
13/02 Support cek di db prismalink dan mbase sukses
13/02 Support infokan sukses</t>
  </si>
  <si>
    <t>13/02 dayanet tanyakan trx 7900125000012062 / NACL1366854518 
13/02 Support cek di db prismalink dan mbase sukses
13/02 Support infokan sukses</t>
  </si>
  <si>
    <t>13/02 dayanet tanyakan trx NACL1366706815 / 7900125000079992
13/02 Support cek di db prismalink dan mbase sukses
13/02 Support infokan sukses</t>
  </si>
  <si>
    <t>13/02 dayanet tanyakan trx NACL1367176272 / 1lpaiiv08236   
13/02 Support cek di db prismalink dan Nobu ada
13/02 Support infokan sukses</t>
  </si>
  <si>
    <t>13/02 dayanet tanyakan trx NACL1366706815 / 7900125000079992   
13/02 Support cek di db prismalink dan Nobu ada
13/02 Support infokan sukses</t>
  </si>
  <si>
    <t>14/02 dayanet tanyakan trx 
NACL1369297935 RRN 000245991398
NACL1369297562 RRN 000245988557
NACL1369290465 No ref: 000000MPVMDZ
NACL1369281125 RRN 000245874754
NACL1369281242 No ref: 000000MPVJPS
NACL1369281235 RRN 017819672633
NACL1369281125 RRN 000245874754
14/02 Support cek di db Nobu ada namun dashboard 1 cancel
14/02 Support up ke Nobu</t>
  </si>
  <si>
    <t>14/02 dayanet tanyakan trx 
NACL1367717823 / 018010459709
14/02 Support cek di db Nobu ada namun dashboard 1 setld
14/02 Support info sukses</t>
  </si>
  <si>
    <t>14/02 dayanet tanyakan trx  7900125000001990 / NACL1368236774   
14/02 Support cek di mbase dashboard  ada
14/02 Support infokan sukses</t>
  </si>
  <si>
    <t>14/02 Nobecul  tanyakan trx  7900121700073313   
14/02 Support cek di mbase aprvd dan dashboard cancel
14/02 Supporrt infokan ke team terkait
15/02 Support infokan sukses</t>
  </si>
  <si>
    <t>14/02 Tripay  tanyakan trx  7900117900024848   
14/02 Support cek di mbase reject
14/02 Supporrt infokan ke team terkait
14/02 Support infokan gagal</t>
  </si>
  <si>
    <t>14/02 Tripaay  tanyakan trx  4041910117901473    
14/02 Support cek di mbase tidak ada dan dashbaord cancel
14/02 Supporrt infokan ke team terkait
14/02 Support infokan menunggu rekon
16/02 support infokan trx sukses</t>
  </si>
  <si>
    <t>15/02 dayanet tanyakan trx 0012214022667443438 / 000245947200
0012214022667443438 / 000245947200
15/02 Support cek di db Nobu ada namun dashboard cancel
15/02 Support up ke Nobu dan update</t>
  </si>
  <si>
    <t>15/02 dayanet tanyakan trx NACL1369281077 / 1lqhrmh65214 
NACL1369297979 / 000245991440
15/02 Support cek di db Nobu ada namun dashboard cancel
15/02 Support up ke Nobu dan update</t>
  </si>
  <si>
    <t>15/02 dnt tanyakan trx  NACL1370081169
RRN 021511464333    
15/02 Support cek di db nobu no result eskalasi nobu info gagal
15/02 Support infokan gagal</t>
  </si>
  <si>
    <t>15/02 dnt tanyakan trx  NACL1370094414 // 602559464466  
15/02 Support cek di db nobu ada, di dashboard plink cancel
15/02 infokan sukses saja</t>
  </si>
  <si>
    <t>15/02 dnt tanyakan trx  NACL1369300081 // 246038359
15/02 Support cek di db nobu ada, di dashboard plink cancel
15/02 infokan sukses saja</t>
  </si>
  <si>
    <t>15/02 dnt tanyakan trx  NACL1370072642 // 255910115
15/02 Support cek di db nobu ada, di dashboard plink cancel
15/02 infokan sukses saja</t>
  </si>
  <si>
    <t>15/02 dnt tanyakan trx  NACL1370075075 // 976138035006
15/02 Support cek di db nobu ada, di dashboard plink cancel
15/02 infokan sukses saja</t>
  </si>
  <si>
    <t>15/02 dnt tanyakan trx  NACL1370115936 // 017987442822
15/02 Support cek di db nobu ada, di dashboard plink cancel
15/02 infokan sukses saja</t>
  </si>
  <si>
    <t>15/02 dnt tanyakan trx  NACL1370115608 // 257122900
15/02 Support cek di db nobu ada, di dashboard plink cancel
15/02 infokan sukses saja</t>
  </si>
  <si>
    <t>15/02 dnt tanyakan trx  NACL1370132235 // 257670331
15/02 Support cek di db nobu ada, di dashboard plink cancel
15/02 infokan sukses saja</t>
  </si>
  <si>
    <t>15/02 dnt tanyakan trx  NACL1370134627 // 257762310
15/02 Support cek di db nobu ada, di dashboard plink cancel
15/02 infokan sukses saja</t>
  </si>
  <si>
    <t>15/02 dnt tanyakan trx  NACL1370142485 // 258010016
15/02 Support cek di db nobu ada, di dashboard plink cancel
15/02 infokan sukses saja</t>
  </si>
  <si>
    <t>15/02 dnt tanyakan trx  NACL1370091332 // 000000MRHMHN
15/02 Support cek di db nobu ada, di dashboard plink cancel
15/02 infokan sukses saja</t>
  </si>
  <si>
    <t>15/02 dnt tanyakan trx  NACL1370122054 // 001005859335
15/02 Support cek di db nobu ada, di dashboard plink cancel
15/02 infokan sukses saja</t>
  </si>
  <si>
    <t>15/02 dnt tanyakan trx  NACL1370104678 // 256850473
15/02 Support cek di db nobu ada, di dashboard plink cancel
15/02 infokan sukses saja</t>
  </si>
  <si>
    <t>15/02 dnt tanyakan trx  NACL1370129272 // 602550801833
15/02 Support cek di db nobu ada, di dashboard plink cancel
15/02 infokan sukses saja</t>
  </si>
  <si>
    <t>15/02 dnt tanyakan trx  NACL1370117797 // 1lr51pt26990
15/02 Support cek di db nobu ada, di dashboard plink cancel
15/02 infokan sukses saja</t>
  </si>
  <si>
    <t>15/02 dnt tanyakan trx  NACL1370082719 // 256174313
15/02 Support cek di db nobu ada, di dashboard plink cancel
15/02 infokan sukses saja</t>
  </si>
  <si>
    <t>15/02 dayanet tanyakan trx  T001230869800QIRHW
7900117900035323      
15/02 Support cek di mbase dashboard tidak ada
15/02 Support infokan menunggu rekon
16/02 support infokan trx sukses</t>
  </si>
  <si>
    <t>15/02 Dnt tanyakan trx  NACL1370123787 / 018022395802
15/02 Support cek di db nobu ada, di dashboard plink cancel
15/02 infokan sukses karena di dashboard sudah setld</t>
  </si>
  <si>
    <t>15/02 Dnt tanyakan trx  NACL1370114801 / 976155509926
15/02 Support cek di db nobu ada, di dashboard plink cancel
15/02 Support infokan ke team terkait
15/02 infokan sukses karena di dashboard sudah setld</t>
  </si>
  <si>
    <t>15/02 Dnt tanyakan trx  NACL1370110066 / 976154527770
15/02 Support cek di db nobu ada, di dashboard plink cancel
15/02 Support infokan ke team terkait
15/02 infokan sukses karena di dashboard sudah setld</t>
  </si>
  <si>
    <t>15/02 Dnt tanyakan trx  NACL1370088025 / 319292348608
NACL1370112965 / 017791140949
NACL1370094098 / 602559463598
15/02 Support cek di db nobu ada, di dashboard plink cancel
15/02 Support infokan ke team terkait
15/02 infokan sukses karena di dashboard sudah setld</t>
  </si>
  <si>
    <t>15/02 Dnt tanyakan trx  NACL1370103355 / 018096275529
NACL1370097281 / 000000MRJ6YL
NACL1370124893 / 257442783
NACL1370132899 / 001005883196
15/02 Support cek di db nobu ada, di dashboard plink cancel
15/02 Support infokan ke team terkait
15/02 infokan sukses karena di dashboard sudah setld</t>
  </si>
  <si>
    <t>15/02 Dnt tanyakan trx  NACL1370123129 / 296a03fb1778
NACL1370126785 / 257531270
15/02 Support cek di db nobu ada, di dashboard plink cancel
15/02 Support infokan ke team terkait
15/02 infokan sukses karena di dashboard sudah setld</t>
  </si>
  <si>
    <t>15/02 Dnt tanyakan trx NACL1369294518 / 602548312706
15/02 Support cek di db nobu ada, di dashboard plink sukses
15/02 Support infokan sukses</t>
  </si>
  <si>
    <t>16/02 Dnt tanyakan trx NACL1365776982 / 7900125000071732
16/02 Support cek di db cancel
16/02 Support infokan tunggu rekon, Update</t>
  </si>
  <si>
    <t>16/02 Dnt tanyakan trx 7900125000090368
16/02 Support cek di db cancel
16/02 Support infokan tunggu rekon
18/02 support infokan trx sukses</t>
  </si>
  <si>
    <t>16/02 nobecul tanyakan trx 7900121700010913
2026021640100617501
16/02 Support cek di db setld
16/02 Support infokan sukses</t>
  </si>
  <si>
    <t>13/02 req masuk
19/02 DONE</t>
  </si>
  <si>
    <t>18/02 Req masuk
18/02 Support meminta data kronologis dkk
18/02 Belum ada data</t>
  </si>
  <si>
    <t>jamaludinaproni1979@gmail.com</t>
  </si>
  <si>
    <t>PT Envoiz Digital Indonesia
PT Daya Net Gemilang
PT TEKNOLOGI AWAN CERAH</t>
  </si>
  <si>
    <t>18/02 req masuk
18/02 support infokan trx sukses</t>
  </si>
  <si>
    <t>19/02 req masuk + support teruskan ke NOBU
19/02 DONE</t>
  </si>
  <si>
    <t>19/02 req masuk
23/02 DONE</t>
  </si>
  <si>
    <t>19/02 Req masuk
19/02 Support meminta data kronologis dkk
19/02 Belum ada data
27/02 BCA menanyakan perihal dana apakah masih ada yg bisa dikembalikan
27/02 support infokan jika memang terbukti dana bisa dikembalikan</t>
  </si>
  <si>
    <t>19/02 Req masuk
19/02 Support meminta data kronologis dkk
19/02 Belum ada data</t>
  </si>
  <si>
    <t>JPL &lt;jpl.singapore@gmail.com&gt;</t>
  </si>
  <si>
    <t>PT TEKNOLOGI AWAN CERAH
PT Kreasi Kode Kreatif</t>
  </si>
  <si>
    <t>19/02 req masuk melampirkan bukti2 support teruskan ke merchant 'FW: Pengecekan transaksi VA 7900121700073485 &amp; 7900119200528237'
20/02 merchant ack
20/02 nobecul infokan bisa memotong settelment
23/02 kvoucher infokan bisa memotong settelment
menunggu email dr BCA</t>
  </si>
  <si>
    <t>19/02 req masuk
20/02 DONE</t>
  </si>
  <si>
    <t>20/02 req masuk + support teruskan ke NOBU
20/02 DONE</t>
  </si>
  <si>
    <t>Rovere Massimo &lt;m.rovere@thailand.danieli.com&gt;</t>
  </si>
  <si>
    <t>20/02 req masuk
20/02 support melampirkan payment receipt</t>
  </si>
  <si>
    <t>lukas.feglar@excaliburinternational.cz</t>
  </si>
  <si>
    <t>20/02 Req masuk
20/02 Support meminta data kronologis dkk
20/02 Belum ada data</t>
  </si>
  <si>
    <t>20/02 req masuk + support infokan jika trx sukses</t>
  </si>
  <si>
    <t>BCA
BNI</t>
  </si>
  <si>
    <t>18/02 nobecul tanyakan trx 7900121700009950 / 2026020740100501246
8919101217465198 / 2026021240100079004
18/02 Support cek di db cancel / schedule
18/02 support update
18/02 Support infokan sukses</t>
  </si>
  <si>
    <t>16/02 DNT infokan  trx NACL1366876226 sudah di settle namun statusnya cancel di dashboard
16/02 Support cek di db cancel, support update status trx
16/02 Support infokan sukses update</t>
  </si>
  <si>
    <t>16/02 DNT infokan  trx NACL1369094714 sudah di settle namun statusnya cancel di dashboard
16/02 Support cek di db cancel, support update status trx
16/02 Support infokan sukses update</t>
  </si>
  <si>
    <t>18/02 Paylabs tanyakan trx 4041913211500257
18/02 Support cek di mbase tidak ada, cek di operator setld
18/02 Support infokan sukses</t>
  </si>
  <si>
    <t>19/02 Univ sains infokan  trx berhasil namun cancel  2521100003-260215131938 / 602559694183
19/02 Support cek di dashboard nobu ada, dashbaord plink pending, dilakukan callback manual tetap pending
19/02 Support infokan team terkait
19/02 Support infokan sukses karena sudah setld</t>
  </si>
  <si>
    <t>19/02 Nobecul tanyakan trx 7900121700040304 
8919101217968414 
19/02 Support cek di mbase cancel scheduler, db cancel, di agree ada
19/02 support update
19/02 infokan sukses</t>
  </si>
  <si>
    <t>20/02 Tripay  tanyakan trx  7900117900010943    
20/02 Support cek di mbase Eror reject
20/02 Supporrt infokan ke team terkait
20/02 Support infokan gagal</t>
  </si>
  <si>
    <t>20/02 hotelmurah  tanyakan trx  P85949764 dengan RRN 001016215755    
20/02 Support cek di dashboard dan nobu sukses
20/02 Supporrt infokan sukses</t>
  </si>
  <si>
    <t>20/02 Paylabs  tanyakan trx  2189132221900002    
20/02 Support cek di mbase Eror reject
20/02 Supporrt jelaskan ada no va yg sama sukses namun berbeda jam dan nominal
20/02 Support infokan gagal</t>
  </si>
  <si>
    <t>20/02 Envoiz   tanyakan trx  7900124900009891 ID NACL1377974281    
20/02 Support cek di mbase Eror aprvd dan setld
20/02 Support infokan sukses karena sudah di callback</t>
  </si>
  <si>
    <t>21/02 Kvoucher tanyakan trx 79001192003810 / 2026022140100713854
21/02 Support cek di mbase belum ditemukan
21/02 Support infokan tunggu rekon
22/02 support infokan trx gagal</t>
  </si>
  <si>
    <t>21/02 Kvoucher tanyakan trx 7900119200538160
21/02 Support cek di mbase belum ditemukan
21/02 Support infokan tunggu rekon
22/02 support infokan trx gagal</t>
  </si>
  <si>
    <t xml:space="preserve">23/02 req masuk
24/02 DONE
</t>
  </si>
  <si>
    <t xml:space="preserve">23/02 Req masuk
23/02 Support meminta data kronologis dkk
</t>
  </si>
  <si>
    <t>arief mariyanto &lt;ariefm1165@gmail.com&gt;</t>
  </si>
  <si>
    <t>23/02 request bukti tertulis terkait dana yang gagal
23/02 support meminta no rekening
24/02 support konfirm dana ke sisi rekon
24/02 rekon infokan jika dana belum di setteld ke merchant
24/02 cust melampirkan no rekening
24/02 support req approbal ke pak laks
24/02 pak laks approve + support teruskan ke finance untuk tf sana ke req user
24/02 finance sudah tf ke cust
24/02 support infokan ke customr</t>
  </si>
  <si>
    <t>23/02 req masuk + support meminta kronologis
24/02 belum ada update</t>
  </si>
  <si>
    <t>23/02 KKD KONFIRMASI Pre-Arbitrasi 
23/02 Support infokan jika terdapat request Pre-Arb dari Bank</t>
  </si>
  <si>
    <t>PT Envoiz Digital Indonesia
PT Daya Net Gemilang</t>
  </si>
  <si>
    <t>24/02 req masuk + support meminta kronologis
24/02 belum ada update
05/03 BCA menanyakan perihal sisa dana
05/03 support infokan jika terbukti umumnya bisa dikembalikan
06/03 belum ada update</t>
  </si>
  <si>
    <t xml:space="preserve">23/02 Req masuk
24/02 DONE
</t>
  </si>
  <si>
    <t>24/02 req masuk
25/02 DONE</t>
  </si>
  <si>
    <t>Anton 11 &lt;a42937056@gmail.com&gt;</t>
  </si>
  <si>
    <t>24/02 req masuk
24/02 support infokan jika trx gagal karn different amount</t>
  </si>
  <si>
    <t>24/02 Nobecul tanyakan trx  7900121700061315
24/02 Support cek di mbase aprvd dan dashbaord cancel
24/02 Support infokan ke team terkait untuk update
24/02 Support infokan menunggu rekon terlebih dahulu
24/02 Support update dan infokan sukses</t>
  </si>
  <si>
    <t>25/02 req masuk
26/02 DONE</t>
  </si>
  <si>
    <t xml:space="preserve">25/02 req masuk
26/02 DONE
</t>
  </si>
  <si>
    <t>25/02 req masuk
25/02 support meminta info no cc
27/02  belum ada update</t>
  </si>
  <si>
    <t>25/02 KKD KONFIRMASI Pre-Arbitrasi 
25/02 Support infokan jika terdapat request Pre-Arb dari Bank</t>
  </si>
  <si>
    <t>25/02 DNT tanyakan trx  NACL1364325455 / 000171597831
25/02 Support cek db prismalink dan Nobu sukses
25/02 Support infokan sukses</t>
  </si>
  <si>
    <t>25/02 Hotel Murah tanyakan trx P86310732
P86310127
25/02 Support cek db prismalink cancel dan di Nobu tidak ditemukan
25/02 Support up ke Nobu dan Nobu ingin nominal nya di rupiahkan
25/02 Support infokan ke Hotel murah untuk infokan nominal rupiahnya
25/02 info dari Nobu bahwa trx tersebut gagal
25/02 Support infokan bahwa trx gagal</t>
  </si>
  <si>
    <t>24/02 DNT  tanyakan trx  
VA 7900125000002770 // ID NACL1381985184   
24/02 Support cek di mbase cancel dan pg admin reject
24/02 Support infokan trx gagal</t>
  </si>
  <si>
    <t xml:space="preserve">26/02 Univesitas sains tanyakan trx 2511110028-260210110146 / 118234269
26/02 Support cek db prismalink cancel dan di Nobu ada
26/02 Support infokan ke team terkait
26/02 Support infokan sukses karea sudah setld di dashboard </t>
  </si>
  <si>
    <t xml:space="preserve">26/02 Nobecul tanyakan trx 7900121700059960
26/02 Support cek mbase belum ada
26/02 Support infokan tunggu rekon
28/02 support infokan trx gagal </t>
  </si>
  <si>
    <t>support@prismalink.co.id</t>
  </si>
  <si>
    <t>25/02 req masuk, support konfirm ke merchant terkait
26/02 kvoucher infokan jika bisa memotong settelment harian
02/03 support req hold dana
02/03 finance infokan dana sudah di hold
02/03 case sama dgn email '[O9bcaac6] Indikasi Penipuan: BAYAR2.COM/02032026/038' 
02/03 support req finance untuk tf ke rekening penampung
03/03 FInance refund</t>
  </si>
  <si>
    <t>26/02 req masuk
26/02 DONE</t>
  </si>
  <si>
    <t>26/02 KKD KONFIRMASI Pre-Arbitrasi 
26/02 Support infokan jika terdapat request Pre-Arb dari Bank
04/03 terdapat update dr BRI jika 4 card bisa di ignore
04/03 Re: KONFIRMASI PRE ARBITRASI Prismalink*IND VISAARR 26/02/2026 40TRX</t>
  </si>
  <si>
    <t>Putri Oktaviani &lt;putri@data-link.co.id&gt;</t>
  </si>
  <si>
    <t>26/02 req masuk, user infokan kendala pada aplikasi KTA Kilat dan req hold dana
26/02 support meminta kronologis dkk
26/02 user melampirkan data2
26/02 support teruskan ke envoiz 'FW: Pengecekan VA 7900124900006227'
27/02 cust FU
27/02 envoiz infokan jika bisa memotong settelment harian
02/03 support req hold dana ke finance
03/03 finance infokan dana sudah di hold &amp; req untuk di tf ke BCA
03/03 DONE</t>
  </si>
  <si>
    <t>27/02 req masuk
02/03 DONE</t>
  </si>
  <si>
    <t>26/02 KKD KONFIRMASI Pre-Arbitrasi 
26/02 Support infokan jika terdapat request Pre-Arb dari Bank</t>
  </si>
  <si>
    <t>26/02 REQ MASUK
02/03 DONE</t>
  </si>
  <si>
    <t>Anisa Anjar Saputri &lt;anisa.anjar@bukalapak.com&gt;</t>
  </si>
  <si>
    <t>PT VISI JAYA INDONESI</t>
  </si>
  <si>
    <t xml:space="preserve">27/02 req masuk
27/02 support infokan trx VA tersebut gagal </t>
  </si>
  <si>
    <t>27/02 req masuk + support meminta kronologis
27/02 belum ada update
02/03 BCA melampirkan data
03/03 Support meminta data tambahan karena BCA hanya melampirkan surat dr mandiri</t>
  </si>
  <si>
    <t>Viraditya Nadine Al Faritsi &lt;nadine.alfaritsi@advisory-group.one&gt;</t>
  </si>
  <si>
    <t>27/02 req masuk
27/02 DONE</t>
  </si>
  <si>
    <t>27/02 KKD KONFIRMASI Pre-Arbitrasi 
27/02 Support infokan jika terdapat request Pre-Arb dari Bank</t>
  </si>
  <si>
    <t>27/02 req masuk + support meminta kronologis
27/02 belum ada update
03/03 sama dengan case email '7900124900006227'
03/03 DONE</t>
  </si>
  <si>
    <t>Pavel Yakimenko &lt;pavel@yakimenko.com.au&gt;</t>
  </si>
  <si>
    <t>(Customer request refund transaksi double)</t>
  </si>
  <si>
    <t>01/03 cust req refund karena double paymant (melampirkan evidence)
01/03 support infokan sudah diproses refund, dan dana akan masuk ke rekening 1-2 hari kerja</t>
  </si>
  <si>
    <t>02/03 req masuk
02/03 DONE</t>
  </si>
  <si>
    <t>27/02 hotelmurah  tanyakan trx  P86460043 dengan RRN QRIS 1m4f95v18318    
27/02 Support cek di dashboard dan nobu sukses
27/02 Supporrt infokan sukses</t>
  </si>
  <si>
    <t xml:space="preserve">27/02 Envoiz tanyakan trx  8919101249116816
27/02 Support cek di mbase error aprvd dan dashbaord cancel
27/02 Support infokan ke team terkait untuk update
27/02 Support update dan infokan sukses karena sudah setld
</t>
  </si>
  <si>
    <t>02/03 REQ MASUK
05/03 DONE</t>
  </si>
  <si>
    <t>02/03 req masuk + support meminta kronologis
02/03 belum ada update</t>
  </si>
  <si>
    <t>JLF</t>
  </si>
  <si>
    <t xml:space="preserve">27/02 JLF tanyakan trx  7900104900000193173 
27/02 Support cek di mbase error reject 
27/02 Support infokan gagal/tidak berhasil </t>
  </si>
  <si>
    <t xml:space="preserve">27/02 JLF tanyakan trx  7900121700092431 
27/02 Support cek di mbase cancel, support cek di agregator tidak ada
27/02 Support infokan gagal/tidak berhasil </t>
  </si>
  <si>
    <t>28/02 nobecul  tanyakan trx  8919101217249654 
28/02 Support cek di dashboard tidak ada
28/02 Supporrt infokan menunggu rekon
02/03 support update + infokan trx sukses</t>
  </si>
  <si>
    <t xml:space="preserve">28/02 Nobecull  tanyakan trx  7900121700059960 
28/02 Support cek di mbase error reject 
28/02 Support infokan gagal/tidak berhasil </t>
  </si>
  <si>
    <t>28/02 Univ sains tanyakan trx  8919101212978989 
8919101212599863 
28/02 Support cek di mbase error aprvd dan dashbaord cancel
28/02 Support infokan ke team terkait untuk update
28/02 Support update dan infokan sukses karena sudah setld</t>
  </si>
  <si>
    <t xml:space="preserve">28/02 tim imigrasai info telah terjadi double charge di kartu cc WNA 
535456**5198
516815**3874
28/02 support cek di mbase dan pcs, status 1 trx sukses dan 1 decline 
28/02 Support infokan ke team terkait untuk dilakukan void
28/02 support infokan untuk transaksi atas nomor kartu tersebut, sudah berhasil di void </t>
  </si>
  <si>
    <t>01/03 Envoiz tanyakan trx 8919101249225538 / NACL1388820975
01/03 Support cek di db Prismalink cancel dan cek mbase stts nya CANCL SCHEDULER
01/03 Support infokan ke team terkait untuk update
02/03 support infokan trx sukses</t>
  </si>
  <si>
    <t xml:space="preserve">01/03 Tripay  tanyakan trx  7900117900031713 
01/03 Support cek di mbase error reject 
01/03  Support infokan gagal/tidak berhasil </t>
  </si>
  <si>
    <t xml:space="preserve">01/03 Tripay  tanyakan trx  4041910117945515
4041910117995682
01/03 Support cek di mbase tidak ada dan dashboard no result
01/03  Support infokan menunggu hasil rekon
02/03 support infokan trx sukses
</t>
  </si>
  <si>
    <t>02/03 req masuk + support meminta kronologis
02/03 belum ada update
03/03 DONE</t>
  </si>
  <si>
    <t>03/03 req masuk + support teruskan ke nobu
05/03 DONE</t>
  </si>
  <si>
    <t>03/03 req masuk
03/03 DONE</t>
  </si>
  <si>
    <t>03/03 Nobecul tanyakan trx  7900121700000501
03/03 Support cek di mbase error reject 
03/03  Support infokan gagal/tidak berhasil karena perbedaan amount</t>
  </si>
  <si>
    <t>03/03 req masuk + support meminta kronologis dkk
04/03 mandiri menanyakan perihal pengembalian dana
04/03 support infokan jika memang terbukti dana bisa dikembalikan</t>
  </si>
  <si>
    <t>03/03 req masuk
03/03 support infokan jika trx tersebut sukses</t>
  </si>
  <si>
    <t>04/03 req masuk + support teruskan ke nobu
05/03 DONE</t>
  </si>
  <si>
    <t>03/03 Univ Sains tanyakan trx 000154285684 / 0011827022627956084
03/03 Support cek di db nobu ada namun di db prismalink cancel
03/03  Support update dan infokan sukses ke merchant</t>
  </si>
  <si>
    <t>03/03 DNT tanyakan trx  4041910125027050 / NACL1391576152
03/03 Support cek di db prismalink sukses dan info dari rekon sudah settle 
03/03 Support infokan sukses</t>
  </si>
  <si>
    <t>03/03 DNT tanyakan trx 4041910125000856 / NACL1391575215
03/03 Support cek di db prismalink sukses, done callback
03/03 Support infokan sukses</t>
  </si>
  <si>
    <t>03/03 Univ sains tanyakan trx 
8919101212841210 / 0010912022688969384 
8919101212333857 / 0011713112534278633 
03/03 Support cek di db prismalink belum ditemukan, info dari rekon dananya ada namun belum di settle karena miss
03/03 Support up untuk cek lebih lanjut
04/03 support infokan trx sukses</t>
  </si>
  <si>
    <t>03/03 tripay  tanyakan trx  7900117900091325  
03/03 Support cek di mbase error reject
03/03 Supporrt infokan gagal</t>
  </si>
  <si>
    <t>03/03 nobecuk  tanyakan trx  7900121700018239  
03/03 Support cek di mbase apprv
03/03 Supporrt menunggu ko daniel update
04/02 support infokan trx sukses</t>
  </si>
  <si>
    <t xml:space="preserve">04/03 Kvoucher tanyakan trx  7900119200581819
04/03 Support cek di operator reject 
04/03  Support infokan gagal/tidak berhasil </t>
  </si>
  <si>
    <t>04/03 DNT tanyakan trx  8903910125080264 / NACL1391576354   
04/03 Support cek mbase SETLD dan cek db prismalink sukses
04/03  Support infokan sukses</t>
  </si>
  <si>
    <t>04/03 REQ MASUK
06/03 DONE</t>
  </si>
  <si>
    <t>05/03 req masuk + support teruskan ke nobu
06/03 DONE</t>
  </si>
  <si>
    <t>04/03 Tripay tanyakan trx 7900117900001760 / T1682931311470D4WK7  
04/03 Support cek mbase pndg dan cek db prismalink juga pndg
04/03  Support infokan tunggu rekon
05/03 support infokan trx sukses</t>
  </si>
  <si>
    <t>04/03 Tripay tanyakan trx 4041910117952394 / T2512031313656TGD7I 
04/03 Support cek mbase pndg dan cek db prismalink juga pndg
04/03  Support infokan tunggu rekon
05/03 support infokan trx sukses</t>
  </si>
  <si>
    <t>05/03 req masuk
05/03 support meminta kronologis dkk</t>
  </si>
  <si>
    <t>05/03 REQ MASUK
10/03 DONE</t>
  </si>
  <si>
    <t>02/03 REQ MASUK
03/03 DONE</t>
  </si>
  <si>
    <t xml:space="preserve">06/03 req masuk + support teruskan ke nobu
</t>
  </si>
  <si>
    <t>04/03 dnt  tanyakan trx  8903910125071840   
04/03 Support cek di mbase apprv
04/04 infokan sukses</t>
  </si>
  <si>
    <t>05/03 dnt  tanyakan trx  8903910125071840   
05/03 Support cek di mbase apprv
05/03 infokan sukses</t>
  </si>
  <si>
    <t>05/03 dnt  tanyakan trx  4041910125095061   
05/03 Support cek di mbase apprv
05/03 infokan sukses</t>
  </si>
  <si>
    <t>05/03 dnt  tanyakan trx  8903910125083996    
05/03 Support cek di mbase apprv
05/03 infokan sukses</t>
  </si>
  <si>
    <t>05/03 Tripay tanyakan trx  4041910117931582 /T23076297614912B9IW    
05/03 Support cek di mbase apprv dan db prismalink sttld
05/03 infokan sukses</t>
  </si>
  <si>
    <t>06/03 dnt  tanyakan trx  4041913210500008      
06/03 Support cek di mbase apprv namun miss
06/03 infokan sukses</t>
  </si>
  <si>
    <t>zxcvzyh@163.com</t>
  </si>
  <si>
    <t xml:space="preserve">06/03 req masuk + support melampirkan payment receipt
</t>
  </si>
  <si>
    <t>06/03 req masuk
06/03 support meminta kronologis dkk</t>
  </si>
  <si>
    <t>06/03 req masuk, support colek PIC AE
06/03 AE req approval
06/03 sudah dapat approval dr pak karno
06/03 support proses</t>
  </si>
  <si>
    <t>06/03 req masuk
06/02 support melampirkan bukti sukses</t>
  </si>
  <si>
    <t>06/03 req masuk + support teruskan ke nobu
06/03 DONE</t>
  </si>
  <si>
    <t>Ditya TW &lt;dityatw07@gmail.com&gt;</t>
  </si>
  <si>
    <t>07/03 req masuk
07/03 support menanyakan perihal nomor rekening tujuan
07/03 support teruskan ke merchant 'Pengecekan transaksi VA 4041910117900684 Dan 4041910117955640 '
08/03 cust menginfokan no rekening tujuan 665301008113533
08/03 tripay infokan jika dana sudah di refund dengan memotong biaya admin
08/03 support teruskan ke merchant</t>
  </si>
  <si>
    <t>09/03 req masuk + support teruskan ke nobu
09/03 DONE</t>
  </si>
  <si>
    <t>PT Daya Net Gemilang
PT Hotel Murah Travelindo</t>
  </si>
  <si>
    <t>Ghose, Saswati &lt;Saswati.Ghose@genpact.com&gt;</t>
  </si>
  <si>
    <t>09/03 req masuk + support meminta info no cc yang digunakan
09/03 cust infokan cc nya
09/03 support melampirkan payment receipt</t>
  </si>
  <si>
    <t>Ali, Farhat &lt;farhat.ali@genpact.com&gt;</t>
  </si>
  <si>
    <t>09/03 req masuk + support lampirkan payment receipt
09/03 DONE</t>
  </si>
  <si>
    <t>10/03 req masuk + support teruskan ke NOBU
11/03 DONE</t>
  </si>
  <si>
    <t>Bella Sukma &lt;bellasukma577@gmail.com&gt;</t>
  </si>
  <si>
    <t>10/03 req masuk
10/03 support meminta cust untuk melengkapi data2 'RE: Pengecekan Transaksi VA 2189132130900079'
12/03 belum ada update</t>
  </si>
  <si>
    <t>He Gloria, PA-S-AP-1 &lt;Gloria.He@bmw.com&gt;</t>
  </si>
  <si>
    <t>10/03 req masuk
11/03 cust FU
12/03 support lampirkan payment receipt</t>
  </si>
  <si>
    <t>10/03 req masuk + support req kronologis
12/03 belum ada update</t>
  </si>
  <si>
    <t>PT Kreasi Kode Kreatif
Tripay</t>
  </si>
  <si>
    <t>10/03 req masuk
10/03 support konfirm ke rekon perihal dana apakah sudah dilimpahkan
11/03 BCA FU
11/03 rekon infokan jika dana belum di setteld
11/03 support req finance untuk tf ke BCA
12/03 BCA FU
12/03 finance tf &amp; support teruskan ke BCA</t>
  </si>
  <si>
    <t>10/03 req masuk
17/03 DONE</t>
  </si>
  <si>
    <t>06/03 Dnt tanyakan trx  7900125000054178 / NACL1397534369
06/03 Support cek di operator reject 
06/03  Support infokan gagal/tidak berhasil karena berbeda amount</t>
  </si>
  <si>
    <t>08/03 nobecul  tanyakan trx  7900121700023089       
08/03 Support cek di mbase apprv 
08/03 infokan sukses</t>
  </si>
  <si>
    <t>PT Trans Berjaya Khatulistiwa</t>
  </si>
  <si>
    <t>Danamon</t>
  </si>
  <si>
    <t>08/03 Tiketux tanyakan trx 9887101218041549
08/03 Support cek di mbase aprvd dan dashboard setld
08/03  Support infokan sukses</t>
  </si>
  <si>
    <t>Bank Raya</t>
  </si>
  <si>
    <t>Raya</t>
  </si>
  <si>
    <t>08/03 Raya tanyakan pengecekan transaksi qris nominal : 158.000 
nominal : 258.000
08/03 Support infokan ke team terkait
08/03 Support infokan trx failed/gagal</t>
  </si>
  <si>
    <t>08/03 Raya tanyakan pengecekan transaksi qris nominal : 100.000  08/03 Support infokan ke team terkait
08/03 Support infokan trx failed/gagal</t>
  </si>
  <si>
    <t>09/03 Kvocuher tanyakan trx 7900119200605379        
09/03 Support cek di mbase no result 
09/03  Support infokan menunggu rekon  09/03 di mbase tidak ada, di pg admin tidak ada, infokan trx gagal</t>
  </si>
  <si>
    <t>09/03 Tripay tanyakan trx T4839531467706CXBYZ
7900117900012460        
09/03 Support cek di mbase pending namun total tagihan dan pembayaran tidak sesuai
09/03  Support infokan Gagal karena total tagihan dan yang di bayarkan tidak sesuai</t>
  </si>
  <si>
    <t>09/03 Tripay tanyakan trx 7900117900037198 // T2858831468439GA5K
7900117900012460        
09/03 Support cek di mbase pending namun total tagihan dan pembayaran tidak sesuai
09/03  Support infokan Gagal karena total tagihan dan yang di bayarkan tidak sesuai</t>
  </si>
  <si>
    <t>09/03 Tripay tanyakan trx T4566631425772TJJY3 dengan nomor VA 4041910117951353
 09/03 Support cek di mbase pending namun total tagihan dan pembayaran tidak sesuai
09/03  Support infokan Gagal karena total tagihan dan yang di bayarkan tidak sesuai</t>
  </si>
  <si>
    <t>Periplus</t>
  </si>
  <si>
    <t>09/03 periplus tanyakan trx  7900121700023089       
09/03 Support cek di mbase apprv 
09/03 infokan sukses</t>
  </si>
  <si>
    <t xml:space="preserve">09/03 dnt  tanyakan 7900125000043195
09/03 Support cek di mbase tidak bisa karna down 
10/03 Support cek operator va 
7900125000043195 / NACL1404532535 setld dan dashboard setld infokan sukses </t>
  </si>
  <si>
    <t xml:space="preserve">09/03 nobecul tanyakan 7900121700068188 2026030939100830826
09/03 Support cek di mbase tidak bisa karna down 
10/03 Support cek operator va 
7900121700068188 setld dan dashboard setld infokan sukses </t>
  </si>
  <si>
    <t xml:space="preserve">09/03 dnt tanyakan 7900125000061942
NACL1404704766
7900125000077112
NACL1404764501
09/03 Support cek di mbase tidak bisa karna down 
10/03 Support cek operator va 
7900125000061942 / NACL1404704766 setld dan dashbaord setld infokan sukses 
10/03 Support cek operator va 
7900125000077112 / NACL1404764501 setld dan dashboard setld infokan sukses </t>
  </si>
  <si>
    <t xml:space="preserve">09/03 dnt tanyakan NACL1404880452
7900125000042728
09/03 Support cek di mbase tidak bisa karna down 
10/03 Support cek operator va 
7900125000042728 / NACL1404880452 setld dan dashboard  setld infokan sukses </t>
  </si>
  <si>
    <t>10/03 Envoiz tanyakan trx va 8919101249154625
10/03 Support cek di mbase tidak ada dan dashboard cancel
10/03 Support infokan ke team terkait
10/03 Support infokan untuk menunggu hasil rekon 
10/03 Info dari tim terkait trx tersebut sukses</t>
  </si>
  <si>
    <t>10/03 Tripay tanyakan trx va 
T4850531413322SRNLL
7900117900095085
10/03 Support cek di mbase cancel scheduler / db cance
10/03 Support cek bukti bayar dan di mbase trx nya beda nominal
10/03 Support infokan trx gagal karena beda nominal</t>
  </si>
  <si>
    <t>10/03 DNT tanyakan trx va 7900125000099804 / NACL1404060657 
10/03 cek di agree ada datanya, sesuai dengan arahan, jika di agree ada datanya maka bisa di info sukses
10/03 Support infokan sukses</t>
  </si>
  <si>
    <t>10/03 DNT tanyakan trx va 7900125000064965 
10/03 cek di agree ada datanya, sesuai dengan arahan, jika di agree ada datanya maka bisa di info sukses
10/03 Support infokan sukses</t>
  </si>
  <si>
    <t xml:space="preserve">10/03 nobecul tanyakan 2026030840100980322
7900121700007835
2026031040100097614
8919101217225273
10/03 Support cek di mbase tidak bisa karna down 
10/03 Support cek operator va 
2026030840100980322
7900121700007835
2026031040100097614
8919101217225273 setld dan dashboard  setld infokan sukses </t>
  </si>
  <si>
    <t>MANDIRI
BCA
BRI</t>
  </si>
  <si>
    <t xml:space="preserve">10/03 dnt tanyakan 2026030840100980322
7900121700007835
2026031040100097614
8919101217225273
10/03 Support cek di mbase tidak bisa karna down 
10/03 Support cek operator va 
2026030840100980322
7900121700007835
2026031040100097614
8919101217225273 setld dan dashboard  setld infokan sukses </t>
  </si>
  <si>
    <t xml:space="preserve">10/03 tripay tanyakan 8903910117956828
T2518531487669HAGVD
10/03 Support cek di mbase tidak bisa karna down 
10/03 Support cek operator va 
8903910117956828
T2518531487669HAGVD setld dan dashboard  setld infokan sukses </t>
  </si>
  <si>
    <t>11/03 Tripay tanyakan trx va 7900117900081645 / 7900117900084591
11/03 Support cek di mbase tidak ada, cek aggree ada datanya, db prismalink cancel
11/03 Support infokan sukses dan upda ke team terkait untuk update</t>
  </si>
  <si>
    <t>11/03 req masuk + support teruskan ke NOBU
11/03 DONE</t>
  </si>
  <si>
    <t>12/03 req masuk + support teruskan ke NOBU
13/03 DONE</t>
  </si>
  <si>
    <t>Ahmad Syafeeq &lt;Ahmad.Syafeeq@rockwellautomation.com&gt;</t>
  </si>
  <si>
    <t>12/03 req masuk
12/03 support melampirkan payment receipt</t>
  </si>
  <si>
    <t>12/03 req masuk</t>
  </si>
  <si>
    <t>12/03 req masuk
13/03 DONE</t>
  </si>
  <si>
    <t>08/03 Kvoucher tanyakan trx 7900119200605389
08/03 Support cek di mbase no result dan dashbaord pending
08/03 Support infokan menunggu rekon
11/03 Support infokan sudah update</t>
  </si>
  <si>
    <t>09/03 Nobecul tanyakan trx 7900121700077365
7900121700007835        
09/03 Support cek di mbase no result / mbase belum ada
09/03  Support infokan menunggu rekon
11/03 info dari team terkait sudah update</t>
  </si>
  <si>
    <t>09/03 Nobecul tanyakan trx 7900121700057792
09/03 Support cek di mbase no result / mbase belum ada
09/03  Support infokan menunggu rekon
11/03 Support infokan sudah update</t>
  </si>
  <si>
    <t>09/03 Tripay tanyakan trx 7900117900073206        
09/03 Support cek di mbase pending , cek di agregator tidak ada
09/03  Support infokan tunggu rekon karena kena cut off dari bank 10/03 infokan gagal</t>
  </si>
  <si>
    <t>09/03 Tripay tanyakan trx T370313148439105K7E
7900117900080086        
09/03 Support cek di mbase pending , cek di agregator tidak ada
09/03  Support infokan tunggu rekon esok hari 11/03 infokan gagal karena di agre tidak masuk</t>
  </si>
  <si>
    <t>11/03 Kvoucher tanyakan trx va 
7900119200608707
11/03 Support cek di mbase tidak ada, cek operator No data available in table dan aggregator ada
11/03 Support infokan ke team terkait untuk update
11/03 info dari team terkait sudah update</t>
  </si>
  <si>
    <t>11/03 Nobecul tanyakan trx va 
7900121700084417 2026031040100494039
11/03 Support cek di mbase tidak ada, cek operator No data available in table dan aggregator ada
11/03 Support infokan ke team terkait untuk update
11/03 info dari team terkait sudah update</t>
  </si>
  <si>
    <t>11/03 Tripay tanyakan trx va 
T4449031487496GLYBN
8903910117923022
11/03 Support cek di mbase tidak ada, cek operator No data available in table dan aggregator ada
11/03 Support infokan ke team terkait untuk update
11/03 info dari team terkait sudah update</t>
  </si>
  <si>
    <t xml:space="preserve">12/03 nobecul tanyakan7900121700020502 
12/03 Support cek di operator settld
12/03 Support infokan sukses </t>
  </si>
  <si>
    <t>PT Naturindo</t>
  </si>
  <si>
    <t xml:space="preserve">12/03 Naturindo tanyakan 4041910120332515
12/03 Support cek di mbase tidak bisa karna down dan dashbaord setld
12/03Support infokan sukses </t>
  </si>
  <si>
    <t xml:space="preserve">12/03 Periplus tanyakan 4041910120332515
12/03 Support cek di mbase  ada dan dashbaord setld
12/03 Support tanyakan ke team terkait 
12/03 Support infokan sukses </t>
  </si>
  <si>
    <t xml:space="preserve">12/03 DNT tanyakan trx  8903910125001849 / NACL1408789726
12/03 Support cek mbase aprvd dan dashboard setld
12/03 Support tanyakan ke team terkait 
12/03 Support infokan sukses </t>
  </si>
  <si>
    <t>09/03 DNT tanyakan trx 8903910125031663 / NACL1402726533           
09/03 Support cek di mbase no result / db cancel
09/03  Support infokan menunggu rekon
10/03 support infokan trx sukses</t>
  </si>
  <si>
    <t>09/03 kvoucher  tanyakan trx  7900119200608712
7900119200608708
2026030937000642107 (7900119200608710)
2026030940100761198 (7900119200608943)   
09/03 Support cek di mbase tidak bisa
10/03 support infokan trx sukses</t>
  </si>
  <si>
    <t>09/03 dnt  tanyakan trx  7900125000046949
NACL1404064651
NACL1404061558
7900125000054663
7900125000099804
NACL1404060657
7900125000060131
NACL1404062827
7900125000064965
NACL1404062414
NACL1399349966
8919101250757697
NACL1404066648
7900125000046851
09/03 Support cek di mbase tidak bisa karna down 
10/03 support infokan trx sukses</t>
  </si>
  <si>
    <t>09/03 nobecul  tanyakan trx  7900121700024171 2026030840100972432
7900121700097702
7900121700085306 2026030940100643473
7900121700097699 - 2026030640100901017 | Amount 100,000
7900121700079114 - 2026030740100075146 | Amount 50,000
09/03 Support cek di mbase tidak bisa 10/03 support infokan trx sukses</t>
  </si>
  <si>
    <t>09/03 tripay  tanyakan trx  7900117900047439
T1140731487590OFXNK
7900117900039054
09/03 Support cek di mbase tidak bisa 
10/03 support infokan trx sukses</t>
  </si>
  <si>
    <t xml:space="preserve">09/03 dnt  tanyakan trx7900125000050518
7900125000046949
NACL1404064651
NACL1398922821
NACL1399076103
NACL1398618325
NACL1397988934
NACL1399014913
NACL1399349966
NACL1404407147
7900125000066985
09/03 Support cek di mbase tidak bisa karna down 
10/03 Support cek operator va 7900125000050518  setld dan dashbaord setld infokan sukses </t>
  </si>
  <si>
    <t>09/03 dnt tanyakan 7900125000061942
NACL1404704766
7900125000077112
NACL1404764501
09/03 Support cek di mbase tidak bisa 10/03 support infokan update</t>
  </si>
  <si>
    <t>09/03 Kvoucher tanyakan trx 7900119200605346        
09/03 Support cek di mbase no result
09/03  Support infokan menunggu rekon
10/03 support infokan sukses</t>
  </si>
  <si>
    <t>Zhao Joy, PA-S-AP-1 &lt;Joy.Zhao@bmw.com&gt;</t>
  </si>
  <si>
    <t>12/03 req masuk
12/03 DONE</t>
  </si>
  <si>
    <t>12/03 req masuk
13/03 BCA FU
16/03 BCA FU
16/03 konfirm ke merchant subj 'FW: [O0140ae3] Rekap : 09/VA ONLINE/BAYAR2.COM'
17/03 tripay infokan jika trx sudah di update sukses
17/03 support infokan jika trx sukses</t>
  </si>
  <si>
    <t>13/03 req masuk + support teruskan ke NOBU
13/03 DONE</t>
  </si>
  <si>
    <t>13/03 req masuk
17/03 DONE</t>
  </si>
  <si>
    <t>11/03 Kvoucher tanyakan trx va 
7900119200605383
11/03 Support cek di mbase tidak ada, cek operator No data available in table dan aggregator ada
11/03 Support infokan ke team terkait untuk update
11/03 info dari team terkait sudah update</t>
  </si>
  <si>
    <t>11/03 Kvoucher tanyakan trx va 
7900121700084417 2026031040100494039
11/03 Support cek di mbase tidak ada, cek operator No data available in table dan aggregator ada
11/03 Support infokan ke team terkait untuk update
11/03 info dari team terkait sudah update</t>
  </si>
  <si>
    <t xml:space="preserve">12/03 Nobecul tanyakan trx  7900121700046919 
12/03 Support cek mbase aprvd dan dashboard setld
12/03 Support tanyakan ke team terkait 
12/03 Support infokan sukses </t>
  </si>
  <si>
    <t>12/03 dnt tanyakan trx va 7900125000094154
12/03 Support cek di mbase cancel scheduler, cek aggree tidak ada datanya
12/03 Support up ke team rekon untuk cek dananya
12/03 Team terkait infokan trx tersebut gagal
12/03 Support infokan trx tersebut gagal</t>
  </si>
  <si>
    <t>13/03 req masuk
13/03 Support konfirm ke BRI
17/03 belum ada update</t>
  </si>
  <si>
    <t>Customerrelations &lt;customerrelations@bca.co.id&gt;</t>
  </si>
  <si>
    <t>16/03 req masuk
16/03 support meminta kronologis
17/03 belum ada update</t>
  </si>
  <si>
    <t>16/03 req masuk + support teruskan ke NOBU
16/03 DONE</t>
  </si>
  <si>
    <t>16/03 req masuk
16/03 support meminta kronologis
17/03 belum ada update
26/03 BCA menanyakan perihal dana</t>
  </si>
  <si>
    <t>PT ENVOIZ DIGITAL INDONESIA
PT Daya Net Gemilang</t>
  </si>
  <si>
    <t>16/03 req masuk
17/03 support infokan trx sukses</t>
  </si>
  <si>
    <t>Lala Sitio &lt;triodorasaragihsitio@gmail.com&gt;</t>
  </si>
  <si>
    <t>16/03 req masuk + user melampirkan kronologis &amp; rek.koran
17/03 support infokan jika trx tersebut direct settelment, support sarankan cust agar menghubungi pihak BANK</t>
  </si>
  <si>
    <t>17/03 req masuk + support teruskan ke NOBU
27/03 DONE</t>
  </si>
  <si>
    <t>16/03 req masuk
26/03 DONE</t>
  </si>
  <si>
    <t xml:space="preserve">13/03 K Voucher tanyakan trx 7900125900067884
13/03 Support cek mbase tidak ditemukan
13/03 Info dari team terkait tunggu hingga besok
15/03 Support infokan sukss karena di agregator ada </t>
  </si>
  <si>
    <t xml:space="preserve">13/03 nobecul tanyakan7900121700020502 
13/03 Support cek di operator settld
13/03 Support infokan sukses </t>
  </si>
  <si>
    <t>BCA
MANDIRI</t>
  </si>
  <si>
    <t>13/03 nobecul tanyakan trx 
2026030940100643085 - 7900121700093119 | Amount 10,000
2026030840100980892 - 7900121700080340 | Amount 10,000
2026030840100980986 - 7900121700015301 | Amount 32,000
2026030840100972592 - 7900121700029458 | Amount 50,500
2026030940100643407 - 7900121700068295 | Amount 30,000
2026030840100972781 - 7900121700090783 | Amount 30,000
2026030840100972482 - 7900121700043091 | Amount 50,000
2026030940100642982 - 7900121700046919 | Amount 90,000
2026030840100972336 - 7900121700082764 | Amount 100,000
2026030940100642633 - 7900121700076260 | Amount 113,000
2026030840100972623 - 7900121700081452 | Amount 10,000
2026030940100642106 - 7900121700087155 | Amount 25,000
2026030840100972682 - 7900121700087955 | Amount 39,000
2026030840100980823 - 7900121700047052 | Amount 20,000
2026030940100643076 - 7900121700052255 | Amount 247,000
2026030840100981052 - 7900121700004289 | Amount 50,000
2026031040101028453 - 7900121700037492 | Amount 10,000
2026031140100218382 - 8919101217787315 | Amount 10,000
2026031140100218468 - 8919101217817116 | Amount 10,000
13/03 Support cek di aggre ada namun di dahboard cancel
13/03 Support infokan ke team terkait untuk di update
13/03 sudah di update team terkait dan infokan sukses</t>
  </si>
  <si>
    <t>13/03 K Voucher tanyakan trx 2026031340101049118 //
7900119200627706
13/03 Support cek mbase tidak ditemukan
13/03 arahkan tunggu rekon
14/03 sudah update sukses</t>
  </si>
  <si>
    <t>13/03 K Voucher tanyakan trx 7900119200627727
13/03 info tim terkait trx sukses</t>
  </si>
  <si>
    <t>13/03 K Voucher tanyakan trx 7900119200627729 / 2026031340101058709
13/03 Support cek mbase tidak ditemukan
13/03 arahkan tunggu rekon
14/03 sudah update sukses</t>
  </si>
  <si>
    <t xml:space="preserve">14/03 hotelmurah tanyakan P87768167 dengan RRN QRIS 1ml368v48830 
14/03 Support cek di dashboard nobu ada, di dashboard plink tidak ada
14/03 Support infokan sukses </t>
  </si>
  <si>
    <t xml:space="preserve">14/03 hotelmurah tanyakan P87768116 dengan RRN b500eaff6024
14/03 Support cek di dashboard nobu ada, di dashboard plink tidak ada
14/03 Support infokan sukses </t>
  </si>
  <si>
    <t xml:space="preserve">14/03 hotelmurah tanyakan P87767224 dengan RRN TNGD03129842 
14/03 Support cek di dashboard nobu ada, di dashboard plink tidak ada
14/03 Support infokan sukses </t>
  </si>
  <si>
    <t xml:space="preserve">14/03 hotelmurah tanyakan P87767307 dengan RRN 74c68bd5958d
14/03 Support cek di dashboard nobu ada, di dashboard plink tidak ada
14/03 Support infokan sukses </t>
  </si>
  <si>
    <t xml:space="preserve">14/03 hotelmurah tanyakan P87770955 dengan RRN 018311727461
14/03 Support cek di dashboard nobu ada, di dashboard plink tidak ada
14/03 Support infokan sukses </t>
  </si>
  <si>
    <t xml:space="preserve">14/03 hotelmurah tanyakan P87770952 dengan RRN 018272115124 
14/03 Support cek di dashboard nobu ada, di dashboard plink tidak ada
14/03 Support infokan sukses </t>
  </si>
  <si>
    <t xml:space="preserve">14/03 hotelmurah tanyakan P87769795 dengan RRN 1ml3v9036944
14/03 Support cek di dashboard nobu ada, di dashboard plink tidak ada
14/03 Support infokan sukses </t>
  </si>
  <si>
    <t xml:space="preserve">14/03 hotelmurah tanyakan P87768126 dengan RRN 018225531984
14/03 Support cek di dashboard nobu ada, di dashboard plink tidak ada
14/03 Support infokan sukses </t>
  </si>
  <si>
    <t xml:space="preserve">14/03 Hotelmurah tanyakan P87769153 RRN  c30ae611a0ec 
14/03 Support cek di dashboard nobu ada, di dashboard plink cancel
14/03 Support infokan ke team terkait
14/03 Support infokan sukses 
</t>
  </si>
  <si>
    <t xml:space="preserve">14/03 Hotelmurah tanyakan P87770863 RRN  1ml4a9800870 
14/03 Support cek di dashboard nobu ada, di dashboard plink cancel
14/03 Support infokan ke team terkait
14/03 Support infokan sukses </t>
  </si>
  <si>
    <t xml:space="preserve">15/03 DNT tanyakan trx NACL1408619381 / 7900125000099494 
15/03 Support cek mbase aprvd dandashboard setld 
15/03 Support infokan sukses 
</t>
  </si>
  <si>
    <t xml:space="preserve">15/03 Kvoucher tanyakan trx 7900119200621104 
15/03 Support cek mbase aprvd dengan 2 trx nominal berbeda 10.000 dan 18.000
15/03 Support infokan sukses </t>
  </si>
  <si>
    <t>17/03 req masuk
27/03 DONE</t>
  </si>
  <si>
    <t>17/03 req masuk
26/03 DONE</t>
  </si>
  <si>
    <t>Matt Arnold &lt;mclarnold@hotmail.com&gt;</t>
  </si>
  <si>
    <t>17/03 req masuk, cust infokan tercharge 3x
17/03 support meminta info no cc yg digunakan
18/03 cust lampirkan cc yg digunakan
18/03 DONE, support refund</t>
  </si>
  <si>
    <t>Xinshu &lt;820860769@qq.com&gt;</t>
  </si>
  <si>
    <t>18/03 req masuk, cust infokan tercharge 2x
18/03 support minta info cc yg digunakan
18/03 cust lampirkan cc yg digunakan
18/03 DONE, support refund</t>
  </si>
  <si>
    <t>17/03 req masuk + support teruskan ke NOBU
26/03 DONE</t>
  </si>
  <si>
    <t>Erwin Ramie &lt;erwin.ramie@gmail.com&gt;</t>
  </si>
  <si>
    <t>18/03 req masuk, cust infokan tercharge 2x
18/03 DONE, support refund</t>
  </si>
  <si>
    <t>Muhammad Rivani &lt;muhrivani19@gmail.com&gt;</t>
  </si>
  <si>
    <t>19/03 req masuk dgn melampirkan kronologis dkk
19/03 support teruskan ke merchant
26/03 merchant meminta penjelasan dr user
30/03 envoiz FU
30/03 support infokan belum ada update
30/03 support konfirm ke customer + customer konfirm + support teruskan info ke merchant
31/03 envoiz meminta bukti tagihan
31/03 support teruskan ke customer
01/04 belum ada update</t>
  </si>
  <si>
    <t>Merchant Business &lt;merchant.business@nobubank.com&gt;</t>
  </si>
  <si>
    <t xml:space="preserve">Digicell
</t>
  </si>
  <si>
    <t>19/03 req masuk
20/03 support lampirkan trx sukses</t>
  </si>
  <si>
    <t>Reyza Dyah Zaviera &lt;reyzaviera27@gmail.com&gt;</t>
  </si>
  <si>
    <t>21/03 req masuk dgn melampirkan kronologis dkk
21/03 support ack + teruskan ke merchant  'FW: Pengecekan Transaksi VA 7900121700075614'
22/03 merchant infokan bisa memotong settelment harian
02/04 support sarankan agar user lapor ke BCA</t>
  </si>
  <si>
    <t>22/03 req refund, cust tercharge 2x
22/03 support meminta info cc yg digunakan
24/03 cust melampirkan info cc yg digunakan
24/03 support meminta info trx date
24/03 cust infokan trx date tgl 17/03
27/03 support refund</t>
  </si>
  <si>
    <t>18236432040 &lt;18236432040@163.com&gt;</t>
  </si>
  <si>
    <t>23/03 req refund, cust tercharge 3x
23/03 support meminta info cc yg digunakan
27/03 belum ada update</t>
  </si>
  <si>
    <t>Hey! Josie &lt;josephinelee1120@gmail.com&gt;</t>
  </si>
  <si>
    <t>23/03 req refund, cust tercharge 2x
23/03 support meminta info cc yg digunakan
25/03 cust melampirkan info cc yg digunakan
27/03 support infokan jika trx tersebut sukses dan hanya terjadi 1x
27/03 cust infokan jika tercharge 2x
27/03 support infokan jika di screenshoot ada refund</t>
  </si>
  <si>
    <t>and062025@gmail.com</t>
  </si>
  <si>
    <t>23/03 req refund, cust tercharge 2x
23/03 support meminta info cc yg digunakan
23/03 cust melampirkan info cc
24/03 support refund</t>
  </si>
  <si>
    <t>Riccardo Tumminia &lt;ricky.tumminia@gmail.com&gt;</t>
  </si>
  <si>
    <t>25/03 req masuk, cust infokan tercharge 2x
25/03 support meminta info cc yg digunakan
26/03 cust melampirkan cc yg digunakan
26/03 support refund</t>
  </si>
  <si>
    <t>25/03 req masuk + support teruskan ke NOBU
27/03 DONE</t>
  </si>
  <si>
    <t>Enzo Bianchi &lt;enzo74330@yahoo.fr&gt;</t>
  </si>
  <si>
    <t>25/03 req masuk, cust infokan tercharge 2x
25/03 support meminta info cc yg digunakan
27/03 belum ada update</t>
  </si>
  <si>
    <t>25/03 req masuk
25/03 support melampirkan trx sukses</t>
  </si>
  <si>
    <t>marwa alameri &lt;mrawyal3amri@hotmail.com&gt;</t>
  </si>
  <si>
    <t>25/03 req masuk, cust infokan ingin dana dikembalikan
25/03 support meminta info cc yg digunakan
27/03 belum ada update</t>
  </si>
  <si>
    <t>Dnd Cell</t>
  </si>
  <si>
    <t>25/03 req masuk
02/04 DONE</t>
  </si>
  <si>
    <t>Ертай Майлыгулов &lt;ertai0409@mail.ru&gt;</t>
  </si>
  <si>
    <t>25/03 req masuk, cust infokan ingin dana dikembalikan
25/03 support meminta info cc yg digunakan
27/03 belum ada update
10/04 cust lampirkan cc
10/04 support infokan trx valid</t>
  </si>
  <si>
    <t>Saver Cell</t>
  </si>
  <si>
    <t>Puneet Lamba &lt;puneetlamba02@gmail.com&gt;</t>
  </si>
  <si>
    <t>25/03 req masuk, cust infokan tercharge 3x
25/03 support meminta info cc yg digunakan
25/03 cust lampirkan cc
26/03 support refund</t>
  </si>
  <si>
    <t>25/03 req masuk
25/03 support meminta kronologis dkk
27/03 belum ada update</t>
  </si>
  <si>
    <t>Growcell</t>
  </si>
  <si>
    <t>25/03 req masuk
25/03 support infokan trx sukses</t>
  </si>
  <si>
    <t>Sunil Bhuju &lt;sunilsubha.sb@gmail.com&gt;</t>
  </si>
  <si>
    <t>26/03 req masuk, cust infokan tercharge 3x
26/03 support meminta info cc yg digunakan
26/03 cust lampirkan cc
26/03 support refund</t>
  </si>
  <si>
    <t>26/03 KKD KONFIRMASI Pre-Arbitrasi 
26/03 Support infokan jika terdapat request Pre-Arb dari Bank</t>
  </si>
  <si>
    <t>26/03 req masuk + support teruskan ke NOBU
30/03 DONE</t>
  </si>
  <si>
    <t>25/03 KKD KONFIRMASI Pre-Arbitrasi 
25/03 Support infokan jika terdapat request Pre-Arb dari Bank</t>
  </si>
  <si>
    <t>26/03 req masuk
02/04 DONE</t>
  </si>
  <si>
    <t>16/03 dnt tanyakan 7900125000023890 // NACL1419391372
14/03 Support cek di mbase tidak ada ada, di dashboard plink tidak ada
16/03 Support infokan menunggu rekon
17/03 Info dari rekon dana tersebut tidak ada, support infokan gagal</t>
  </si>
  <si>
    <t>18/03 dnt tanyakan NACL1423407356 / 018162942608
18/03 Support cek db nobu ada dan db prismalink sukses
18/03 support infokan sukses</t>
  </si>
  <si>
    <t>18/03 dnt tanyakan ID NACL1424240335 // RRN 000314104914
18/03 Support cek db nobu ada dan db prismalink sukses
18/03 support infokan sukses</t>
  </si>
  <si>
    <t>18/03 dnt tanyakan NACL1424436502 // RRN 000316650626 
18/03 Support cek db nobu ada dan db prismalink sukses
18/03 support infokan sukses</t>
  </si>
  <si>
    <t>17/03 dnt tanyakan 4041910124989996  // NACL1420438634 
17/03 Support cek di statmen BRI ada
17/03 koordinasi dengan tim terkait untuk update status trx
17/03 Support infokan sukses</t>
  </si>
  <si>
    <t>19/03 dnt tanyakan 018476687715
19/03 Support cek di db nobu collect mtn cari di db ada status pending, check status menjadi settld
19/03 Support infokan sukses</t>
  </si>
  <si>
    <t>19/03 dnt tanyakan  018130462932 
19/03 Support cek di db nobu collect mtn cari di db ada status pending, check status menjadi settld
19/03 Support infokan sukses</t>
  </si>
  <si>
    <t xml:space="preserve">19/03 DNT tanyakan NACL1425185497 RRN 603591010917
19/03 Support cek di dashboard nobu ada, di dashboard plink pending
19/03 Support infokan ke team terkait
19/03 Support infokan sukses </t>
  </si>
  <si>
    <t xml:space="preserve">19/03 DNT tanyakanNACL1424485309 RRN 000000R2QY0C 
19/03 Support cek di dashboard nobu ada, di dashboard plink pending
19/03 Support infokan ke team terkait
19/03 Support infokan sukses </t>
  </si>
  <si>
    <t>19/03 DNT tanyakan NACL1423618331 / 000000R1HDG6
19/03 Support cek di dashboard nobu ada, di dashboard plink sukses
19/03 Support infokan sukses</t>
  </si>
  <si>
    <t>19/03 DNT tanyakan NACL1426837348 / 0000341471982
19/03 Support cek di dashboard nobu ada, di dashboard plink sukses
19/03 Support infokan sukses</t>
  </si>
  <si>
    <t>20/03 dnt tanyakan  359910915622 // NACL1427268983  
20/03 Support cek di db nobu collect mtn cari di db ada status pending, check status menjadi settld
20/03 Support infokan sukses</t>
  </si>
  <si>
    <t>20/03 dnt tanyakan  018358850083
20/03 Support cek di db nobu collect mtn cari di db ada status pending, check status menjadi settld
20/03 Support infokan sukses</t>
  </si>
  <si>
    <t>20/03 dnt tanyakan  346410723
20/03 Support cek di db nobu collect mtn cari di db ada status pending, check status menjadi settld
20/03 Support infokan sukses</t>
  </si>
  <si>
    <t xml:space="preserve">20/03 DNT tanyakan NACL1427294665 RRN 1mr6n5c35159
20/03 Support cek di dashboard nobu ada, di dashboard plink cancel
20/03 Support infokan ke team terkait dan lakukan cek status menjadi setl
20/03 Support infokan sukses </t>
  </si>
  <si>
    <t xml:space="preserve">20/03 DNT tanyakanNACL1427294524 RRN 018333337939
20/03 Support cek di dashboard nobu ada, di dashboard plink cancel
20/03 Support infokan ke team terkait dan lakukan cek status menjadi setl
20/03 Support infokan sukses </t>
  </si>
  <si>
    <t xml:space="preserve">20/03 DNT tanyakan
NACL1427294117 RRN 000000R6CDJF
20/03 Support cek di dashboard nobu ada, di dashboard plink cancel
20/03 Support infokan ke team terkait dan lakukan cek status menjadi setl
20/03 Support infokan sukses </t>
  </si>
  <si>
    <t xml:space="preserve">20/03 DNT tanyakan
NACL1427142102 RRN 000345004624
20/03 Support cek di dashboard nobu ada, di dashboard plink cancel
20/03 Support infokan ke team terkait dan lakukan cek status menjadi setld
20/03 Support infokan sukses </t>
  </si>
  <si>
    <t xml:space="preserve">20/03 DNT tanyakan
NACL1424327115 RRN/No Ref JQI575514570
20/03 Support cek di dashboard nobu ada, di dashboard plink cancel
20/03 Support infokan ke team terkait dan lakukan cek status menjadi setld
20/03 Support infokan sukses </t>
  </si>
  <si>
    <t xml:space="preserve">20/03 DNT tanyakan
NACL1427001732 RRN 603597289429
20/03 Support cek di dashboard nobu ada, di dashboard plink cancel
20/03 Support infokan ke team terkait dan lakukan cek status menjadi setld
20/03 Support infokan sukses </t>
  </si>
  <si>
    <t xml:space="preserve">20/03 DNT tanyakan
NACL1426630152 RRN 603596782416
20/03 Support cek di dashboard nobu ada, di dashboard plink cancel
20/03 Support infokan ke team terkait dan lakukan cek status menjadi setld
20/03 Support infokan sukses </t>
  </si>
  <si>
    <t>20/03 DNT tanyakan
NACL1421276008
NACL1423384005
NACL1424358984
NACL1425189466
NACL1425192007
NACL1427345268
NACL1427346879
NACL1427348094
NACL1427348107
NACL1427348513
20/03 Support cek di dashboard nobu ada, di dashboard plink check stts sttld</t>
  </si>
  <si>
    <t>20/03 DNT tanyakan 018381511293
20/03 Support up ke nobu dan info dari nobu RC68</t>
  </si>
  <si>
    <t>20/03 Tripay tanyakan  8903910117916006
20/03 Support cek di plink sttled namun db cancel
20/03 Support up untuk update
20/03 update sukses</t>
  </si>
  <si>
    <t>20/03 Tripay tanyakan  4041910117980762
20/03 Support cek di plink pending
20/03 Support up untuk update
20/03 update sukses</t>
  </si>
  <si>
    <t xml:space="preserve">22/03 Hotelmurah tanyakan P88595369 dengan RRN  018273003799
22/03 Support cek di dashboard nobu ada, di dashboard plink cancel
22/03 Support infokan ke team terkait
22/03 Support infokan sukses </t>
  </si>
  <si>
    <t>22/03 Kvoucher tanyakan  7900119200675422
22/03 Support cek di plink rejected
22/03 Support up untuk cek log
22/03 Support infokan gagal karena beda nominal</t>
  </si>
  <si>
    <t>22/03 Hotel murah tanyakan  P88595369 dengan RRN  018273003799  
22/03 Support cek di dashboard nobu ada
22/03 Support infokan sukses</t>
  </si>
  <si>
    <t>22/03 Nobecul tanyakan  7900121700014860
22/03 Support cek di plink rejected
22/03 Support up untuk cek log
22/03 Support infokan gagal karena beda nominal</t>
  </si>
  <si>
    <t>23/03 dnt tanyakan  420460567
23/03 info nobu rc68
23/03 Support infokan Rc68</t>
  </si>
  <si>
    <t>23/03 dnt tanyakan  000000R68JZ3
23/03 info nobu rc68
23/03 Support infokan Rc68</t>
  </si>
  <si>
    <t>23/03 dnt tanyakan  018167389919
23/03 info nobu rc68
23/03 Support infokan Rc68</t>
  </si>
  <si>
    <t>23/03 dnt tanyakan  018381511293 
23/03 info nobu trx gagal
23/03 Support infokan gagal</t>
  </si>
  <si>
    <t>23/03 dnt tanyakan  RRN: 018424502593
23/03 Support cek di db nobu collect mtn cari di db ada status pending, check status menjadi settld
23/03 Support infokan sukses</t>
  </si>
  <si>
    <t>1. Pastikan merchant &amp; transaksi tersebut valid
2. Cek QR di dashboard NOBU/BNC
3. Hit button check-status di dashboard.plink.co.id</t>
  </si>
  <si>
    <t xml:space="preserve">24/03 Kvoucher tanyakan 7900119200662830
24/03 Support cekoperator rejectd
24/03 Support infokan failed </t>
  </si>
  <si>
    <t>Saku Laundry</t>
  </si>
  <si>
    <t>24/03 DNT  tanyakan status tranasaksinya
INTERNALCELL
RRN 438689490 // ID NACL1434388282
SITRACELL 
NACL1428346146
INTEGRACELL
NACL1431750502
NACL1432135977
Growcell
NACL1433767104
DND CEll
NACL1431987531
NACL1432655103
NACL1432654628
NACL1432653587
NACL1432621337
24/03 Support cek di dashboard stts nya cancel
24/03 Support cek status berubah setld, infokan sukses</t>
  </si>
  <si>
    <t>24/03 dnt tanyakan  RRN: 018467618945 
24/03 Support cek di db nobu collect mtn cari di db ada status pending, check status menjadi settld
24/03 Support infokan sukses</t>
  </si>
  <si>
    <t>24/03 dnt tanyakan  7900125000052304  
24/03 Support cek di db dan mbase tidak ada
24/03 Support infokan gagal</t>
  </si>
  <si>
    <t>24/03 dnt tanyakan  RRN: 018384772839 
24/03 Support cek di db nobu collect mtn cari di db ada status pending, check status menjadi settld
24/03 Support infokan sukses</t>
  </si>
  <si>
    <t>24/03 dnt tanyakan  RRN: RRN: 603647887494 
24/03 Support cek di db nobu collect mtn cari di db ada status pending, check status menjadi settld
24/03 Support infokan sukses</t>
  </si>
  <si>
    <t xml:space="preserve">25/03 Dnt tanyakan NACL1435771579 /  018284786001  
25/03 Support cek di db nobu collect mtn cari di db ada status pending, check status menjadi settld
25/03 Support infokan sukses dan ajarkan tata cara nya </t>
  </si>
  <si>
    <t xml:space="preserve">25/03 Dnt tanyakan ID NACL1436212771 // dengan RRN 603651408953
25/03 Support cek di db nobu collect mtn cari di db ada status cancel, check status menjadi settld
25/03 Support infokan sukses dan ajarkan tata cara nya </t>
  </si>
  <si>
    <t xml:space="preserve">25/03 Dnt tanyakan NACL1435652848
NACL1435570506
NACL1435613598
25/03 Support cek di db nobu collect mtn cari di db ada status cancel, check status menjadi settld
25/03 Support infokan sukses dan ajarkan tata cara nya </t>
  </si>
  <si>
    <t xml:space="preserve">25/03 Dnt tanyakan NACL1434364483
25/03 Support cek di db nobu collect mtn cari di db ada status cancel, check status menjadi settld
25/03 Support infokan sukses dan ajarkan tata cara nya </t>
  </si>
  <si>
    <t>25/03 Nobecul  tanyakan trx 7900121700018278   
25/03 Support cek di db dan mbase pending
25/03 Support koordinasi dengan tim terkait untuk update statusnya, infokan sukses</t>
  </si>
  <si>
    <t>26/03 dnt tanyakan  RRN: RRN: 115175846558 
26/03 Support cek di db nobu collect mtn cari di db ada status pending, check status menjadi settld
26/03 Support infokan sukses</t>
  </si>
  <si>
    <t>Koketso Macheru &lt;koketsomacheru25@gmail.com&gt;</t>
  </si>
  <si>
    <t>26/03 req masuk, cust infokan tercharge 2x
26/03 support meminta info cc yg digunakan
27/03 belum ada update</t>
  </si>
  <si>
    <t>26/03 req masuk
26/03 support infokan jika trx VA sukses</t>
  </si>
  <si>
    <t>16/03 req masuk
02/04 DONE</t>
  </si>
  <si>
    <t xml:space="preserve">Sitracell           
UNIV SAINS INDONESIA
Sitracell   
Asia Cell   
Alfacell   
</t>
  </si>
  <si>
    <t>26/03 req masuk
27/03 support lampirkan trx sukses</t>
  </si>
  <si>
    <t>27/03 req masuk + support teruskan ke NOBU
27/03 DONE</t>
  </si>
  <si>
    <t>27/03 req masuk + support minta kronologis dkk
31/03 Mandiri menanyakan perihal pengembalian dana
31/03 support infokan jika terbukti bisa dikembalikan
31/03 belum ada update
02/04 mandiri melampirkan surat kepolisian
02/04 support arahkan untuk mengiri kronologis dkk</t>
  </si>
  <si>
    <t>27/03 req masuk, cust meminta receipt
27/03 support meminta info cc yang digunakan
27/03 cust lampirkan cc yg digunakan
27/03 DONE</t>
  </si>
  <si>
    <t>27/03 req masuk + support minta kronologis dkk
31/03 belum ada update</t>
  </si>
  <si>
    <t>26/03 DNT tanyakan trx 4041910125009083   
26/03 Support cek di db dan plink sukses
26/03 Support infokan sukses</t>
  </si>
  <si>
    <t>26/03 DNT tanyakan trx 8903910125044109   
26/03 Support cek di db dan plink belum ditemukan
26/03 sudah update team terkait
26/03 Support infokan sukses</t>
  </si>
  <si>
    <t>27/03 Nobecul tanyakan trx 7900121700067092 
27/03 Support cek operator reject
27/03 Support infokan trx tersebut gagal</t>
  </si>
  <si>
    <t>Stanslav Akimenko &lt;kimenst.mail@gmail.com&gt;</t>
  </si>
  <si>
    <t>27/03 req masuk + support meminta info cc
27/03 cust melampirkan info cc yg digunakan
29/03 DONE, support infokan trx sukses dan tdk bisa di refund</t>
  </si>
  <si>
    <t>27/03 req masuk, cust meminta refund
27/03 support refund</t>
  </si>
  <si>
    <t>27/03 req masuk
03/04 DONE</t>
  </si>
  <si>
    <t>27/03 req masuk
27/03 support meminta kronologis dkk
27/03 belum ada update</t>
  </si>
  <si>
    <t>Tasya &lt;tasya.kuatbaca@gmail.com&gt;</t>
  </si>
  <si>
    <t>27/03 req masuk
27/03 support meminta info cc yg digunakan
30/03 cust lampirkan info cc yg digunakan
30/03 support infokan jika pengajuan gagal &amp; sarankan coba lagi
30/03 cust tanyakan jika saldo sudah terpotong apakah akan ada refund otomatis</t>
  </si>
  <si>
    <t>27/03 req masuk
30/03 BCA FU
31/03 BCA FU
31/04 support konfirm ke rekon perihal dana
02/04 BCA FU
02/04 support infokan jika trx berikut sudah sukses</t>
  </si>
  <si>
    <t>27/03 req masuk
27/03 support melampirkan trx sukses</t>
  </si>
  <si>
    <t>27/03 req masuk, cust infokan double payment
27/03 support meminta info cc yg digunakan
27/03 cust lampirkan cc yang digunakan
28/03 DONE support refund</t>
  </si>
  <si>
    <t>SOP #09</t>
  </si>
  <si>
    <t>Z:\03. Operation\08. Merchant Support\Prosedur L1\24. ISSUE - SOP Refund CC VoA.pdf</t>
  </si>
  <si>
    <t>chando0728@yahoo.co.jp</t>
  </si>
  <si>
    <t>27/03 req masuk, cust infokan trx double
27/03 support meminta info cc yg digunakan
28/03 cust lampirkan cc yg diguanakan
28/03 support refund</t>
  </si>
  <si>
    <t>mkiozuuytoauni@keio.jp</t>
  </si>
  <si>
    <t>28/03 req masuk, cust infokan trx doble
28/03 support meminta info cc yang diguanakan
28/03 cust melampirkan cc yg diguanakan
28/03 support refund</t>
  </si>
  <si>
    <t>Adele Leverett &lt;adelelev1966@gmail.com&gt;</t>
  </si>
  <si>
    <t>28/03 req masuk, cust infokan trx doble
28/03 support meminta info cc yang diguanakan
28/03 cust lampirkan cc yg digunakan
28/03 support infokan jika trx itu untuk 2x payment &amp; lampirkan cust name</t>
  </si>
  <si>
    <t>Thomas &lt;strainchamps.thomas@gmail.com&gt;</t>
  </si>
  <si>
    <t>28/03 req masuk, cust infokan trx 3x
28/03 support meminta info cc yang diguanakan
28/03 cust lampirkan cc yg digunakan
28/03 support refund 1 trx</t>
  </si>
  <si>
    <t>N.V.S.Nikhilesh &lt;nikhileshnvs@gmail.com&gt;</t>
  </si>
  <si>
    <t>28/03 req masuk, cust infokan trx 2x
28/03 support meminta info cc yg digunakan
28/03 cust lampirkan cc yg diguanakan
28/03 support refund</t>
  </si>
  <si>
    <t>Alex &lt;alexander.agenosov@gmail.com&gt;</t>
  </si>
  <si>
    <t>Arina Talanova &lt;talanovarina@gmail.com&gt;</t>
  </si>
  <si>
    <t>28/03 req masuk, cust infokan trx 2x
28/03 support meminta info cc yg digunakan
29/03 cust lampirkan cc yg diguanakan
29/03 support infokan trx sukses &amp; tdk bisa refund</t>
  </si>
  <si>
    <t>javier asiain &lt;asiain98@gmail.com&gt;</t>
  </si>
  <si>
    <t>Artem Radin &lt;artemius.radin@gmail.com&gt;</t>
  </si>
  <si>
    <t>29/03 req masuk
29/03 support meminta info cc yg digunakan
29/03 done support refund</t>
  </si>
  <si>
    <t>Alice Morel &lt;alice.j.morel@gmail.com&gt;</t>
  </si>
  <si>
    <t>30/03 req masuk
30/03 done support refund</t>
  </si>
  <si>
    <t>30/03 req masuk
31/02 DONE</t>
  </si>
  <si>
    <t>30/01 KKD KONFIRMASI Pre-Arbitrasi 
30/01 Support infokan jika terdapat request Pre-Arb dari Bank</t>
  </si>
  <si>
    <t>27/03 dnt tanyakan trx 000000R68JZ3 
27/03 Support cek db prismalink dan db nobu tidak ada
27/03 Support up ke wag nobu dan nobu infokan RC68</t>
  </si>
  <si>
    <t>27/03 DNT tanyakan trx 8919101250538338 / NACL1439894719 
27/03 Support cek operator sukses namun db cancel
27/03 Support up team terkait untuk update dan infojan sukses</t>
  </si>
  <si>
    <t>27/03 DNT tanyakan trx 8919101250524768 / NACL1440496233
27/03 Support cek operator sukses namun db cancel
27/03 Support up team terkait untuk update dan infojan sukses</t>
  </si>
  <si>
    <t>BNC</t>
  </si>
  <si>
    <t>29/03 Laundry merchant tanyakan trx RRN AX4UEDTSIZRK
29/03 Support cek db bnc sukses 
29/03 Support infokan transaksi tersebut sukses</t>
  </si>
  <si>
    <t>30/03 req masuk
03/04 DONE</t>
  </si>
  <si>
    <t>30/03 KKD KONFIRMASI Pre-Arbitrasi 
30/03 Support infokan jika terdapat request Pre-Arb dari Bank</t>
  </si>
  <si>
    <t>jacobdeabreu7@icloud.com</t>
  </si>
  <si>
    <t>30/03 req masuk + support meminta info cc yg digunakan
02/04 belum ada update</t>
  </si>
  <si>
    <t>31/03 req masuk
31/03 DONE</t>
  </si>
  <si>
    <t>30/03 dnt tanyakan  NACL1444377895
8919101250044413
30/03 cek setld, support update
30/03 Support infokan sukses</t>
  </si>
  <si>
    <t>31/03 req masuk
31/03 support meminta kronologi dkk
02/04 belum ad aupdate</t>
  </si>
  <si>
    <t>David Liknaitzky &lt;dliknaitzky@gmail.com&gt;</t>
  </si>
  <si>
    <t>31/03 req masuk, cust  infokan jika tercharge 3x
31/03 support meminta info cc yg digunakan
02/04 belum ada update</t>
  </si>
  <si>
    <t>01/04 req masuk
01/04 DONE</t>
  </si>
  <si>
    <t>01/04 req masuk + support meminta kronologi dkk
02/04 belum ada update
07/04 mandiri menanyakan perihal pengembalian dana
07/04 support infokan template</t>
  </si>
  <si>
    <t>29/03 Saku laundry tanyakan  trx 
RRN 603696616156 
RRN 163780506
RRN 164688451
RRN ESB460500169
RRN 166612822
RRN 001087643405
RRN 167056727
RRN 167177796
RRN 167372844
RRN 167593936
RRN 010000BTGWFJ
RRN 167616211
RRN 167743187
RRN 010000BTGM0H
RRN AX4U1MFNH93G
RRN AX4UEDTSJUR2
RRN AX4UR57ZPLZF
RRN AX4UEDTSJ1XS
RRN AX4UR57ZPXR2
RRN AX4U1MFNGRLQ
RRN c78fd7788a66
RRN AX4UEDTOC3ZB
RRN 11c0ea4ceb41
RRN fe4cd6ce3615
RRN AX4UR57ZQE7U 
RRN AX4UR57ZQHZA
RRN 167748962 
RRN 603696616156
RRN 603696547314
RRN 603696616156
RRN 000029835126
29/03 Support cek di back end BNC sukses 
29/03 Support infokan trx sukses</t>
  </si>
  <si>
    <t>30/03 DNT Tanyakan status trx 7900125000066483
30/03 Support cek di dashboard cancel dan di agregator ada
30/03 Support koordinasi dengan tim terkait untuk update stausnya dan infokan sukses</t>
  </si>
  <si>
    <t>30/03 DNT Tanyakan status trx  ID NACL1444506413 // RRN Qris 1n2pmeq59036
30/03 Support cek di dashboard cancel dan di nobu ada
30/03 Support check status berubah jadi sukses dan infokan sukses</t>
  </si>
  <si>
    <t>30/03 Undira Tanyakan status trx  ID 8919101250243932
30/03 Support cek di dashboard cancel dan di agregaotr sukses
30/03 Support koordinasi dengan tim terkait untuk update statusnya dan infokan sukses</t>
  </si>
  <si>
    <t>30/03 dnt tanyakan 7900125000054501 
30/03 belum ditemukan
30/03 Support infokan menunggu rekon
01/04 Info dari rekon, dananya ada. Support infokan sukses</t>
  </si>
  <si>
    <t>30/03 dnt tanyakan 8919101249407534  
30/03 belum ditemukan
30/03 Support infokan menunggu rekon
01/04 Info dari rekon, dananya ada. Support infokan sukses</t>
  </si>
  <si>
    <t>m13659818830_1 &lt;13659818830@163.com&gt;</t>
  </si>
  <si>
    <t>01/04 req masuk, cust meminta payment receipt
01/04 done support lampirkan receipt payment</t>
  </si>
  <si>
    <t>Hanna Prokopova &lt;hannaprokopova.kpi@gmail.com&gt;</t>
  </si>
  <si>
    <t>01/04 req masuk
01/04 done refund</t>
  </si>
  <si>
    <t>02/04 req masuk
02/04 DONE</t>
  </si>
  <si>
    <t>30/03 DNT Tanyakan status trx  297503f28943
30/03 Support cek di dashboard cancel dan di nobu tidak ada
30/03 Support up ke nobu, di infokan gagal, support infokan trx gagal</t>
  </si>
  <si>
    <t>Carmen Cúneo &lt;carmenmcuneoyanzon@gmail.com&gt;</t>
  </si>
  <si>
    <t>02/04 req masuk
02/04 support meminta info cc yg digunakan
02/04 cust melampirkan info cc yg digunakan
02/04 support infokan jika trx valid
02/04 cust infokan jika tercharge 3x
03/04 cust FU
03/04 DONE refund</t>
  </si>
  <si>
    <t>02/04 req masuk
06/04 DONE</t>
  </si>
  <si>
    <t>Tianah &lt;tokotianah123@gmail.com&gt;</t>
  </si>
  <si>
    <t>02/04 req masuk + support meminta kronologis
07/04 belum ada update</t>
  </si>
  <si>
    <t>02/04 req masuk + support meminta kronologis</t>
  </si>
  <si>
    <t>02/04 KKD KONFIRMASI Pre-Arbitrasi 
02/04 Support infokan jika terdapat request Pre-Arb dari Bank</t>
  </si>
  <si>
    <t>02/04 req masuk, cust infokan double payment
02/04 support meminta info cc yg digunakan
02/04 cust infokan cc yg digunakan
02/04 support infokan trx tersebut sukses untuk 2 orng
02/04 support infokan jika trx sukses &amp; tdk bisa refund</t>
  </si>
  <si>
    <t>02/04 req masuk
02/04 support infokan trx sukses</t>
  </si>
  <si>
    <t>Eleni Papadopoulou &lt;eleni_pap22@hotmail.com&gt;</t>
  </si>
  <si>
    <t>03/04 req masuk, cust infokan tercharge 4x
03/04 support meminta info cc yg digunakan
03/04 cust lampirkan cc yg digunakan
03/04 DONE support refund</t>
  </si>
  <si>
    <t>Abs Dey &lt;absdey88@gmail.com&gt;</t>
  </si>
  <si>
    <t>03/04 req masuk
03/04 support meminta info cc yg digunakan
03/04 cust infokan tercharge 3x
03/04 DONE support refund</t>
  </si>
  <si>
    <t>03/04 req masuk
03/04 support meminta detail kejadian
07/04 belum ada update</t>
  </si>
  <si>
    <t>03/04 req masuk
03/04 DONE support refund</t>
  </si>
  <si>
    <t>03/04 req masuk
03/04 support infokan trx sukses</t>
  </si>
  <si>
    <t>Alomogada</t>
  </si>
  <si>
    <t>03/04 req masuk
03/04 support infokan jika MTN tidak ditemukan</t>
  </si>
  <si>
    <t>Daria G &lt;dgerasi4@gmail.com&gt;</t>
  </si>
  <si>
    <t>05/04 req masuk
08/04 cust FU + support proses refund</t>
  </si>
  <si>
    <t>Salma &lt;salmasydney06@gmail.com&gt;</t>
  </si>
  <si>
    <t>05/04 req masuk
05/04 support meminta kronologis dikasih materai dan di ttd
07/04 belum dibalas</t>
  </si>
  <si>
    <t>Maria Fernandez &lt;maria.mariafernandez@gmail.com&gt;</t>
  </si>
  <si>
    <t>05/04 req masuk
05/04 support meminta info cc yg digunakan
06/04 cust melampirkan cc yg digunakan
06/04 DONE refund</t>
  </si>
  <si>
    <t>Tom &lt;tompowellemail@gmail.com&gt;</t>
  </si>
  <si>
    <t>05/04 req masuk
05/04 support meminta info cc yg digunakan
06/04 cust melampirka cc yg digunakan
06/04 support infokan trx sukses &amp; sudah diteruskan ke goverment sehingga tdk bisa direfund</t>
  </si>
  <si>
    <t>06/04 req masuk + support teruskan ke NOBU
06/04 DONE</t>
  </si>
  <si>
    <t>bernfulanda@gmail.com</t>
  </si>
  <si>
    <t>06/04 req masuk + support lampirkan payment receipt</t>
  </si>
  <si>
    <t>06/04 req masuk
08/04 DONE</t>
  </si>
  <si>
    <t>02/04 Undira tanyakan 8903910112851953
02/04 cek di plink sukses dana db prismalink juga sukses
02/04 update dan infokan sukses</t>
  </si>
  <si>
    <t>02/04 dnt tanyakan 000282518993 / NACL1449813605
02/04 cek DB Nobu sukses, db prismalink check stts dan sudah berubah sukses
02/04 update dan infokan sukses</t>
  </si>
  <si>
    <t>02/04 DNT tanyakan 099113371215
02/04 cek db nobu sukses dan db prismalink sukses juga
02/04 infokan sukses</t>
  </si>
  <si>
    <t>03/04 tripay tanyakan 7900117900027356 
03/04 Support cek mbase status error reject 
03/04 support infokan gagal</t>
  </si>
  <si>
    <t>03/04 dnt tanyakan 7900125000096785  
03/04 Support cek mbase status error reject 
03/04 support infokan gagal</t>
  </si>
  <si>
    <t>04/04 dnt tanyakan 1n8vx6887563   
04/04 Support cek nobu dan db status setld
04/04 support infokan sukses</t>
  </si>
  <si>
    <t>04/04 dnt tanyakan 41942930f2b5   
04/04 Support cek nobu dan db status setld
04/04 support infokan sukses</t>
  </si>
  <si>
    <t>Freya Johnson &lt;freyapjohnson@icloud.com&gt;</t>
  </si>
  <si>
    <t>06/04 req masuk
06/04 DONE refund</t>
  </si>
  <si>
    <t>n.hellweg@web.de</t>
  </si>
  <si>
    <t>06/04 req masuk + support meminta kronologis</t>
  </si>
  <si>
    <t>oosu135790 &lt;oosu135790@naver.com&gt;</t>
  </si>
  <si>
    <t>06/04 req masuk
06/04 support memeinta info cc yg digunakan
06/04 cust infokan cc
07/04 support refund</t>
  </si>
  <si>
    <t>Jason Smith &lt;jason.smith@x86digital.com.au&gt;</t>
  </si>
  <si>
    <t>07/04 req masuk
07/04 support meminta info cc
07/04 cust infokan + support refund</t>
  </si>
  <si>
    <t>Litao (Terry) &lt;hw.litao@huawei.com&gt;</t>
  </si>
  <si>
    <t xml:space="preserve">07/04 req masuk
07/04 DONE </t>
  </si>
  <si>
    <t>07/04 req masuk + support teruskan ke NOBU
07/04 DONE</t>
  </si>
  <si>
    <t>07/04 req masuk + support minta info cc  yg digunakan
07/04 cust infokan cc yg digunakan
07/04 DONE</t>
  </si>
  <si>
    <t>anauliana32@gmail.com</t>
  </si>
  <si>
    <t>07/04 req masuk + support minta info cc  yg digunakan
07/04 cust lampirkan cc yg digunakan
08/04 support infokan jika sudah di refund</t>
  </si>
  <si>
    <t>07/04 req masuk + support meminta kronologis</t>
  </si>
  <si>
    <t>Dwi Wayuni &lt;Dwi.Wayuni@danamon.co.id&gt;</t>
  </si>
  <si>
    <t>DANAMON</t>
  </si>
  <si>
    <t>07/04 req masuk
07/04 support infokan jika trx sudah sukes</t>
  </si>
  <si>
    <t>sasha hamid &lt;sashahamidx@gmail.com&gt;</t>
  </si>
  <si>
    <t>08/04 req masuk + support meminta info cc
08/04 support infokan jika trx hanya 1x terproses &amp; yg gagal sudah di refund</t>
  </si>
  <si>
    <t>John Woods &lt;j.woods@watchgas.com&gt;</t>
  </si>
  <si>
    <t>08/04 req masuk + support meminta kronologis</t>
  </si>
  <si>
    <t>刘赓续 &lt;18063505002@126.com&gt;</t>
  </si>
  <si>
    <t>08/04 req masuk + support meminta info cc yg digunakan
08/04 cust infokan cc
09/04 DONE</t>
  </si>
  <si>
    <t>Nitin Manocha &lt;manochanitin99@gmail.com&gt;</t>
  </si>
  <si>
    <t>08/04 req masuk + support meminta info cc yg digunakan
09/04 cust infokan no cc yg digunakan
09/04 support refund</t>
  </si>
  <si>
    <t>09/04 req masuk + support teruskan ke NOBU
10/04 DONE</t>
  </si>
  <si>
    <t>LiliBerty Eglr &lt;elisabeth.eguileor@gmail.com&gt;</t>
  </si>
  <si>
    <t>08/04 req masuk + support meminta info cc yg digunakan
10/04 cust infokan cc
10/04 DONE, support refund</t>
  </si>
  <si>
    <t>Trent Teague &lt;trenton949@gmail.com&gt;</t>
  </si>
  <si>
    <t>09/04 req masuk + support meminta info cc yg digunakan
09/04 cust infokan cc yg digunakan
09/04 support refund</t>
  </si>
  <si>
    <t>09/04 req masuk + support meminta kronologis</t>
  </si>
  <si>
    <t>09/04 req masuk + support lampirkan evidence trx sukses
09/04 DONE</t>
  </si>
  <si>
    <t>s.ishiyama@denzai.group</t>
  </si>
  <si>
    <t>09/04 req masuk + support meminta info cc yg digunakan
09/04 DONE</t>
  </si>
  <si>
    <t>孙吉升/Sun Jisheng &lt;tongjisun@163.com&gt;</t>
  </si>
  <si>
    <t>10/04 req masuk + support teruskan ke NOBU
10/04 DONE</t>
  </si>
  <si>
    <t>10/04 req masuk + support meminta kronologis</t>
  </si>
  <si>
    <t>Adison Clarke &lt;adison.c@icloud.com&gt;</t>
  </si>
  <si>
    <t xml:space="preserve">10/04 req masuk + support meminta info cc yg digunakan
10/04 DONE
</t>
  </si>
  <si>
    <t>10/04 KKD KONFIRMASI Pre-Arbitrasi 
10/04 Support infokan jika terdapat request Pre-Arb dari Bank</t>
  </si>
  <si>
    <t>shehab alhashmi &lt;shehab-hamad-alhashmi@hotmail.com&gt;</t>
  </si>
  <si>
    <t>10/04 req masuk + support meminta info cc yg digunakan
10/04 cust infokan cc
10/04 support refund</t>
  </si>
  <si>
    <t>Sean Bentley &lt;seanbentley92@hotmail.com&gt;</t>
  </si>
  <si>
    <t>10/04 req masuk + support meminta info cc yg digunakan
10/04 support refund</t>
  </si>
  <si>
    <t>'zihan suronoto' &lt;zihansuronoto@gmail.com&gt;</t>
  </si>
  <si>
    <t>Siti Aisyah &lt;saisyah1097@gmail.com&gt;</t>
  </si>
  <si>
    <t>10/04 req masuk
10/04 DONE</t>
  </si>
  <si>
    <t xml:space="preserve">12/04 req masuk
12/04 DONE </t>
  </si>
  <si>
    <t>13/04 req masuk
13/04 DONE</t>
  </si>
  <si>
    <t>07/04 tripay tanyakan 4041910117953187    
07/04 Support cek mbase belum ditemukan
07/04 support infokan menunggu rekon
08/04 Info dari team rekon, dananya tidak ada
08/04 support infokan gagal</t>
  </si>
  <si>
    <t>07/04 DNT tanyakan 8919101250782847      
07/04 Support cek mbase belum ditemukan
07/04 support infokan menunggu rekon
08/04 Info dari team rekon, dananya ada
08/04 support infokan sukses</t>
  </si>
  <si>
    <t>07/04 Paylabs tanyakan trx 4041913277194067
07/04 Support cek agree belum dan up ke rekon
07/04 info dari rekon, dana tidak ditemukan
07/04 support infokan gagal</t>
  </si>
  <si>
    <t>07/04 DNT tanyakan trx 000430657368 / NACL1456392222
07/04 Support cek db nobu ada dan db prismalink ada
07/04 support infokan sukses</t>
  </si>
  <si>
    <t>07/04 DNT tanyakan trx QRIS
07/04 Support cek db nobu ada dan db prismalink ada
07/04 support infokan sukses</t>
  </si>
  <si>
    <t>07/04 tripay tanyakan 7900117900088248     
07/04 Support cek mbase belum ditemukan
07/04 support infokan menunggu rekon
08/04 Info dari team rekon, dananya tidak ada
08/04 support infokan gagal</t>
  </si>
  <si>
    <t>07/04 Tripay tanyakan trx 7900117900097009
07/04 Support cek di plink reject dan info dari rekon dananya tidak ada
07/04 support infokan gagal</t>
  </si>
  <si>
    <t>07/04 DNT tanyakan 8919101250411384       
07/04 Support cek mbase belum ditemukan
07/04 support infokan menunggu rekon
08/04 Info dari team rekon, dananya ada
08/04 support infokan sukses</t>
  </si>
  <si>
    <t xml:space="preserve">08/04 DNT tanyakan 8919101250357922 / NACL1457908778    
08/04 Support cek mbase belum ditemukan
08/04 support infokan menunggu rekon"
09/04 Support infokan sukses karena sudah update 
</t>
  </si>
  <si>
    <t>01/04 dnt tanyakan 000000T48JX4 / NACL1457980556     
01/04 db nobu ada dan db prismalink sukses 
01/04 Support infokan update</t>
  </si>
  <si>
    <t>09/04 DNT tanyakan trx NACL1456317515 with RRN 000428905516
09/04 Support cek db nobu ada dan db cancel 
09/04 Support infokan ke team terkait untuk update
09/04 support infokan sukses</t>
  </si>
  <si>
    <t xml:space="preserve">09/04 Nobecul tanyakan 7900121700081614
09/04 Support cek operator setld dan dashboard cancel
09/04 support infokan team terkait untuk upodate 
09/04 Support infokan sukses </t>
  </si>
  <si>
    <t xml:space="preserve">09/04 Tripay tanyakan 4041910117919768 
09/04 Support cek operator setld dan dashboard cancel
09/04 support infokan team terkait untuk upodate 
09/04 Support infokan sukses </t>
  </si>
  <si>
    <t xml:space="preserve">10/04 DNT tanyakan 8919101250743363
10/04 Support cek operator cancel dan agregator ada 
10/04 Support infokan sukses </t>
  </si>
  <si>
    <t xml:space="preserve">10/04 tripay tanyakan 7900117900032004
10/04 Support cek operator cancel dan agregator error reject 
10/04 Support infokan sukses </t>
  </si>
  <si>
    <t xml:space="preserve">10/04 tripay tanyakan 7900125000043019
10/04 Support cek operatorsttld dan db prismalink sukses
10/04 Support infokan sukses </t>
  </si>
  <si>
    <t xml:space="preserve">10/04 Univ sains tanyakan trx
10/04 Support cek Nobu ada namun db prismalink cancel
10/04 up ke tim terkait untuk update
10/04 Support infokan sukses </t>
  </si>
  <si>
    <t>10/04 dnt tanyakan 7900125000075464 
10/04 Support cek operator rejected dan dashboard cancel
10/04 support infokan tunggu rekon 13/04 Support cek agregator trx tidak ada, cek di mbase trx tidak ditemukan , infokan trx gagal</t>
  </si>
  <si>
    <t>11/04 Univ sains tanyakan  RRN
000129502540
018839770967
000129818448
000134192106 
11/04 Support cekdi dashboard cancel namun di dashboard nobu ada
11/04 support koordinasi dengan tim terkait utk update status dan infokan sukses</t>
  </si>
  <si>
    <t>12/04 Nobecul tanyakan 8919101217049421 
12/04 Support cek operator PNDG dan dashboard PNDG
12/04 support infokan tunggu rekon 13/04 support cek di mbase cancel nominal trx 50K, cek di agregator tidak ada trx tersebut, cek bukti trx amount 49k, diff amount infokan gagal</t>
  </si>
  <si>
    <t>12/04 Nobecul tanyakan 8919101217501008 
12/04 Support cek operator PNDG dan dashboard PNDG
12/04 support infokan tunggu rekon 13/04 cek di mbase cancel di agre tidak ada, infokan gagal</t>
  </si>
  <si>
    <t>dhyandra kayla &lt;dhyandrakayla04@gmail.com&gt;</t>
  </si>
  <si>
    <t>14/04 req masuk
14/04 DONE</t>
  </si>
  <si>
    <t>14/04 KKD KONFIRMASI Pre-Arbitrasi 
14/04 Support infokan jika terdapat request Pre-Arb dari Bank</t>
  </si>
  <si>
    <t>Khoirul Ihwan &lt;khoirulsuci1987@gmail.com&gt;</t>
  </si>
  <si>
    <t>PT Eizem Indonesia</t>
  </si>
  <si>
    <t>INDIKASI PENIPUAN</t>
  </si>
  <si>
    <t>Dokumen tidak lengkap</t>
  </si>
  <si>
    <t>Amount</t>
  </si>
  <si>
    <t>Transaksi Tidak Sah</t>
  </si>
  <si>
    <t>Transaksi Sah</t>
  </si>
  <si>
    <t>Not Active</t>
  </si>
  <si>
    <t>Januari</t>
  </si>
  <si>
    <t>8903910125062995</t>
  </si>
  <si>
    <t>4041910125029121</t>
  </si>
  <si>
    <t>7900125000055150</t>
  </si>
  <si>
    <t>7900125000094011</t>
  </si>
  <si>
    <t>7900125000062872</t>
  </si>
  <si>
    <t>7900125000051556</t>
  </si>
  <si>
    <t>7900125000033209</t>
  </si>
  <si>
    <t>7900125000013652</t>
  </si>
  <si>
    <t>8903910125098526</t>
  </si>
  <si>
    <t>8903910125004205</t>
  </si>
  <si>
    <t>4041910125015364</t>
  </si>
  <si>
    <t>8903910125098883</t>
  </si>
  <si>
    <t>8903910125078776</t>
  </si>
  <si>
    <t>8903910125037972</t>
  </si>
  <si>
    <t>8903910125032468</t>
  </si>
  <si>
    <t>7900125000009074</t>
  </si>
  <si>
    <t>Februari</t>
  </si>
  <si>
    <t>8903910125027706</t>
  </si>
  <si>
    <t>7900125000047245</t>
  </si>
  <si>
    <t>7900125000085974</t>
  </si>
  <si>
    <t>7900125000025722</t>
  </si>
  <si>
    <t>7900125000054239</t>
  </si>
  <si>
    <t>Maret</t>
  </si>
  <si>
    <t>8903910125083059</t>
  </si>
  <si>
    <t>8903910125009775</t>
  </si>
  <si>
    <t>8903910125086578</t>
  </si>
  <si>
    <t>7900125000057895</t>
  </si>
  <si>
    <t>7900125000062434</t>
  </si>
  <si>
    <t>7900125000005836</t>
  </si>
  <si>
    <t xml:space="preserve">7900125000074329 </t>
  </si>
  <si>
    <t xml:space="preserve">7900125000016079 </t>
  </si>
  <si>
    <t xml:space="preserve">7900125000087550      </t>
  </si>
  <si>
    <t>1mrjr6m98474</t>
  </si>
  <si>
    <t>000351193456</t>
  </si>
  <si>
    <t>000351186547</t>
  </si>
  <si>
    <t>1mrjl6r60168</t>
  </si>
  <si>
    <t>000351185436</t>
  </si>
  <si>
    <t>000351168521</t>
  </si>
  <si>
    <t>1mrja6h86073</t>
  </si>
  <si>
    <t>000351128507</t>
  </si>
  <si>
    <t>000351122549</t>
  </si>
  <si>
    <t>000351121435</t>
  </si>
  <si>
    <t>000351114288</t>
  </si>
  <si>
    <t>000000R7DJDP</t>
  </si>
  <si>
    <t>000351112861</t>
  </si>
  <si>
    <t>000351097844</t>
  </si>
  <si>
    <t>000000R7GKV4</t>
  </si>
  <si>
    <t>000000R7FDXN</t>
  </si>
  <si>
    <t>000000R7DFHR</t>
  </si>
  <si>
    <t>1mriu6x31794</t>
  </si>
  <si>
    <t>000351048040</t>
  </si>
  <si>
    <t>000000R7FTBV</t>
  </si>
  <si>
    <t>000350992338</t>
  </si>
  <si>
    <t>000350990352</t>
  </si>
  <si>
    <t>000350985387</t>
  </si>
  <si>
    <t xml:space="preserve">7900125000078825 </t>
  </si>
  <si>
    <t xml:space="preserve">7900125000097116 </t>
  </si>
  <si>
    <t xml:space="preserve">7900125000024130 </t>
  </si>
  <si>
    <t xml:space="preserve">7900125000000852 </t>
  </si>
  <si>
    <t>April</t>
  </si>
  <si>
    <t xml:space="preserve">8903910125013957 </t>
  </si>
  <si>
    <t xml:space="preserve">4041910125005166 </t>
  </si>
  <si>
    <t xml:space="preserve">7900125000087550 </t>
  </si>
  <si>
    <t xml:space="preserve">7900125000067223 </t>
  </si>
  <si>
    <t xml:space="preserve">7900125000043973 </t>
  </si>
  <si>
    <t xml:space="preserve">7900125000094521 </t>
  </si>
  <si>
    <t xml:space="preserve">7900125000061285 </t>
  </si>
  <si>
    <t xml:space="preserve">4041910125034269 </t>
  </si>
  <si>
    <t xml:space="preserve">7900125000066698 </t>
  </si>
  <si>
    <t>7900125000017519</t>
  </si>
  <si>
    <t>7900125000038356</t>
  </si>
  <si>
    <t>7900125000022816</t>
  </si>
  <si>
    <t>Total</t>
  </si>
  <si>
    <t>7900119200346552</t>
  </si>
  <si>
    <t>7900119200379284</t>
  </si>
  <si>
    <t>7900119200367117</t>
  </si>
  <si>
    <t>7900119200388222</t>
  </si>
  <si>
    <t>7900119200406589</t>
  </si>
  <si>
    <t>7900119200406190</t>
  </si>
  <si>
    <t>7900119200390265</t>
  </si>
  <si>
    <t>7900119200364446</t>
  </si>
  <si>
    <t>7900119200446240</t>
  </si>
  <si>
    <t>7900119200495477</t>
  </si>
  <si>
    <t>7900119200446303</t>
  </si>
  <si>
    <t>7900119200446461</t>
  </si>
  <si>
    <t>7900119200446535</t>
  </si>
  <si>
    <t>7900119200446559</t>
  </si>
  <si>
    <t>7900119200449025</t>
  </si>
  <si>
    <t>7900119200449020</t>
  </si>
  <si>
    <t>7900119200449018</t>
  </si>
  <si>
    <t>7900119200471136</t>
  </si>
  <si>
    <t>7900119200516784</t>
  </si>
  <si>
    <t>7900119200524232</t>
  </si>
  <si>
    <t>7900119200478346</t>
  </si>
  <si>
    <t>7900119200528237</t>
  </si>
  <si>
    <t>7900119200499089</t>
  </si>
  <si>
    <t>7900119200478171</t>
  </si>
  <si>
    <t>7900119200499020</t>
  </si>
  <si>
    <t>7900119200553113</t>
  </si>
  <si>
    <t xml:space="preserve">7900119200588925 </t>
  </si>
  <si>
    <t xml:space="preserve">7900119200546144 </t>
  </si>
  <si>
    <t xml:space="preserve">7900119200603438 </t>
  </si>
  <si>
    <t xml:space="preserve">7900119200571501 </t>
  </si>
  <si>
    <t xml:space="preserve">7900119200618263 </t>
  </si>
  <si>
    <t xml:space="preserve">7900119200715702 </t>
  </si>
  <si>
    <t xml:space="preserve">7900119200713479 </t>
  </si>
  <si>
    <t>7900119200723061</t>
  </si>
  <si>
    <t xml:space="preserve">7900119200733271 </t>
  </si>
  <si>
    <t xml:space="preserve">PT Teknologi Awan Cerah 
</t>
  </si>
  <si>
    <t>7900121700085680</t>
  </si>
  <si>
    <t>8903910121768539</t>
  </si>
  <si>
    <t>7900121700035282</t>
  </si>
  <si>
    <t>8903910121747847</t>
  </si>
  <si>
    <t>7900121700052268</t>
  </si>
  <si>
    <t>8903910121751269</t>
  </si>
  <si>
    <t>7900121700025465</t>
  </si>
  <si>
    <t>7900121700073480</t>
  </si>
  <si>
    <t>7900121700098941</t>
  </si>
  <si>
    <t>7900121700002309</t>
  </si>
  <si>
    <t>7900121700050245</t>
  </si>
  <si>
    <t>7900121700029736</t>
  </si>
  <si>
    <t>7900121700079574</t>
  </si>
  <si>
    <t>7900121700022548</t>
  </si>
  <si>
    <t>7900121700005406</t>
  </si>
  <si>
    <t>7900121700075125</t>
  </si>
  <si>
    <t>7900121700042428</t>
  </si>
  <si>
    <t>7900121700071289</t>
  </si>
  <si>
    <t>7900121700073485</t>
  </si>
  <si>
    <t>7900121700039587</t>
  </si>
  <si>
    <t>7900121700032643</t>
  </si>
  <si>
    <t xml:space="preserve">7900121700075614 </t>
  </si>
  <si>
    <t xml:space="preserve">7900121700029133 </t>
  </si>
  <si>
    <t xml:space="preserve">7900121700069808 </t>
  </si>
  <si>
    <t xml:space="preserve">7900121700027517       </t>
  </si>
  <si>
    <t xml:space="preserve">7900121700041386 </t>
  </si>
  <si>
    <t>7900124900021353</t>
  </si>
  <si>
    <t>4041910124910197</t>
  </si>
  <si>
    <t>8903910124925552</t>
  </si>
  <si>
    <t>7900124900074226</t>
  </si>
  <si>
    <t>7900124900008872</t>
  </si>
  <si>
    <t>7900124900095965</t>
  </si>
  <si>
    <t>7900124900047442</t>
  </si>
  <si>
    <t>7900124900046168</t>
  </si>
  <si>
    <t>7900124900027131</t>
  </si>
  <si>
    <t>8919101249219205</t>
  </si>
  <si>
    <t>7900124900061653</t>
  </si>
  <si>
    <t>4041910124935421</t>
  </si>
  <si>
    <t xml:space="preserve">8903910124087633 </t>
  </si>
  <si>
    <t>7900124900020332</t>
  </si>
  <si>
    <t>7900124900006227</t>
  </si>
  <si>
    <t>7900124900050444</t>
  </si>
  <si>
    <t>7900124900044069</t>
  </si>
  <si>
    <t xml:space="preserve">4041910124942485 </t>
  </si>
  <si>
    <t xml:space="preserve">7900124900060477 </t>
  </si>
  <si>
    <t xml:space="preserve">8903910124904952 </t>
  </si>
  <si>
    <t xml:space="preserve">8903910124966802 </t>
  </si>
  <si>
    <t xml:space="preserve">7900124900064760 </t>
  </si>
  <si>
    <t xml:space="preserve">7900124900064626 </t>
  </si>
  <si>
    <t xml:space="preserve">7900124900063039 </t>
  </si>
  <si>
    <t xml:space="preserve">7900124900086555 </t>
  </si>
  <si>
    <t xml:space="preserve">4041910124970806 </t>
  </si>
  <si>
    <t xml:space="preserve">7900124900034427 </t>
  </si>
  <si>
    <t xml:space="preserve">7900124900042281 </t>
  </si>
  <si>
    <t xml:space="preserve">8903903600032688 </t>
  </si>
  <si>
    <t xml:space="preserve">8903903600033042 </t>
  </si>
  <si>
    <t>DIGICELL</t>
  </si>
  <si>
    <t>0141319032696803130</t>
  </si>
  <si>
    <t>0141319032672353952</t>
  </si>
  <si>
    <t>0141219032607013975</t>
  </si>
  <si>
    <t>DNDCELL</t>
  </si>
  <si>
    <t>1ms7g9131588</t>
  </si>
  <si>
    <t>1ms7k8x83856</t>
  </si>
  <si>
    <t>1ms7k8883123</t>
  </si>
  <si>
    <t>1ms7l9135479</t>
  </si>
  <si>
    <t>1ms7m9607768</t>
  </si>
  <si>
    <t>1ms7o8t81742</t>
  </si>
  <si>
    <t>1ms7p9137980</t>
  </si>
  <si>
    <t>SAVER CELL</t>
  </si>
  <si>
    <t>1mwbnnf09249</t>
  </si>
  <si>
    <t>000444401523</t>
  </si>
  <si>
    <t>000444429773</t>
  </si>
  <si>
    <t>000444443491</t>
  </si>
  <si>
    <t>1mwbune29636</t>
  </si>
  <si>
    <t>000444457592</t>
  </si>
  <si>
    <t>000444457800</t>
  </si>
  <si>
    <t>000444525867</t>
  </si>
  <si>
    <t>1mwbxng12397</t>
  </si>
  <si>
    <t>000444549811</t>
  </si>
  <si>
    <t>000444568006</t>
  </si>
  <si>
    <t>1mwbzmt86217</t>
  </si>
  <si>
    <t>000444578120</t>
  </si>
  <si>
    <t>1mwbznb41375</t>
  </si>
  <si>
    <t>000000RN7CMG</t>
  </si>
  <si>
    <t>000444612995</t>
  </si>
  <si>
    <t>1mwc1n286657</t>
  </si>
  <si>
    <t>1mwc1n480100</t>
  </si>
  <si>
    <t>000444639257</t>
  </si>
  <si>
    <t>000444724365</t>
  </si>
  <si>
    <t>000444818798</t>
  </si>
  <si>
    <t>000444948646</t>
  </si>
  <si>
    <t>000444981529</t>
  </si>
  <si>
    <t>000445107092</t>
  </si>
  <si>
    <t>000445207497</t>
  </si>
  <si>
    <t>000445243409</t>
  </si>
  <si>
    <t>000445258809</t>
  </si>
  <si>
    <t>1mwcymv85940</t>
  </si>
  <si>
    <t>000445435474</t>
  </si>
  <si>
    <t>000445513992</t>
  </si>
  <si>
    <t>000460622545</t>
  </si>
  <si>
    <t>1mx3xph90595</t>
  </si>
  <si>
    <t>000460583057</t>
  </si>
  <si>
    <t>000460573625</t>
  </si>
  <si>
    <t>000460521797</t>
  </si>
  <si>
    <t>000000RQBN2V</t>
  </si>
  <si>
    <t>000460512168</t>
  </si>
  <si>
    <t>000460502077</t>
  </si>
  <si>
    <t>000460495189</t>
  </si>
  <si>
    <t>000460494464</t>
  </si>
  <si>
    <t>000460494076</t>
  </si>
  <si>
    <t>000460486793</t>
  </si>
  <si>
    <t>000460464749</t>
  </si>
  <si>
    <t>000460462743</t>
  </si>
  <si>
    <t>000460446376</t>
  </si>
  <si>
    <t>000000RQCB6Q</t>
  </si>
  <si>
    <t>000460433983</t>
  </si>
  <si>
    <t>000000RQBK45</t>
  </si>
  <si>
    <t>000460415209</t>
  </si>
  <si>
    <t>000000RQBTGR</t>
  </si>
  <si>
    <t>000460401346</t>
  </si>
  <si>
    <t>000000RQBQXM</t>
  </si>
  <si>
    <t>000000RQBG9P</t>
  </si>
  <si>
    <t>000460338315</t>
  </si>
  <si>
    <t>000460336597</t>
  </si>
  <si>
    <t>000460333101</t>
  </si>
  <si>
    <t>000000RQB5RP</t>
  </si>
  <si>
    <t>000460328524</t>
  </si>
  <si>
    <t>GROW CELL</t>
  </si>
  <si>
    <t>000352895038</t>
  </si>
  <si>
    <t>000352848159</t>
  </si>
  <si>
    <t>000352824785</t>
  </si>
  <si>
    <t>000352763626</t>
  </si>
  <si>
    <t>000352729253</t>
  </si>
  <si>
    <t>000352706014</t>
  </si>
  <si>
    <t>000352635089</t>
  </si>
  <si>
    <t>000352609555</t>
  </si>
  <si>
    <t>000000R7PW0X</t>
  </si>
  <si>
    <t>000352527121</t>
  </si>
  <si>
    <t>000352485315</t>
  </si>
  <si>
    <t>000352379744</t>
  </si>
  <si>
    <t>000352368391</t>
  </si>
  <si>
    <t>000352366790</t>
  </si>
  <si>
    <t>000352290216</t>
  </si>
  <si>
    <t>000352275249</t>
  </si>
  <si>
    <t>000000R7MLV4</t>
  </si>
  <si>
    <t>000352226655</t>
  </si>
  <si>
    <t>000352219167</t>
  </si>
  <si>
    <t>PT WAHANA PEMBAYARAN DIGITAL</t>
  </si>
  <si>
    <t xml:space="preserve">700701131100675 </t>
  </si>
  <si>
    <t xml:space="preserve">700701130100643 </t>
  </si>
  <si>
    <t>Ticket Category</t>
  </si>
  <si>
    <t>Kode</t>
  </si>
  <si>
    <t>Kategori</t>
  </si>
  <si>
    <t>Deskripsi Singkat</t>
  </si>
  <si>
    <t>Konfirmasi Status Transaksi</t>
  </si>
  <si>
    <t>1. Customer/Bank melaporkan transaksi sukses (ada bukti transfer), tapi status di dashboard cancel atau pending.
2. Nobu menginfokan jika terdapat pengajuan dispute dr sisi switching, perlu dilakukan pengecekan status QR
3. Customer/Bank melaporkan transaksi gagal, namun dana terpotong
4. Customer menanyakan kesesuaian amount dashboard
5. Customer menanyakan status transaksi sukses (ada bukti transfer)
6. Produk sudah diterima. Customer meminta merchant ref no dari ID [xxxx] yang hanya ada di report settlement.
7. Cust meminta resend callback</t>
  </si>
  <si>
    <t>Konfirmasi Bukti Transaksi</t>
  </si>
  <si>
    <t>Customer/merchant melaporkan dana terpotong, dilakukan pengecekan dan terkonfirmasi transaksi sukses berdasarkan proof dari sistem.</t>
  </si>
  <si>
    <t>R03</t>
  </si>
  <si>
    <t>Report Settelment</t>
  </si>
  <si>
    <t>1. Merchant melakukan konfirmasi pengiriman report settelment/dana pelimpahan
2. Request penambahan kolom pada data settelment</t>
  </si>
  <si>
    <t>Request Refund Transaksi</t>
  </si>
  <si>
    <t>Product tidak diterima, Customer req refund (VM GEA)</t>
  </si>
  <si>
    <t>Request LIMIT / BIN TRANSAKSI</t>
  </si>
  <si>
    <t>Permohonan kenaikan limit kartu kredit dr merchant atau pembukaan BIN untuk mendukung transaksi</t>
  </si>
  <si>
    <t>Case Fraud</t>
  </si>
  <si>
    <t>Merchant Fraudelent</t>
  </si>
  <si>
    <t>Customer mengalami indikasi penipuan</t>
  </si>
  <si>
    <t>C02</t>
  </si>
  <si>
    <t>Customer Dispute</t>
  </si>
  <si>
    <t>Customer menyatakan tidak pernah melakukan transaksi tersebut dan pengembalian dana</t>
  </si>
  <si>
    <t>C03</t>
  </si>
  <si>
    <t>Dashboard update, tp Callback tdk diterima</t>
  </si>
  <si>
    <t>Investigation Process Category</t>
  </si>
  <si>
    <t>SOP #04</t>
  </si>
  <si>
    <t>1. Konfirmasi apakah Merchant terdapat kendala dalam akses Dashboard
2. Tim Support tetap membantu pastikan, bila Merchant meminta
3. Memastikan status transaksi berhasil pada Dashboard, untuk kemudian klik tombol "send notification"</t>
  </si>
  <si>
    <t>1. Pastikan merchant &amp; transaksi tersebut valid
2. Cek VA di apps.plink, bandingkan amount:
	Amount sama → Update transaksi.
	Amount berbeda → Tidak bisa diupdate, informasikan ke merchant.</t>
  </si>
  <si>
    <t>1. Pastikan transaksi valid untuk merchant tersebut
2. Check RK, apakah memang terdapat double payment
3. Infokan ke merchant</t>
  </si>
  <si>
    <t>SOP #07</t>
  </si>
  <si>
    <t>1. Pastikan transaksi valid untuk merchant tersebut
2. Hit Send Notification pada transaksi yang dimaksud</t>
  </si>
  <si>
    <t>SOP #8</t>
  </si>
  <si>
    <t>REFUND VOA</t>
  </si>
  <si>
    <t>Time In</t>
  </si>
  <si>
    <t>Server</t>
  </si>
  <si>
    <t>Detail</t>
  </si>
  <si>
    <t>Time End</t>
  </si>
  <si>
    <t>merchant-raya</t>
  </si>
  <si>
    <t>Memory Utilization is 87%, threshold value for this monitor is 80%</t>
  </si>
  <si>
    <t>jira77</t>
  </si>
  <si>
    <t>CPU Utilization is 77%, threshold value for this monitor is 75%: Top 3 Processes:-tomcat8.exe.x64 - 77.212%;WmiPrvSE#2 - 0.902%;</t>
  </si>
  <si>
    <t>CPU Utilization is 82%, threshold value for this monitor is 80%: Top 3 Processes:-tomcat8.exe.x64 - 84.034%;WmiPrvSE#1 - 0.623%;WmiPrvSE#2 - 0.078%</t>
  </si>
  <si>
    <t>CPU Utilization is 95%, threshold value for this monitor is 90%: Top 3 Processes:-tomcat8.exe.x64 - 90.197%;WmiPrvSE - 0.228%;svchost#14 - 0.152%</t>
  </si>
  <si>
    <t>Memory Utilization is 94%, threshold value for this monitor is 90%</t>
  </si>
  <si>
    <t>raya-db</t>
  </si>
  <si>
    <t>Partition Details of the Device (%) for / is 81 Percentage, threshold value for this monitor is 80 Percentage</t>
  </si>
  <si>
    <t>Disk Utilization is 86%, threshold value for this monitor is 80%</t>
  </si>
  <si>
    <t>CPU Utilization(UCD SNMP MIB) is 82%, threshold value for this monitor is 80%</t>
  </si>
  <si>
    <t>CPU Utilization(UCD SNMP MIB) is 91%, threshold value for this monitor is 90%</t>
  </si>
  <si>
    <t>hippobank</t>
  </si>
  <si>
    <t>Interface 'enp2s0-enp2s0' util threshold violated.Current IN traffic is 1.414 Mbps(1.41%) and OUT traffic is 50.844 Mbps(50.84%), whereas configured threshold is 30% .</t>
  </si>
  <si>
    <t>Memory Utilization is 82%, threshold value for this monitor is 80%</t>
  </si>
  <si>
    <t>payment-db</t>
  </si>
  <si>
    <t>Bandwidth exceeded the configured limit for interface lo-lo. Current IN traffic is 153.008 Mbps (Configured In-Speed 10 Mbps ) and OUT traffic is 153.008 Mbps (Configured Out-Speed 10 Mbps) .</t>
  </si>
  <si>
    <t>Interface 'lo-lo' util threshold violated.Current IN traffic is 10 Mbps(100%) and OUT traffic is 10 Mbps(100%), whereas configured threshold is 90% .</t>
  </si>
  <si>
    <t>MIS</t>
  </si>
  <si>
    <t>Memory Utilization is 76%, threshold value for this monitor is 75%: Top 3 Processes:-sqlservr.exe - 70.932%;svchost.exe - 0.185%;MsMpEng.exe - 0.166%</t>
  </si>
  <si>
    <t>Monitor-12</t>
  </si>
  <si>
    <t>CPU Utilization is 100%, threshold value for this monitor is 90%: Top 3 Processes:-postgres#92 - 45.721%;svchost#4 - 27.277%;svchost#6 - 4.936%</t>
  </si>
  <si>
    <t>CPU Utilization is 100%, threshold value for this monitor is 90%: Top 3 Processes:-postgres#92 - 44.88%;svchost#4 - 28.764%;java - 4.284%</t>
  </si>
  <si>
    <t>CPU Utilization is 91%, threshold value for this monitor is 90%: Top 3 Processes:-postgres#92 - 45.786%;svchost#4 - 26.528%;svchost#6 - 4.52%</t>
  </si>
  <si>
    <t>Memory Utilization is 90%, threshold value for this monitor is 80%</t>
  </si>
  <si>
    <t>DEBITIN-DB</t>
  </si>
  <si>
    <t>Partition Details of the Device (%) for / is 79 Percentage, threshold value for this monitor is 75 Percentage</t>
  </si>
  <si>
    <t>sandbox</t>
  </si>
  <si>
    <t>Memory Utilization is 84%, threshold value for this monitor is 80%</t>
  </si>
  <si>
    <t>9.4 OTHERS-GRAFANA</t>
  </si>
  <si>
    <t>Device not responding: Probably down or busy</t>
  </si>
  <si>
    <t>qris-snap</t>
  </si>
  <si>
    <t>Discards rate for Interface 'ens192-ens192' is 2.76%, threshold value for this monitor is 1%.</t>
  </si>
  <si>
    <t>sdh di ack pak asep</t>
  </si>
  <si>
    <t>membership-ptr</t>
  </si>
  <si>
    <t>Memory Utilization is 80%, threshold value for this monitor is 75%: Top 3 Processes:-sqlservr.exe - 75.485%;svchost.exe - 0.214%;MsMpEng.exe - 0.14%</t>
  </si>
  <si>
    <t>membership</t>
  </si>
  <si>
    <t>CPU Utilization(UCD SNMP MIB) is 84%, threshold value for this monitor is 80%</t>
  </si>
  <si>
    <t>CPU Utilization(UCD SNMP MIB) is 81%, threshold value for this monitor is 80%</t>
  </si>
  <si>
    <t>Partition Details of the Device (%) for / is 99 Percentage, threshold value for this monitor is 90 Percentage</t>
  </si>
  <si>
    <t>Produk ID</t>
  </si>
  <si>
    <t>Status (Open/Closed)</t>
  </si>
  <si>
    <t>Investigation</t>
  </si>
  <si>
    <t>FRT</t>
  </si>
  <si>
    <t>End Time</t>
  </si>
  <si>
    <t>PIC</t>
  </si>
  <si>
    <t>INC2025100101</t>
  </si>
  <si>
    <t>Nobecul</t>
  </si>
  <si>
    <t>7900121700047911</t>
  </si>
  <si>
    <t>P01</t>
  </si>
  <si>
    <t>[01/10] cust melampirkan bukti transfer sukses pada 01/10/2025 08:23:25 dan menanyakan apakah transaksi tercharge dua kali  
[01/10] support melakukan pengecekan transaksi di aggregator dan konfirmasi ke tim rekon  
[01/10] support menginformasikan ke cust bahwa hasil rekon masih ditunggu  
[01/10] Pak Daniel menginformasikan bahwa transaksi sukses 1x  
[01/10] Informasi telah diinfokan ke cust
[01/10] case closed</t>
  </si>
  <si>
    <t>1. check aggre : setteld
2. check dashboard : pending
3. FU Pak Daniel</t>
  </si>
  <si>
    <t>INC2025100102</t>
  </si>
  <si>
    <t>Tiketux</t>
  </si>
  <si>
    <t>7007010121839942</t>
  </si>
  <si>
    <t>[01/10] cust melampirkan bukti transfer sukses pada 01/10/2025 16:55:29 dan menanyakan status trx
[01/10] support melakukan pengecekan transaksi di aggregator dan konfirmasi ke tim rekon  
[01/10] support info trx sukses
[01/10] case closes</t>
  </si>
  <si>
    <t>INC2025100103</t>
  </si>
  <si>
    <t>7007010121847334</t>
  </si>
  <si>
    <t>[01/10] cust melampirkan bukti transfer sukses pada 01/10/2025 16:55:29 dan menanyakan status trx
[01/10] support melakukan pengecekan transaksi di aggregator &amp; pgadmin
[01/10] support info trx sukses
[01/10] case closed</t>
  </si>
  <si>
    <t>INC2025100104</t>
  </si>
  <si>
    <t>Nivasha Maharaj &lt;nivasha.maharaj@ictglobe.com&gt;</t>
  </si>
  <si>
    <t>VoA</t>
  </si>
  <si>
    <t>RE: Invoices required</t>
  </si>
  <si>
    <t>BRI VoA</t>
  </si>
  <si>
    <t>P02</t>
  </si>
  <si>
    <t>[01/10] req minta invoice
[02/10] support minta info cc
[07/10] cust menginfokan cc
[07/10] support check PCS &amp; info pak daniel untuk proof success
[08/10] support melampirkan proof success
[08/10] case closed</t>
  </si>
  <si>
    <t>1. Check PCS
2. Minta proof sukses ke Pak Daniel</t>
  </si>
  <si>
    <t>INC2025102101</t>
  </si>
  <si>
    <t>TIKET CRM 28461981 - KELUHAN TRANSFER VA PRISMALINK INTERNATIONAL PT an HERY CAPRI - VA 9887101250497036 - 20.000.000 - PT Daya Net Gemilang</t>
  </si>
  <si>
    <t>[21/10] req masuk dr danamon
[21/10] checking by pak daniel</t>
  </si>
  <si>
    <t>1. check trx VA 9887101250497036 pgadmin approve
2. checking pak daniel</t>
  </si>
  <si>
    <t>INC2025102102</t>
  </si>
  <si>
    <t>PT Teknologi Awan Cerah (Nubecul)
PT Kode Kreasi Kreatif (KVoucher)</t>
  </si>
  <si>
    <r>
      <rPr>
        <sz val="8"/>
        <color theme="1"/>
        <rFont val="Calibri"/>
        <family val="2"/>
      </rPr>
      <t xml:space="preserve">Surat FRAUD dari BCA
FRAUD ALIRAN DANA REK BCA ALIFAH NOVRINA WIDIYASARI - PRISMALINK PT </t>
    </r>
    <r>
      <rPr>
        <u/>
        <sz val="8"/>
        <color rgb="FF1155CC"/>
        <rFont val="Calibri"/>
        <family val="2"/>
      </rPr>
      <t>BAYAR2.COM</t>
    </r>
    <r>
      <rPr>
        <sz val="8"/>
        <color theme="1"/>
        <rFont val="Calibri"/>
        <family val="2"/>
      </rPr>
      <t xml:space="preserve">
Permohonan Investigasi dan Permohonan Pengembalian Dana Atas Rekening Terindikasi Penipuan (1987702908)
Transaksi Tgl 20-October
•        7900121700012357 - Rp. 20,000,000 (Nubecul)
•        7900121700060215 - Rp. 18,500,000 (Nubecul)
•        7900119200086255 - Rp. 19,850,000 (KVoucher)
•        7900119200086366 - Rp. 10,000,000 (KVoucher)</t>
    </r>
  </si>
  <si>
    <t>[21/10] request hold dana untuk k voucher &amp; nobecul
[21/10] finance hold dana &amp; support infokan merchant
[22/10] finance transfer dana ke BCA 205-0069934 atas nama Keluhan Payment Biro SPC
[22/10] bukti transfer di sampaikan ke pihak Biro SPC BCA melalui Email
[22/10] Case closed</t>
  </si>
  <si>
    <t>1. Pastikan data tersebut valid dan merchant terkait
2. Infokan Finance untuk hold dana atas merchant tersebut
3. Infokan ke Merchant adanya hold dana atas setelment dan pelaporan fraud</t>
  </si>
  <si>
    <t>INC2025102103</t>
  </si>
  <si>
    <t>Envoiz</t>
  </si>
  <si>
    <t>Settelment</t>
  </si>
  <si>
    <t xml:space="preserve">Report </t>
  </si>
  <si>
    <t>[21/10] merchant menanyakan settelment
[21/10] support menginfokan u/ menunggu
[21/10] case closed</t>
  </si>
  <si>
    <t>Agung</t>
  </si>
  <si>
    <t>INC2025102105</t>
  </si>
  <si>
    <t>Surat Bilateral Bank Mandiri nomor OPT.CCR/CHM.21028/2025 - VA 8903910125062995 - 240.000 - a.n DEWI INDAH ZUHRIANTI</t>
  </si>
  <si>
    <t>[21/10] req masuk dr mandiri
[21/10] support melampirkan surat kronologis, dsb
[21/10] mandiri konfirm untuk pelengkapan dokumen, apakah dana bisa dikembalikan?
[21/10] support info jika terbukti, dana bisa dikembalikan
[21/10] mandiri info akan diteruskan k team terkait</t>
  </si>
  <si>
    <t>1. Check trx VA VA 8903910125062995 - 240.000 - a.n DEWI INDAH ZUHRIANTI merchant PT Daya Net Gemilang
2. Kirim surat kronologis</t>
  </si>
  <si>
    <t>INC2025102106</t>
  </si>
  <si>
    <t>8903910124946691 - 2025-10-21 15:12:56.0 IDR 160.000
8903910124956996 - 2025-10-21 15:09:40.0 IDR 4.000.000
8919101249506494 - 2025-10-21 15:06:17.0 IDR 300.000
8919101249029386 - 2025-10-21 15:06:02.0 IDR 25.000.000
8919101249806756 - 2025-10-21 15:06:57.0 IDR 170.000
8919101249762853 - 2025-10-21 15:06:08.0 IDR 167.618
8919101249538674 - 2025-10-21 15:12:39.0 IDR 200.000
8508142499206111 - 2025-10-21 14:48:11.0 IDR 500.000
8919101249563181 - 2025-10-21 13:51:51.0 IDR 500.000
8919101249554445 - 2025-10-21 13:11:51.0 IDR 250.000
8919101249148595 - 2025-10-21 11:31:08.0 IDR 1.000.000</t>
  </si>
  <si>
    <t>MANDIRI, BNI, PERMATA</t>
  </si>
  <si>
    <t>[21/10] cust konfirmasi amount
[21/10] support checking
[21/10] support info amount sesuai
[21/10] case closed</t>
  </si>
  <si>
    <t>1. check dashboard</t>
  </si>
  <si>
    <t>Julio</t>
  </si>
  <si>
    <t>INC2025102107</t>
  </si>
  <si>
    <t>INC2025102108</t>
  </si>
  <si>
    <t>Dayanet</t>
  </si>
  <si>
    <t>8903910125090687</t>
  </si>
  <si>
    <t>[21/10] cust melampirkan merc ref no NACL1113354533 &amp; bukti transfer tgl 14/10
[21/10] support checking
[21/10] support info VA 8903910125090687 untuk NACL1113316308 sukses
[21/10] case closed</t>
  </si>
  <si>
    <t>1. check dashboard, aggre &amp; pgadmin</t>
  </si>
  <si>
    <t>7900125000094854</t>
  </si>
  <si>
    <t>[21/10] merchant melihat status gagal utk trx NACL1125226355 namun cust ada bukti tf tgl 20/10
21/10] support investigasi dan confirm trx tsb gagal (VA 7900125000094854)
[21/10] case closed</t>
  </si>
  <si>
    <t>1. Pastikan status gagal pada dashboard
2. Pastikan dengan data rekonsiliasi
3. Tidak di dapatkan trx tsb sehingga di pastikan gagal</t>
  </si>
  <si>
    <t>INC2025102209</t>
  </si>
  <si>
    <t xml:space="preserve">7900121700039820 </t>
  </si>
  <si>
    <t>[22/10] cust menanyakan update u/ ref no 2025100442500117503
[22/10] support checking
[22/10] support info ref no tersebbut dgn VA 7900121700039820 - Failed team</t>
  </si>
  <si>
    <t>Reynal</t>
  </si>
  <si>
    <t>INC2025102210</t>
  </si>
  <si>
    <t>Undira</t>
  </si>
  <si>
    <t>2189101123034622</t>
  </si>
  <si>
    <t>22/10 cust konfirmasi perihal pembayarannya yang kurang VA 2189101123034622
22/10 support checking
22/10 Info Ko Daniel bisa langsung disampaikan sukses saja
22/10 Case Closed</t>
  </si>
  <si>
    <t>1. check dashboard3
2. cek agree
3. cek mbase
4. Confirm ko Daniel</t>
  </si>
  <si>
    <t>Faisal</t>
  </si>
  <si>
    <t>INC2025102211</t>
  </si>
  <si>
    <t xml:space="preserve">8903910112343080 </t>
  </si>
  <si>
    <t xml:space="preserve">22/10 cust konfirmasi perihal stts nya yang belum update di SISKA VA 8903910112343080 
22/10 support checking
22/10 support infokan stts sudah update 
22/10 case closed
</t>
  </si>
  <si>
    <t xml:space="preserve">1. check dashboard3
2. cek agree
3. cek mbase
</t>
  </si>
  <si>
    <t>INC2025102212</t>
  </si>
  <si>
    <t>1i490p652536 // 20102524076737</t>
  </si>
  <si>
    <t>22/10 req masuk dari Nobu
22/10 support checking
22/10 support infokan stts nya
22/10 case closed</t>
  </si>
  <si>
    <t xml:space="preserve">1. check dashboard3
2. check dahsboard Nobu
</t>
  </si>
  <si>
    <t>Konfirmasi status transaksi</t>
  </si>
  <si>
    <t>1. Customer/Bank melaporkan transaksi sukses (ada bukti transfer), tapi status di dashboard cancel atau pending.
2. Nobu menginfokan jika terdapat pengajuan dispute dr sisi switching, perlu dilakukan pengecekan status QR
3. Customer/Bank melaporkan transaksi gagal, namun dana terpotong
4. Customer menanyakan kesesuaian amount dashboard
5. Customer menanyakan status transaksi sukses (ada bukti transfer)</t>
  </si>
  <si>
    <t>Konfirmasi bukti transaksi</t>
  </si>
  <si>
    <t>1. Merchant melakukan konfirmasi pengiriman report settelment/dana pelimpahan</t>
  </si>
  <si>
    <t>7900121700061387</t>
  </si>
  <si>
    <t>Yadav Swati &lt;Swati.Yadav@excaliburinternational.cz&gt;</t>
  </si>
  <si>
    <t>Majed &lt;mhj20261@gmail.com&gt;</t>
  </si>
  <si>
    <t>15/04 req masuk
15/04 done refund</t>
  </si>
  <si>
    <t>조혜진 &lt;hyejin5421@gmail.com&gt;</t>
  </si>
  <si>
    <t>朴闵行 &lt;2195673737@qq.com&gt;</t>
  </si>
  <si>
    <t xml:space="preserve">14/04 req masuk
14/04 support meminta info cc yg digunakan
14/04 cust lampirkan
15/04 done </t>
  </si>
  <si>
    <t>08/04 req masuk + support teruskan ke NOBU
08/04 DONE</t>
  </si>
  <si>
    <t>08/04 req masuk
09/04 DONE</t>
  </si>
  <si>
    <t>08/04 req masuk + support meminta info cc yg digunakan
08/04 cust infokan cc
15/04 DONE</t>
  </si>
  <si>
    <t>10/04 req masuk
10/04 support konfirm, transaksi dilakukan melalui channel apa
16/04 belum ada update</t>
  </si>
  <si>
    <t xml:space="preserve">7900124900039448	</t>
  </si>
  <si>
    <t xml:space="preserve">7900124900042257	</t>
  </si>
  <si>
    <t xml:space="preserve">7900124900097556	</t>
  </si>
  <si>
    <t xml:space="preserve">7900124900048403	</t>
  </si>
  <si>
    <t xml:space="preserve">7900124900001774	</t>
  </si>
  <si>
    <t xml:space="preserve">7900124900094054	</t>
  </si>
  <si>
    <t>XU Jie &lt;jie.xu@ehl.ch&gt;</t>
  </si>
  <si>
    <t xml:space="preserve">7900125000094417	</t>
  </si>
  <si>
    <t>Dela Cell
Dnd Cell
Asia Cell
PT Daya Net Gemilang</t>
  </si>
  <si>
    <t>15/04 req masuk + support infokan jika trx sukses</t>
  </si>
  <si>
    <t>15/04 req masuk
15/04 DONE</t>
  </si>
  <si>
    <t>Ella Martin &lt;ellaj.martin1@gmail.com&gt;</t>
  </si>
  <si>
    <t>10/04 req masuk
15/04 DONE</t>
  </si>
  <si>
    <t>DENG Liyuan &lt;liyuandeng0115@gmail.com&gt;</t>
  </si>
  <si>
    <t>Lynette Watts &lt;lynniwatts@gmail.com&gt;</t>
  </si>
  <si>
    <t>16/04 req masuk
16/04 support meminta info cc yg digunakan
16/04 cust lampirkan cc yg digunakan
16/04 done refund</t>
  </si>
  <si>
    <t>Renae Butler &lt;renaebutler01@gmail.com&gt;</t>
  </si>
  <si>
    <t>700701130140350</t>
  </si>
  <si>
    <t>15/04 req masuk
17/04 DONE</t>
  </si>
  <si>
    <t>09/04 req masuk + support meminta info cc yg digunakan
15/04 cust infokan cc yg digunakan
15/04 support infokan jika trx tidak diteukan
17/04 cust lampirkan id guna pengecekan</t>
  </si>
  <si>
    <t>adila andari &lt;adilaandari16@gmail.com&gt;</t>
  </si>
  <si>
    <t>7900125000061285</t>
  </si>
  <si>
    <t>10/04 req masuk + support meminta kronologis
10/04 support teruskan ke merchant
13/03 support FU
13/04 merchant infokan jika masih menunggu info investigasi
15/04 support FU
15/04 paylabs infokan bisa potong settelment
15/04 support req hold dana ke finance
17/04 finance infokan dana bisa sudah di hold</t>
  </si>
  <si>
    <t>Sharleen Abigail &lt;sharleen.abigail02@gmail.com&gt;</t>
  </si>
  <si>
    <t xml:space="preserve">17/04 req masuk
17/04 DONE
</t>
  </si>
  <si>
    <t>باسمه الصبحي &lt;bssomm2@icloud.com&gt;</t>
  </si>
  <si>
    <t>01/04 req masuk
08/04 DONE</t>
  </si>
  <si>
    <t>10/04 req masuk
10/04 support menanyakan untuk beberapa trx yg tdk ditemukan
15/04 BRI info akan dilakukan proses pendebetan</t>
  </si>
  <si>
    <t>13/04 req masuk + support meminta kronologis
17/04 belum ada balasan</t>
  </si>
  <si>
    <t>13/04 req masuk + support infokan kronologis
17/04 belum ada update</t>
  </si>
  <si>
    <t>14/04 req masuk
17/04 done</t>
  </si>
  <si>
    <t>14/04 req masuk + support meminta kronologis
20/04 belum ada update</t>
  </si>
  <si>
    <t>15/04 req masuk + support meminta kronologis
20/04 belum ada update</t>
  </si>
  <si>
    <t>15/04 req masuk
15/04 support meminta info cc yg digunakan
20/04 belum ada update</t>
  </si>
  <si>
    <t>16/04 req masuk
16/04 support meminta kronologis
20/04 belum ada update</t>
  </si>
  <si>
    <t>17/04 req masuk
17/04 support meminta info cc yg digunakan
17/04 cust infokan cc yg digunakan
17/04 support refund</t>
  </si>
  <si>
    <t>남순호 &lt;soon3967@naver.com&gt;</t>
  </si>
  <si>
    <t>17/04 req masuk
17/04 support meminta info cc yg digunakan
17/04 support refund</t>
  </si>
  <si>
    <t>Darby Gleeson &lt;gleesondarby@gmail.com&gt;</t>
  </si>
  <si>
    <t>김민우 &lt;alsn78@gmail.com&gt;</t>
  </si>
  <si>
    <t>김형민 &lt;khm46574814@gmail.com&gt;</t>
  </si>
  <si>
    <t>18/04 req masuk
18/04 support meminta info cc yg digunakan
18/04 cust infokan cc yg digunakan
18/04 done refund</t>
  </si>
  <si>
    <t>Zdenek Bezdek &lt;zbezdek@gmail.com&gt;</t>
  </si>
  <si>
    <t>18/04 req masuk
18/04 support meminta info cc yg digunakan
18/04 cust lampirkan cc yg digunakan
18/04 support refund</t>
  </si>
  <si>
    <t>Michael Cadman &lt;michaelcadman22@yahoo.com.au&gt;</t>
  </si>
  <si>
    <t>Kavita Dassani &lt;kdassani@hotmail.com&gt;</t>
  </si>
  <si>
    <t>19/04 req masuk
19/04 support meminta info cc yg digunakan
19/04 merc infokan cc yg digunakan
19/04 support refund</t>
  </si>
  <si>
    <t>James Wapshott &lt;jameswapshott@yahoo.com&gt;</t>
  </si>
  <si>
    <t>KOUVATSOS Panos &lt;panos.kouvatsos@insead.edu&gt;</t>
  </si>
  <si>
    <t>20/04 req masuk
20/04 support meminta info cc yg digunakan
20/04 merc infokan cc yg digunakan
20/04 done refund</t>
  </si>
  <si>
    <t>Scott Grimster &lt;scottygrimster@gmail.com&gt;</t>
  </si>
  <si>
    <t>13/04 Paylabs tanyakan trx VA  2189132240800029 
13/04 Support cek Mbase tidak ada, cek agregator tidak ada
13/04 support infokan trx gagal</t>
  </si>
  <si>
    <t xml:space="preserve">10/04 Saku laundry tanyakan RRN 018465954032 
10/04 Support cek di dashboard BNC sukse
10/04 support infokan sukses </t>
  </si>
  <si>
    <t>11/04  sains tanyakan trx
11/04 Support cek nobu ada namun dashboard cancel 
11/04  Support update , status updated</t>
  </si>
  <si>
    <t>11/04  baraka tanyakan trx 1551200000006380
11/04 Support cek dashboard cancel mbase apprv
11/04  Support update , status updated</t>
  </si>
  <si>
    <t>13/04  nobecul tanyakan trx 7900121700091027
13/04 Support cek dashboard cancel mbase error reject
13/04  Support infokan trx menunggu rekon
14/04 Info dari rekon dananya ada, support infokan sukses</t>
  </si>
  <si>
    <t>13/04  nobecul tanyakan trx 7900119200763393
13/04 Support cek dashboard cancel mbase error reject
13/04  Support infokan trx gagal</t>
  </si>
  <si>
    <r>
      <t xml:space="preserve">Request STATUS TRANSAKSI dari MERCHANT
(PRODUK diterima, dashboard belum update)
</t>
    </r>
    <r>
      <rPr>
        <sz val="11"/>
        <color theme="1"/>
        <rFont val="Calibri"/>
        <family val="2"/>
      </rPr>
      <t>000211798130 0151613042680116458
000211550967 0151613042621101752
604138712145 0151613042669293076
000000TN7VTS 0151713042696320629
604138721132 0151613042687562157
000214936924 0151813042671346887
621189738995 0151813042662293117
000214530983 0151813042673161381</t>
    </r>
  </si>
  <si>
    <t>13/04  sains tanyakan trx
13/04 Support cek nobu ada namun dashboard cancel 
13/04  Support update , status updated</t>
  </si>
  <si>
    <t>13/04  dnt tanyakan trx 7900125000064115
13/04 Support cek dashboard apprv, mbase sukses
13/04  Support infokan trx sukses</t>
  </si>
  <si>
    <t>13/04  sains tanyakan trx1nitwda73851
13/04 Support cek nobu ada, cek dashboard settle
13/04  Support infokan trx sukses</t>
  </si>
  <si>
    <t>14/04 sains tanyakan 0151114042696748152 / 000000TQBBDN
14/04 support cek nobu ada, cek dashboard pndg
14/04 support infokan tim terkait untuk update dan infokan sukses</t>
  </si>
  <si>
    <t>15/04 Univ sains tanyakan trx RRN 000244678616 
15/04 support cek nobu ada, cek dashboard setld
15/04 support infokan sukses</t>
  </si>
  <si>
    <t>15/04 Kvoucher tanyakan trx 7900119200765170
15/04 support plink rejected dan agree tidak ada ada datanya
15/04 support infokan gagal</t>
  </si>
  <si>
    <t>15/04 Baraka tanyakan trx 8919101205072269
15/04 support cek plink settled namun cek db belum ada datanya
15/04 Support up team terkait untuk update
15/04 sudah update dan support infokan sukses</t>
  </si>
  <si>
    <t>15/04 dnt tanyakan trx 8919101250910073
15/04 support cek plink settled namun cek db belum ada datanya
15/04 Support up team terkait untuk update
15/04 sudah update dan support infokan sukses</t>
  </si>
  <si>
    <t>16/04 Nobecul tanyakan trx 8919101217845603 / 2026041640100156451  
16/04 support cek operator dan pgadmin settld dan aprvd, dashboard pending 
16/04 Support up team terkait untuk update
16/04 sudah update dan support infokan sukses</t>
  </si>
  <si>
    <t>16/04 DNT tanyakan trx NACL1468492824
NACL1467856044 tidak dapat callback
16/04 Support up team terkait untuk update
17/04 Diinfokan team terkait sudah update 
17/04 Support infokan sudah update ke DNT</t>
  </si>
  <si>
    <t>16/04 Nobecul tanyakan trx 7900121700040045
16/04 support cek operator dan pgadmin sttld
16/04 Support infokan menunggu sukses</t>
  </si>
  <si>
    <t xml:space="preserve">17/04 DNT tanyakan trx 4041910125059392 // NACL1460304666
17/04 support cek operator dan pgadmin sttld
17/04 Support infokan sukses </t>
  </si>
  <si>
    <t xml:space="preserve">17/04 Univ Sains tanyakan trx 1nmykq682011 / 2521120080-260417131855 
17/04 support dashboard nobu ada 
17/04 Support infokan sukses </t>
  </si>
  <si>
    <t>18/04  dnt tanyakan trx 7900125000071636
18/04 Support cek dashboard apprv, mbase sukses
18/04  Support infokan trx sukses</t>
  </si>
  <si>
    <t>18/04  dnt tanyakan trx 7900125000049957
7900125000047677
18/04 Support cek dashboard apprv, mbase sukses
18/04  Support infokan trx sukses</t>
  </si>
  <si>
    <t>18/04  kvoucher tanyakan trx 2026041763600871649
7900119200783913
18/04 Support cek dashboard apprv, mbase sukses
18/04  Support infokan trx sukses</t>
  </si>
  <si>
    <t>18/04  kvucher tanyakan trx 7900119200783898
18/04 Support cek dashboard apprv, mbase sukses
18/04  Support infokan trx sukses</t>
  </si>
  <si>
    <t>18/04  kvucher tanyakan trx 2026041740100868652 // 7900119200783901 
18/04 Support cek dashboard apprv, mbase sukses
18/04  Support infokan trx sukses</t>
  </si>
  <si>
    <t>18/04  univ sains tanyakan trx 8903910121294578 
18/04 Support cek dashboard apprv, mbase sukses
18/04  Support infokan trx sukses</t>
  </si>
  <si>
    <t>18/04  univ sains tanyakan trx 000299153962  
18/04 Support cek dashboard nobu ada, infokan l2 untuk update status
18/04  Support infokan trx sukses</t>
  </si>
  <si>
    <t>18/04  DNT tanyakan trx NACL1473100029 / 7900125000069529
18/04 Support cek mbase apprv, dashboard cancel
18/04 Support infokan ke team terkait untuk update 
18/04  Support infokan trx sukses</t>
  </si>
  <si>
    <t>18/04  Nobecul tanyakan trx 7900121700059483  
18/04 Support cek mbase apprv, dashboard cancel
18/04 Support infokan ke team terkait untuk update 
18/04  Support infokan trx sukses</t>
  </si>
  <si>
    <t>18/04  DNT tanyakan trx 7900125000027976 / NACL1472679611 
18/04 Support cek mbase apprv, dashboard cancel
18/04 Support infokan ke team terkait untuk update 
18/04  Support infokan trx sukses</t>
  </si>
  <si>
    <t>18/04  DNT tanyakan trx 7900125000033028 - NACL1473110541
18/04 Support cek mbase apprv, dashboard cancel
18/04 Support infokan ke team terkait untuk update 
18/04  Support infokan trx sukses</t>
  </si>
  <si>
    <t>18/04  DNT tanyakan trx 7900125000024518 / NACL1473115759 
18/04 Support cek data 5401 ada, dashboard cancel
18/04 Support infokan ke team terkait untuk update</t>
  </si>
  <si>
    <t>19/04 Nobecul tanyakan trx 8919101217821964
19/04 Support cek plink settld, cek mbase plink 10 apprvd
19/04 Support infokan sukses</t>
  </si>
  <si>
    <t>19/04 Nobecul tanyakan trx 7900121700052085
19/04 Support cek data 5401 ada
19/04 Support infokan sukses</t>
  </si>
  <si>
    <t>19/04 Nobecul tanyakan trx 7900121700090627
19/04 Support cek data 5401 ada
19/04 Support infokan sukses</t>
  </si>
  <si>
    <t>20/04 req masuk
20/04 support meminta info cc yg digunakan
20/04 support refund</t>
  </si>
  <si>
    <t>Irwan A &lt;irwan125@icloud.com&gt;</t>
  </si>
  <si>
    <t>김미나 &lt;01071370717@naver.com&gt;</t>
  </si>
  <si>
    <t>Joey LIM &lt;joey.lim@hsbc.com.sg&gt;</t>
  </si>
  <si>
    <t>20/04 req masuk
20/04 support infokan trx sukses &amp; sarankan user untuk hub ihak merchant jika belum masuk</t>
  </si>
  <si>
    <t>7900121700084304</t>
  </si>
  <si>
    <t>7900125000040256</t>
  </si>
  <si>
    <t>16/04 req masuk
20/04 done</t>
  </si>
  <si>
    <t>17/04 req masuk
20/04 done</t>
  </si>
  <si>
    <t>20/04 req masuk
20/04 support meminta info cc 
20/04 cust infokan cc yg digunakan
20/04 support meminta info cc yg digunakan
20/04 done support refund</t>
  </si>
  <si>
    <t>20/04 req masuk
20/04 DONE</t>
  </si>
  <si>
    <t>20/04 req masuk
20/04 support infokan trx sukses</t>
  </si>
  <si>
    <t>20/04 req masuk
20/04 DONE refund</t>
  </si>
  <si>
    <t>Alec McIndoe &lt;alecmc010@gmail.com&gt;</t>
  </si>
  <si>
    <t>土倉幸子 &lt;kochisa85@gmail.com&gt;</t>
  </si>
  <si>
    <t>Liam Fartass &lt;liam.presse@gmail.com&gt;</t>
  </si>
  <si>
    <t>Saad Alqarni &lt;saad.alqrni5533@gmail.com&gt;</t>
  </si>
  <si>
    <t>GLENDA MATHOU &lt;gmathou@yahoo.com&gt;</t>
  </si>
  <si>
    <r>
      <t xml:space="preserve">Request REFUND TRANSAKSI
(Customer request refund transaksi double)
</t>
    </r>
    <r>
      <rPr>
        <sz val="11"/>
        <color theme="1"/>
        <rFont val="Calibri"/>
        <family val="2"/>
      </rPr>
      <t>Refund for visa application payment</t>
    </r>
  </si>
  <si>
    <t>21/04 req masuk</t>
  </si>
  <si>
    <t xml:space="preserve">700701131150503 </t>
  </si>
  <si>
    <t>10/04 req masuk
10/04 sup teruskan ke merchant
10/04 paylabs infokan jika akan dilakukan investigasi lebih lanjut
13/04 cust FU
17/04 merchant infokan bisa memotong settelment
17/04 support req hold dana
21/04 finance info hold dana</t>
  </si>
  <si>
    <r>
      <t xml:space="preserve">Request REFUND TRANSAKSI
(Customer request refund transaksi double)
</t>
    </r>
    <r>
      <rPr>
        <sz val="11"/>
        <color theme="1"/>
        <rFont val="Calibri"/>
        <family val="2"/>
      </rPr>
      <t>Clarification: Refund Request for Only One Transaction</t>
    </r>
  </si>
  <si>
    <t>21/04 req masuk
21/04 support refund</t>
  </si>
  <si>
    <t>16/04 KKD KONFIRMASI Pre-Arbitrasi 
16/04 Support infokan jika terdapat request Pre-Arb dari Bank</t>
  </si>
  <si>
    <t>Windows NT Service SQL Server Agent (MSSQLSERVER) is Down</t>
  </si>
  <si>
    <t>Memory Utilization is 81%, threshold value for this monitor is 80%</t>
  </si>
  <si>
    <t>dev-snap</t>
  </si>
  <si>
    <t>15/04 req masuk+ support meminta info cc yg digunakan
21/04 belum ada update</t>
  </si>
  <si>
    <t>18/04 req masuk
18/04 support meminta info cc yg digunakan
18/04 cust infokan cc yg digunakan
21/04 belum ada info dr user</t>
  </si>
  <si>
    <t>19/04 req masuk
19/04 support meminta info cc yg digunakan
19/04 merc infokan cc yg digunakan
21/04 belum ada info update</t>
  </si>
  <si>
    <t>16/04 req masuk + support meminta info cc
17/04 cust infokan cc yg digunakan
21/04 done refund</t>
  </si>
  <si>
    <t>marina belsito' &lt;marinabelsito@hotmail.com&gt;</t>
  </si>
  <si>
    <t>18/04 req masuk
18/04 support meminta info cc yg digunakan
21/04 cust melampirkan cc yg digunakan
21/04 support infokan trx sukses &amp; valid</t>
  </si>
  <si>
    <t>20/04 req masuk
21/04 done</t>
  </si>
  <si>
    <t>20/04 req masuk + support meminta kronologis
21/04 belum ada update</t>
  </si>
  <si>
    <t>20/04 req masuk + support meminta info cc yg digunakan
21/04 belum ada update</t>
  </si>
  <si>
    <t>20/04 req masuk
20/04 support meminta info cc yg digunakan
21/04 b3lum ada update</t>
  </si>
  <si>
    <t>20/04 req masuk + support meminta info cc yg digunakan
21/04 support infokan jika trx bukan di plink &amp; sarankan untuk hub imigrasi</t>
  </si>
  <si>
    <t xml:space="preserve">21/04 req masuk + support meminta info cc yg digunakan
21/04 done refund
</t>
  </si>
  <si>
    <t>21/04 req masuk + support meminta info cc yg digunakan
21/04 cust infokan cc yg digunakan
21/04 done refund</t>
  </si>
  <si>
    <t>14/04 req masuk
21/04 DONE</t>
  </si>
  <si>
    <t>16/04 req masuk
21/04 done</t>
  </si>
  <si>
    <t>21/04 KKD KONFIRMASI Pre-Arbitrasi 
21/04 Support infokan jika terdapat request Pre-Arb dari Bank</t>
  </si>
  <si>
    <t>Kudrnová Markéta &lt;Marketa.Kudrnova@excaliburinternational.cz&gt;</t>
  </si>
  <si>
    <t>21/04 req masuk
21/04 done</t>
  </si>
  <si>
    <t>14/04 req masuk + support meminta kronologis
17/04 mandiri FU
20/04 belum ada update
21/04 support info jika trx gagal &amp; meminta mandiri untuk refund</t>
  </si>
  <si>
    <t>08/04 req masuk
08/04 support meminta kronologis
16/04 bca melampirkan kronologis
16/04 support teruskan ke merchant 'FW: [Od31ef88] Indikasi Penipuan: BAYAR2.COM/08042026/059 VA 7900125000061285'
16/04 merchant bersedia melakukan refund
17/04 support req hold dana
21/04 finance info sdh hold dana
21/04 support meminta finance refund ke bca
21/04 done refund</t>
  </si>
  <si>
    <t>David Atías &lt;osram36w@protonmail.ch&gt;</t>
  </si>
  <si>
    <r>
      <t xml:space="preserve">Request REFUND TRANSAKSI
(Customer request refund transaksi double)
</t>
    </r>
    <r>
      <rPr>
        <sz val="11"/>
        <color theme="1"/>
        <rFont val="Calibri"/>
        <family val="2"/>
      </rPr>
      <t>Refund request</t>
    </r>
  </si>
  <si>
    <t>21/04 req masuk
21/04 support meminta cc yg digunakan
21/04 done</t>
  </si>
  <si>
    <t>Chulyoon Yeom &lt;cyyeom@pineandapple.com&gt;</t>
  </si>
  <si>
    <r>
      <t xml:space="preserve">Request REFUND TRANSAKSI
(Customer request refund transaksi double)
</t>
    </r>
    <r>
      <rPr>
        <sz val="11"/>
        <color theme="1"/>
        <rFont val="Calibri"/>
        <family val="2"/>
      </rPr>
      <t>Fw: [Urgent] Request for Refund: Double Payment Issue for e-VOA Application - [CHULYOON YEOM] / M422C0246</t>
    </r>
  </si>
  <si>
    <r>
      <t xml:space="preserve">Request REFUND TRANSAKSI
(Customer request refund transaksi double)
</t>
    </r>
    <r>
      <rPr>
        <sz val="11"/>
        <color theme="1"/>
        <rFont val="Calibri"/>
        <family val="2"/>
      </rPr>
      <t>Refund Request – Single Transaction Only</t>
    </r>
  </si>
  <si>
    <t>22/04 req masuk
22/04 cust infokan cc yg digunakan</t>
  </si>
  <si>
    <t>19/04 req masuk
19/04 support meminta info cc yg digunakan
19/04 merc infokan cc yg digunakan
21/04 belum ada info update
22/04 cust melampirkan no cc
22/04 done refund</t>
  </si>
  <si>
    <t>22/04 req masuk
22/04 done</t>
  </si>
  <si>
    <t>14/04 req masuk
14/04 support teruskan ke eizem
20/04 belum ada update
22/04 done</t>
  </si>
  <si>
    <t>16/04 req masuk
22/04 done</t>
  </si>
  <si>
    <t>Yesy Lie &lt;cellx0960@gmail.com&gt;</t>
  </si>
  <si>
    <t xml:space="preserve">4041910124956611	</t>
  </si>
  <si>
    <t xml:space="preserve">4041910124950103	</t>
  </si>
  <si>
    <t xml:space="preserve">4041910124961416	</t>
  </si>
  <si>
    <t xml:space="preserve">4041910124910399	</t>
  </si>
  <si>
    <t xml:space="preserve">4041910124908790	</t>
  </si>
  <si>
    <t>정주희 &lt;dewy_rose@naver.com&gt;</t>
  </si>
  <si>
    <r>
      <t xml:space="preserve">Request REFUND TRANSAKSI
(Customer request refund transaksi double)
</t>
    </r>
    <r>
      <rPr>
        <sz val="11"/>
        <color theme="1"/>
        <rFont val="Calibri"/>
        <family val="2"/>
      </rPr>
      <t>[Refund Request] Double Payment due to System Error (Passport: M40354709)</t>
    </r>
  </si>
  <si>
    <t>22/04 req masuk
22/04 support meminta info cc
22/04 cust lampirkan cc yg digunakan
22/04 DONE</t>
  </si>
  <si>
    <t>21/04 req masuk
22/04 DONE</t>
  </si>
  <si>
    <t>20/04 req masuk
20/04 support teruskan ke merchant 'FW: [NOBUCRM] Tiket R-635182 Telah Ditugaskan Pada Anda'
22/04 merchant meminta surat kronologis
22/04 DONE</t>
  </si>
  <si>
    <t>jack culleton &lt;jack.culleton123@gmail.com&gt;</t>
  </si>
  <si>
    <r>
      <t xml:space="preserve">Request REFUND TRANSAKSI
(Customer request refund transaksi double)
</t>
    </r>
    <r>
      <rPr>
        <sz val="11"/>
        <color theme="1"/>
        <rFont val="Calibri"/>
        <family val="2"/>
      </rPr>
      <t>Refund application</t>
    </r>
  </si>
  <si>
    <t>23/04 req masuk + support meminta no cc yg digunakan
23/04 support refund</t>
  </si>
  <si>
    <t>Luke Roberts &lt;lukeroberts801@gmail.com&gt;</t>
  </si>
  <si>
    <r>
      <t xml:space="preserve">Request REFUND TRANSAKSI
(Customer request refund transaksi double)
</t>
    </r>
    <r>
      <rPr>
        <sz val="11"/>
        <color theme="1"/>
        <rFont val="Calibri"/>
        <family val="2"/>
      </rPr>
      <t>Didn’t receive visa or receipt</t>
    </r>
  </si>
  <si>
    <t>吳志彬 &lt;a0982116039@gmail.com&gt;</t>
  </si>
  <si>
    <r>
      <t xml:space="preserve">Request REFUND TRANSAKSI
(Customer request refund transaksi double)
</t>
    </r>
    <r>
      <rPr>
        <sz val="11"/>
        <color theme="1"/>
        <rFont val="Calibri"/>
        <family val="2"/>
      </rPr>
      <t>Fwd: 申請落地簽證</t>
    </r>
  </si>
  <si>
    <r>
      <t xml:space="preserve">Request REFUND TRANSAKSI
(Customer request refund transaksi double)
</t>
    </r>
    <r>
      <rPr>
        <sz val="11"/>
        <color theme="1"/>
        <rFont val="Calibri"/>
        <family val="2"/>
      </rPr>
      <t>Payment Error Issue</t>
    </r>
  </si>
  <si>
    <t>23/04 req masuk
23/04 DONE refund</t>
  </si>
  <si>
    <t>23/04 req masuk + support meminta no cc yg digunakan
23/04 cust lampirkan cc yg digunakan
23/04 DONE</t>
  </si>
  <si>
    <t>700701131190141</t>
  </si>
  <si>
    <t>8903910125030106</t>
  </si>
  <si>
    <t>Lewis, Michael &lt;Michael.Lewis1@bakerhughes.com&gt;</t>
  </si>
  <si>
    <r>
      <t xml:space="preserve">Request REFUND TRANSAKSI
(Customer request refund transaksi double)
</t>
    </r>
    <r>
      <rPr>
        <sz val="11"/>
        <color theme="1"/>
        <rFont val="Calibri"/>
        <family val="2"/>
      </rPr>
      <t>Payment Error</t>
    </r>
  </si>
  <si>
    <t>23/04 req masuk + support meminta info cc
23/04 DONE</t>
  </si>
  <si>
    <t>26/03 req masuk
26/03 support meminta kronologis dkk
26/03 belum ada update
16/04 bca melampirkan kronologis
16/04 support teruskan ke merchant 'FW: [O50bcaf6] Indikasi Penipuan: BAYAR2.COM/26032026/049 / VA 7900125000097116'
20/04 merchant FU + konfirmasi beberapa hal
20/04 support konfirm ke BCA
23/04 belum ada update</t>
  </si>
  <si>
    <t>13/04 req masuk + support meminta kronologis
17/04 BCA melampirkan kronologis
17/04 support teruskan ke merchant 'FW: [Ofe8d600] Indikasi Penipuan: BAYAR2.COM/13042026/069'
20/04 merchant meminta data tambahan
20/04 bca fu
20/04 support meminta info bukti chat
23/04 belum ada update</t>
  </si>
  <si>
    <t>23/04 req masuk + support meminta kronologis
23/04 belum ada update</t>
  </si>
  <si>
    <t>16/04 nobecul tanyakan VA 7900121700068104
16/04 support cek mbase status error reject
16/04 support infokan trx gagal</t>
  </si>
  <si>
    <t xml:space="preserve">16/04 Nobecul tanyakan trx  8919101217845603 / 2026041640100156451 
16/04 support cek operator dan pgadmin settled dan aprvd 
16/04 Support infokan sukses </t>
  </si>
  <si>
    <t>16/04 Nobecul tanyakan trx 7900121700040045_x000D_
16/04 support cek operator dan pgadmin sttld_x000D_
16/04 Support infokan menunggu sukses</t>
  </si>
  <si>
    <t xml:space="preserve">17/04 Nobecul tanyakan trx 7900121700026714_x000D_
17/04 support cek operator SETLD, cek mbase SETLD_x000D_
17/04 Support infokan SUKSES _x000D_
</t>
  </si>
  <si>
    <t xml:space="preserve">tripay tanyakan VA 7900117900049037
support cek mbase status error reject
support infokan trx gagal
</t>
  </si>
  <si>
    <t>Request STATUS TRANSAKSI
(PRODUK Tdk Diterima, namun ada bukti TRANSFER)
Dengan hormat, mohon bantuanya umtuk deposit saya yang tidak masuk. Hari ini ada 3 transaksi pertama 1 juta yang kedua 800 yang ketiga adalah 100 jadi masakah yang ditemui adalah tidak masuk saldonya padahal saya sudah melakukan pembayaran briva via BRI m
PT Daya Net Gemilang
4041910125080254	800000</t>
  </si>
  <si>
    <t>Request STATUS TRANSAKSI
(PRODUK Tdk Diterima, namun ada bukti TRANSFER)
[Of4c6117] Rekap : 05/VA ONLINE/BAYAR2.COM
PT Envoiz Digital Indonesia
7900124900022422	2000000</t>
  </si>
  <si>
    <t>Request STATUS TRANSAKSI
(PRODUK Tdk Diterima, namun ada bukti TRANSFER)
Tiket CRM - 28891424 - Virtual Account - Rekening Terdebet Tetapi Dana Belum Diterima - YUSUF
PT Daya Net Gemilang
9887101250373793	5000000</t>
  </si>
  <si>
    <t>松枝菜奈' &lt;nana-matsue@t.anabuki.ac.jp&gt;</t>
  </si>
  <si>
    <t>小川　健次 &lt;ogaken@lion.co.jp&gt;</t>
  </si>
  <si>
    <t>冰 &lt;280136539@qq.com&gt;</t>
  </si>
  <si>
    <t>김규철' &lt;kkc2566111@gmail.com&gt;</t>
  </si>
  <si>
    <t>25/03 K Voucher  tanyakan trx 
2026030840100954245	
7900119200604854	
2026030840100969636	
7900119200605302	
2026030840100969583	
7900119200605301   
25/03 Support cek di db dan mbase tidak ada namun di agregator ada
25/03 Support koordinasi dengan tim terkait untuk update statusnya</t>
  </si>
  <si>
    <t>余 &lt;yu_peilu@163.com&gt;</t>
  </si>
  <si>
    <t>이진우 &lt;wgvx9104@gmail.com&gt;</t>
  </si>
  <si>
    <t>이다영 &lt;dayo0815@naver.com&gt;</t>
  </si>
  <si>
    <t>도한성 &lt;doichang73@gmail.com&gt;</t>
  </si>
  <si>
    <t>Karen Cave &lt;kcave137@gmail.com&gt;</t>
  </si>
  <si>
    <r>
      <t xml:space="preserve">Request REFUND TRANSAKSI
(Product tidak diterima dan Cust request refund)
</t>
    </r>
    <r>
      <rPr>
        <sz val="11"/>
        <color theme="1"/>
        <rFont val="Calibri"/>
        <family val="2"/>
      </rPr>
      <t>Refund 31 Desember 2025
JP-016-251231-173731	31-12-2025	17:37:32	10000
JP-015-251231-172428	31-12-2025	17:24:29	37800
JP-020-251231-171051	31-12-2025	17:10:52	15500
JP-020-251231-155559	31-12-2025	15:56:00	11000
JP-019-251231-144407	31-12-2025	14:44:08	8000
JP-016-251231-143340	31-12-2025	14:33:41	10000
JP-001-251231-134623	31-12-2025	13:46:24	12412
JP-016-251231-134414	31-12-2025	13:44:15	6000
JP-019-251231-133659	31-12-2025	13:37:01	15500
JP-006-251231-132636	31-12-2025	13:26:38	10000
JP-016-251231-132503	31-12-2025	13:25:05	12000
JP-016-251231-131605	31-12-2025	13:16:10	10000
JP-016-251231-120607	31-12-2025	12:06:08	10000
JP-016-251231-113526	31-12-2025	11:35:27	12000
JP-015-251231-111037	31-12-2025	11:10:40	16000
JP-016-251231-104045	31-12-2025	10:40:46	10000
JP-016-251231-100112	31-12-2025	10:01:13	10000
JP-007-251231-072952	31-12-2025	07:29:53	13000
JP-001-251231-065904	31-12-2025	06:59:05	12412</t>
    </r>
  </si>
  <si>
    <r>
      <t xml:space="preserve">Request REFUND TRANSAKSI
(Product tidak diterima dan Cust request refund)
</t>
    </r>
    <r>
      <rPr>
        <sz val="11"/>
        <color theme="1"/>
        <rFont val="Calibri"/>
        <family val="2"/>
      </rPr>
      <t>Refund 1 Jan 2026
JP-006-260101-172845	01-01-2026	17:28:47	37800
JP-012-260101-165209	01-01-2026	16:52:10	13000
JP-006-260101-163257	01-01-2026	16:32:58	10000
JP-015-260101-142513	01-01-2026	14:25:14	12000
JP-020-260101-141652	01-01-2026	14:16:53	16000
JP-016-260101-133257	01-01-2026	13:32:59	10000
JP-016-260101-132403	01-01-2026	13:24:05	15500
JP-019-260101-132335	01-01-2026	13:23:36	15500
JP-016-260101-122743	01-01-2026	12:27:47	11500
JP-016-260101-122501	01-01-2026	12:25:02	11500
JP-015-260101-121106	01-01-2026	12:11:08	37800
JP-020-260101-120512	01-01-2026	12:05:13	11000
JP-006-260101-115142	01-01-2026	11:51:44	15048
JP-016-260101-114807	01-01-2026	11:48:09	11500
JP-016-260101-104318	01-01-2026	10:43:19	10000
JP-016-260101-104104	01-01-2026	10:41:05	10000
JP-016-260101-103047	01-01-2026	10:30:49	10000
JP-016-260101-102558	01-01-2026	10:25:59	10000
JP-016-260101-102558	01-01-2026	10:25:59	10000
JP-016-260101-102558	01-01-2026	10:25:59	10000
JP-016-260101-102558	01-01-2026	10:25:59	10000
JP-006-260101-100705	01-01-2026	10:07:06	10000
JP-018-260101-090212	01-01-2026	09:02:17	4867
JP-015-260101-082134	01-01-2026	08:21:35	12000
JP-016-260101-081058	01-01-2026	08:10:59	10000
JP-006-260101-064935	01-01-2026	06:49:36	11000
JP-006-260101-064744	01-01-2026	06:47:45	18010</t>
    </r>
  </si>
  <si>
    <r>
      <t xml:space="preserve">Request BUKTI TRANSAKSI VOA dari BANK
(Pengajuan Pre-Arb oleh Bank)
</t>
    </r>
    <r>
      <rPr>
        <sz val="11"/>
        <color theme="1"/>
        <rFont val="Calibri"/>
        <family val="2"/>
      </rPr>
      <t>KONFIRMASI PRE ARBITRASI Prismalink*IND VISAARR 02/01/2025 55 TRX</t>
    </r>
  </si>
  <si>
    <r>
      <t>Surat FRAUD dari BANK
(Dana Terpotong, Produk Tdk Diterima)</t>
    </r>
    <r>
      <rPr>
        <sz val="11"/>
        <color theme="1"/>
        <rFont val="Calibri"/>
        <family val="2"/>
      </rPr>
      <t xml:space="preserve">
[Ode9de2b] Indikasi Penipuan: BAYAR2.COM/02012026/01
PT TEKNOLOGI AWAN CERAH
7900121700085680
10,111,067</t>
    </r>
  </si>
  <si>
    <r>
      <t>Surat FRAUD dari BANK
(Dana Terpotong, Produk Tdk Diterima)</t>
    </r>
    <r>
      <rPr>
        <sz val="11"/>
        <color theme="1"/>
        <rFont val="Calibri"/>
        <family val="2"/>
      </rPr>
      <t xml:space="preserve">
kasus Penipuan
PT Daya Net Gemilang
7900125000067412
2.000.000
7900125000055150
2,900,000</t>
    </r>
  </si>
  <si>
    <r>
      <t>Surat FRAUD dari BANK
(Dana Terpotong, Produk Tdk Diterima)</t>
    </r>
    <r>
      <rPr>
        <sz val="11"/>
        <color theme="1"/>
        <rFont val="Calibri"/>
        <family val="2"/>
      </rPr>
      <t xml:space="preserve">
Deposit ke Exness aditya mahardika
PT Daya Net Gemilang
4041910125029121
1000000</t>
    </r>
  </si>
  <si>
    <r>
      <t>Surat FRAUD dari BANK
(Dana Terpotong, Produk Tdk Diterima)</t>
    </r>
    <r>
      <rPr>
        <sz val="11"/>
        <color theme="1"/>
        <rFont val="Calibri"/>
        <family val="2"/>
      </rPr>
      <t xml:space="preserve">
Laporan Penipuan Online – Permohonan Hold Settlement Merchant
PT Kreasi Kode Kreatif
7900119200346552
1.700.000</t>
    </r>
  </si>
  <si>
    <r>
      <t xml:space="preserve">Request REFUND TRANSAKSI
(Product tidak diterima dan Cust request refund)
</t>
    </r>
    <r>
      <rPr>
        <sz val="11"/>
        <color theme="1"/>
        <rFont val="Calibri"/>
        <family val="2"/>
      </rPr>
      <t>Refund 2,3,4 Jan 2026
JP-017-260104-165717	04-01-2026	16:57:18	33600
JP-017-260104-165305	04-01-2026	16:53:06	33600
JP-017-260104-164822	04-01-2026	16:48:23	33600
JP-017-260104-161143	04-01-2026	16:11:44	9500
JP-017-260104-142219	04-01-2026	14:22:20	12412
JP-015-260104-142041	04-01-2026	14:20:42	10000
JP-015-260104-141354	04-01-2026	14:13:55	10000
JP-020-260104-140634	04-01-2026	14:06:35	11000
JP-015-260104-114612	04-01-2026	11:46:13	10000
JP-015-260104-110458	04-01-2026	11:04:58	16000
JP-015-260104-082703	04-01-2026	08:27:04	12000
JP-015-260104-082205	04-01-2026	08:22:06	10000
JP-018-260103-210053	03-01-2026	21:00:54	12172
JP-018-260103-183919	03-01-2026	18:39:35	9500
JP-004-260103-180022	03-01-2026	18:00:23	33600
JP-020-260103-153934	03-01-2026	15:39:37	37800
JP-015-260103-134419	03-01-2026	13:44:20	10000
JP-020-260103-133738	03-01-2026	13:37:39	11000
JP-015-260103-133318	03-01-2026	13:33:20	10000
JP-015-260103-130741	03-01-2026	13:07:44	10000
JP-015-260103-124540	03-01-2026	12:45:41	10000
JP-015-260103-114211	03-01-2026	11:42:12	11000
JP-006-260103-102424	03-01-2026	10:24:25	37800
JP-001-260103-084626	03-01-2026	08:46:27	4392
JP-004-260102-220411	02-01-2026	22:04:12	8960
JP-004-260102-220204	02-01-2026	22:02:05	8960
JP-002-260102-204601	02-01-2026	20:46:02	11360
JP-015-260102-170832	02-01-2026	17:08:33	37800
JP-020-260102-135452	02-01-2026	13:54:53	8000
JP-020-260102-132426	02-01-2026	13:24:27	11000
JP-018-260102-112812	02-01-2026	11:28:14	4867
JP-019-260102-112534	02-01-2026	11:25:35	37800
JP-006-260102-101618	02-01-2026	10:16:20	10000
JP-019-260102-095714	02-01-2026	09:57:15	16000
JP-006-260102-064501	02-01-2026	06:45:02	10000</t>
    </r>
  </si>
  <si>
    <r>
      <t xml:space="preserve">Request STATUS TRANSAKSI dari MERCHANT
(PRODUK diterima, dashboard belum update)
</t>
    </r>
    <r>
      <rPr>
        <sz val="11"/>
        <color theme="1"/>
        <rFont val="Calibri"/>
        <family val="2"/>
      </rPr>
      <t xml:space="preserve">
7900121700089282</t>
    </r>
  </si>
  <si>
    <r>
      <t xml:space="preserve">Request STATUS TRANSAKSI dari CUSTOMER
(PRODUK Tdk Diterima, namun ada bukti TRANSFER)
</t>
    </r>
    <r>
      <rPr>
        <sz val="11"/>
        <color theme="1"/>
        <rFont val="Calibri"/>
        <family val="2"/>
      </rPr>
      <t xml:space="preserve">
7900121700042282</t>
    </r>
  </si>
  <si>
    <r>
      <t xml:space="preserve">Request STATUS TRANSAKSI dari CUSTOMER
(PRODUK Tdk Diterima, namun ada bukti TRANSFER)
</t>
    </r>
    <r>
      <rPr>
        <sz val="11"/>
        <color theme="1"/>
        <rFont val="Calibri"/>
        <family val="2"/>
      </rPr>
      <t xml:space="preserve">
7900125000096078 / NACL1292816421</t>
    </r>
  </si>
  <si>
    <r>
      <t>Surat FRAUD dari BANK
(Dana Terpotong, Produk Tdk Diterima)</t>
    </r>
    <r>
      <rPr>
        <sz val="11"/>
        <color theme="1"/>
        <rFont val="Calibri"/>
        <family val="2"/>
      </rPr>
      <t xml:space="preserve">
[Of36a0dc] Indikasi Penipuan: BAYAR2.COM/05012026/02
PT Daya Net Gemilang
7900125000094011
5600000</t>
    </r>
  </si>
  <si>
    <r>
      <t xml:space="preserve">Request REFUND TRANSAKSI
(Product tidak diterima dan Cust request refund)
</t>
    </r>
    <r>
      <rPr>
        <sz val="11"/>
        <color theme="1"/>
        <rFont val="Calibri"/>
        <family val="2"/>
      </rPr>
      <t>Refund 5 Januari 2026
JP-004-260105-230435	05-01-2026	23:04:36	8960
JP-007-260105-203045	05-01-2026	20:31:01	17359
JP-015-260105-142055	05-01-2026	14:20:57	15000
JP-020-260105-132930	05-01-2026	13:29:34	11000
JP-020-260105-132930	05-01-2026	13:29:34	6500
JP-020-260105-105331	05-01-2026	10:53:32	15500
JP-015-260105-103359	05-01-2026	10:34:00	10000
JP-015-260105-101429	05-01-2026	10:14:30	10000</t>
    </r>
  </si>
  <si>
    <r>
      <t xml:space="preserve">Request BUKTI TRANSAKSI VOA dari BANK
(Customer sanggah transaksi CC atas penerbitan Visa)
</t>
    </r>
    <r>
      <rPr>
        <sz val="11"/>
        <color theme="1"/>
        <rFont val="Calibri"/>
        <family val="2"/>
      </rPr>
      <t>Receipt/invoice request</t>
    </r>
  </si>
  <si>
    <r>
      <t>Surat FRAUD dari BANK
(Dana Terpotong, Produk Tdk Diterima)</t>
    </r>
    <r>
      <rPr>
        <sz val="11"/>
        <color theme="1"/>
        <rFont val="Calibri"/>
        <family val="2"/>
      </rPr>
      <t xml:space="preserve">
[Oda17c90] Indikasi Penipuan: BAYAR2.COM/06012026/03
PT Kreasi Kode Kreatif
7900119200346552
1.700.000</t>
    </r>
  </si>
  <si>
    <r>
      <t xml:space="preserve">Request BUKTI TRANSAKSI VOA dari BANK
(Pengajuan Pre-Arb oleh Bank)
</t>
    </r>
    <r>
      <rPr>
        <sz val="11"/>
        <color theme="1"/>
        <rFont val="Calibri"/>
        <family val="2"/>
      </rPr>
      <t>KONFIRMASI PRE ARBITRASI Prismalink*IND VISAARR 06/01/2025 45 TRX</t>
    </r>
  </si>
  <si>
    <r>
      <t xml:space="preserve">Request BUKTI TRANSAKSI CC dari BANK
(Customer sanggah transaksi CC)
</t>
    </r>
    <r>
      <rPr>
        <sz val="11"/>
        <color theme="1"/>
        <rFont val="Calibri"/>
        <family val="2"/>
      </rPr>
      <t>PERMOHONAN BUKTI TRANSAKSI PRISMALINK*IND VISAARR #06/01/2026 26 TRX</t>
    </r>
  </si>
  <si>
    <r>
      <t xml:space="preserve">Request REFUND TRANSAKSI
(Product tidak diterima dan Cust request refund)
</t>
    </r>
    <r>
      <rPr>
        <sz val="11"/>
        <color theme="1"/>
        <rFont val="Calibri"/>
        <family val="2"/>
      </rPr>
      <t>Refund 6 Januari 2026
JP-004-260106-175959	06-01-2026	18:00:00	7200
JP-004-260106-175713	06-01-2026	17:57:14	8960
JP-002-260106-124913	06-01-2026	12:49:14	5000
JP-012-260106-011901	06-01-2026	01:19:04	13000</t>
    </r>
  </si>
  <si>
    <r>
      <t xml:space="preserve">Request STATUS TRANSAKSI dari CUSTOMER
(PRODUK Tdk Diterima, namun ada bukti TRANSFER)
</t>
    </r>
    <r>
      <rPr>
        <sz val="11"/>
        <color theme="1"/>
        <rFont val="Calibri"/>
        <family val="2"/>
      </rPr>
      <t xml:space="preserve">
7900125000022158 / NACL1295123209</t>
    </r>
  </si>
  <si>
    <r>
      <t xml:space="preserve">Request STATUS TRANSAKSI dari CUSTOMER
(PRODUK Tdk Diterima, namun ada bukti TRANSFER)
</t>
    </r>
    <r>
      <rPr>
        <sz val="11"/>
        <color theme="1"/>
        <rFont val="Calibri"/>
        <family val="2"/>
      </rPr>
      <t xml:space="preserve">
VA 8903910125008822 / NACL1294223506</t>
    </r>
  </si>
  <si>
    <r>
      <t xml:space="preserve">Request STATUS TRANSAKSI dari MERCHANT
(PRODUK diterima, dashboard belum update)
</t>
    </r>
    <r>
      <rPr>
        <sz val="11"/>
        <color theme="1"/>
        <rFont val="Calibri"/>
        <family val="2"/>
      </rPr>
      <t xml:space="preserve">
8919101123059316</t>
    </r>
  </si>
  <si>
    <r>
      <t xml:space="preserve">Request STATUS TRANSAKSI dari MERCHANT
(PRODUK diterima, dashboard belum update)
</t>
    </r>
    <r>
      <rPr>
        <sz val="11"/>
        <color theme="1"/>
        <rFont val="Calibri"/>
        <family val="2"/>
      </rPr>
      <t xml:space="preserve">
8919101123089124</t>
    </r>
  </si>
  <si>
    <r>
      <t xml:space="preserve">Request BUKTI TRANSAKSI VOA dari BANK
(Customer sanggah transaksi CC atas penerbitan Visa)
</t>
    </r>
    <r>
      <rPr>
        <sz val="11"/>
        <color theme="1"/>
        <rFont val="Calibri"/>
        <family val="2"/>
      </rPr>
      <t xml:space="preserve"> No card : 516310**2326</t>
    </r>
  </si>
  <si>
    <r>
      <t xml:space="preserve">Request BUKTI TRANSAKSI VOA dari BANK
(Customer sanggah transaksi CC atas penerbitan Visa)
</t>
    </r>
    <r>
      <rPr>
        <sz val="11"/>
        <color theme="1"/>
        <rFont val="Calibri"/>
        <family val="2"/>
      </rPr>
      <t>No Card : 413520****3837</t>
    </r>
  </si>
  <si>
    <r>
      <t xml:space="preserve">Request STATUS TRANSAKSI dari CUSTOMER
(PRODUK Tdk Diterima, namun ada bukti TRANSFER)
</t>
    </r>
    <r>
      <rPr>
        <sz val="11"/>
        <color theme="1"/>
        <rFont val="Calibri"/>
        <family val="2"/>
      </rPr>
      <t xml:space="preserve">
8903910117909234</t>
    </r>
  </si>
  <si>
    <r>
      <t xml:space="preserve">Request STATUS TRANSAKSI dari CUSTOMER
(PRODUK Tdk Diterima, namun ada bukti TRANSFER)
</t>
    </r>
    <r>
      <rPr>
        <sz val="11"/>
        <color theme="1"/>
        <rFont val="Calibri"/>
        <family val="2"/>
      </rPr>
      <t xml:space="preserve">
2026010540100082784 // 7900121700013197  </t>
    </r>
  </si>
  <si>
    <r>
      <t xml:space="preserve">Request STATUS TRANSAKSI dari CUSTOMER
(PRODUK Tdk Diterima, namun ada bukti TRANSFER)
</t>
    </r>
    <r>
      <rPr>
        <sz val="11"/>
        <color theme="1"/>
        <rFont val="Calibri"/>
        <family val="2"/>
      </rPr>
      <t xml:space="preserve">
7900121700075079</t>
    </r>
  </si>
  <si>
    <r>
      <t xml:space="preserve">Request STATUS TRANSAKSI dari CUSTOMER
(PRODUK Tdk Diterima, namun ada bukti TRANSFER)
</t>
    </r>
    <r>
      <rPr>
        <sz val="11"/>
        <color theme="1"/>
        <rFont val="Calibri"/>
        <family val="2"/>
      </rPr>
      <t xml:space="preserve">
7900125000015050</t>
    </r>
  </si>
  <si>
    <r>
      <t xml:space="preserve">Request STATUS TRANSAKSI dari CUSTOMER
(PRODUK diterima, dashboard belum update)
</t>
    </r>
    <r>
      <rPr>
        <sz val="11"/>
        <color theme="1"/>
        <rFont val="Calibri"/>
        <family val="2"/>
      </rPr>
      <t xml:space="preserve">
1551200000023795</t>
    </r>
  </si>
  <si>
    <r>
      <t xml:space="preserve">Request STATUS TRANSAKSI dari MERCHANT
(PRODUK diterima, dashboard belum update)
</t>
    </r>
    <r>
      <rPr>
        <sz val="11"/>
        <color theme="1"/>
        <rFont val="Calibri"/>
        <family val="2"/>
      </rPr>
      <t xml:space="preserve">
000433867224 / 0011310122580079190</t>
    </r>
  </si>
  <si>
    <r>
      <t xml:space="preserve">Request STATUS TRANSAKSI dari CUSTOMER
(PRODUK Tdk Diterima, namun ada bukti TRANSFER)
</t>
    </r>
    <r>
      <rPr>
        <sz val="11"/>
        <color theme="1"/>
        <rFont val="Calibri"/>
        <family val="2"/>
      </rPr>
      <t xml:space="preserve">
7900125000045973 / NACL1297229095 </t>
    </r>
  </si>
  <si>
    <r>
      <t xml:space="preserve">Request STATUS TRANSAKSI dari MERCHANT
(PRODUK diterima, dashboard belum update)
</t>
    </r>
    <r>
      <rPr>
        <sz val="11"/>
        <color theme="1"/>
        <rFont val="Calibri"/>
        <family val="2"/>
      </rPr>
      <t xml:space="preserve">
P82332920 // 000938945282 </t>
    </r>
  </si>
  <si>
    <r>
      <t xml:space="preserve">Request BUKTI TRANSAKSI VOA dari BANK
(Customer sanggah transaksi CC atas penerbitan Visa)
</t>
    </r>
    <r>
      <rPr>
        <sz val="11"/>
        <color theme="1"/>
        <rFont val="Calibri"/>
        <family val="2"/>
      </rPr>
      <t xml:space="preserve">Reff No : 2221225B1442471 </t>
    </r>
  </si>
  <si>
    <r>
      <t xml:space="preserve">Request STATUS TRANSAKSI dari CUSTOMER
(PRODUK Tdk Diterima, namun ada bukti TRANSFER)
</t>
    </r>
    <r>
      <rPr>
        <sz val="11"/>
        <color theme="1"/>
        <rFont val="Calibri"/>
        <family val="2"/>
      </rPr>
      <t xml:space="preserve">
NACL1297784024 // 7900125000090145</t>
    </r>
  </si>
  <si>
    <r>
      <t xml:space="preserve">Request BUKTI TRANSAKSI CC dari BANK
(Customer sanggah transaksi CC)
</t>
    </r>
    <r>
      <rPr>
        <sz val="11"/>
        <color theme="1"/>
        <rFont val="Calibri"/>
        <family val="2"/>
      </rPr>
      <t>Permohonan bukti transaksi merchant PRISMALINK #07012026 JCB</t>
    </r>
  </si>
  <si>
    <r>
      <t xml:space="preserve">Request BUKTI TRANSAKSI VOA dari BANK
(Pengajuan Pre-Arb oleh Bank)
</t>
    </r>
    <r>
      <rPr>
        <sz val="11"/>
        <color theme="1"/>
        <rFont val="Calibri"/>
        <family val="2"/>
      </rPr>
      <t>KONFIRMASI PRE ARBITRASI Prismalink*IND VISAARR 07/01/2025 77 TRX</t>
    </r>
  </si>
  <si>
    <r>
      <t xml:space="preserve">Request STATUS TRANSAKSI dari CUSTOMER
(PRODUK Tdk Diterima, namun ada bukti TRANSFER)
</t>
    </r>
    <r>
      <rPr>
        <sz val="11"/>
        <color theme="1"/>
        <rFont val="Calibri"/>
        <family val="2"/>
      </rPr>
      <t xml:space="preserve">
[CONFIDENTIAL] Konfirmasi Transaksi 06 Januari 2026
PT Wahana Pembayaran Digital
2189132110600004  
50000000</t>
    </r>
  </si>
  <si>
    <r>
      <t>Surat FRAUD dari CUSTOMER
(Dana Terpotong, Produk Tdk Diterima)</t>
    </r>
    <r>
      <rPr>
        <sz val="11"/>
        <color theme="1"/>
        <rFont val="Calibri"/>
        <family val="2"/>
      </rPr>
      <t xml:space="preserve">
penipuan // Pengecekan transaksi 7900125000062872 &amp; 7900125000013652
PT Daya Net Gemilang
7900125000062872
2,470,000
7900125000013652
2,470,000</t>
    </r>
  </si>
  <si>
    <r>
      <t xml:space="preserve">Request REFUND TRANSAKSI
(Product tidak diterima dan Cust request refund)
</t>
    </r>
    <r>
      <rPr>
        <sz val="11"/>
        <color theme="1"/>
        <rFont val="Calibri"/>
        <family val="2"/>
      </rPr>
      <t>Refund 7 Januari 2026
JP-006-260107-203838	07-01-2026	20:38:39	37800
JP-013-260107-184842	07-01-2026	18:48:44	10181
JP-015-260107-123129	07-01-2026	12:31:30	15500</t>
    </r>
  </si>
  <si>
    <r>
      <t xml:space="preserve">Request BUKTI TRANSAKSI VOA dari BANK
(Customer sanggah transaksi CC atas penerbitan Visa)
</t>
    </r>
    <r>
      <rPr>
        <sz val="11"/>
        <color theme="1"/>
        <rFont val="Calibri"/>
        <family val="2"/>
      </rPr>
      <t>KONFIRMASI CHARGEBACK Prismalink*IND VISAARR 05/01/2025 145 TRX</t>
    </r>
  </si>
  <si>
    <r>
      <t xml:space="preserve">Request STATUS TRANSAKSI dari CUSTOMER
(PRODUK Tdk Diterima, namun ada bukti TRANSFER)
</t>
    </r>
    <r>
      <rPr>
        <sz val="11"/>
        <color theme="1"/>
        <rFont val="Calibri"/>
        <family val="2"/>
      </rPr>
      <t xml:space="preserve">
 7900125000024763 / NACL1290461809</t>
    </r>
  </si>
  <si>
    <r>
      <t xml:space="preserve">Request STATUS TRANSAKSI dari CUSTOMER
(PRODUK Tdk Diterima, namun ada bukti TRANSFER)
</t>
    </r>
    <r>
      <rPr>
        <sz val="11"/>
        <color theme="1"/>
        <rFont val="Calibri"/>
        <family val="2"/>
      </rPr>
      <t xml:space="preserve">
7900125000076543 / NACL1299540221</t>
    </r>
  </si>
  <si>
    <r>
      <t>Surat FRAUD dari BANK
(Dana Terpotong, Produk Tdk Diterima)</t>
    </r>
    <r>
      <rPr>
        <sz val="11"/>
        <color theme="1"/>
        <rFont val="Calibri"/>
        <family val="2"/>
      </rPr>
      <t xml:space="preserve">
[Oc2a0f38] Indikasi Penipuan: BAYAR2.COM/08012026/04
PT Daya Net Gemilang
7900125000051556
4675000		
PT Envoiz Digital Indonesia
7900124900021353
11400000		</t>
    </r>
  </si>
  <si>
    <r>
      <t>Request REFUND TRANSAKSI
-
email :PT Libersa Official</t>
    </r>
    <r>
      <rPr>
        <sz val="11"/>
        <color theme="1"/>
        <rFont val="Calibri"/>
        <family val="2"/>
      </rPr>
      <t xml:space="preserve">
</t>
    </r>
  </si>
  <si>
    <r>
      <t>Surat FRAUD dari CUSTOMER
(Dana Terpotong, Produk Tdk Diterima)</t>
    </r>
    <r>
      <rPr>
        <sz val="11"/>
        <color theme="1"/>
        <rFont val="Calibri"/>
        <family val="2"/>
      </rPr>
      <t xml:space="preserve">
Pengaduan Penipuan lewat Virtual Account
PT TEKNOLOGI AWAN CERAH
8903910121751269
38,500,000
8903910121747847
15,300,000
8903910121768539
15,100,000</t>
    </r>
  </si>
  <si>
    <r>
      <t xml:space="preserve">Request REFUND TRANSAKSI
(Product tidak diterima dan Cust request refund)
</t>
    </r>
    <r>
      <rPr>
        <sz val="11"/>
        <color theme="1"/>
        <rFont val="Calibri"/>
        <family val="2"/>
      </rPr>
      <t>Refund 8 Januari 2026
JP-016-260108-233536	08-01-2026	23:35:37	10000
JP-016-260108-233354	08-01-2026	23:33:55	10000
JP-016-260108-233158	08-01-2026	23:31:59	10000
JP-016-260108-232915	08-01-2026	23:29:16	10000
JP-016-260108-225647	08-01-2026	22:56:48	10000
JP-018-260108-160053	08-01-2026	16:01:10	7200
JP-007-260108-125727	08-01-2026	12:57:28	16009
JP-004-260108-121646	08-01-2026	12:16:47	8960
JP-015-260108-102019	08-01-2026	10:20:20	13000</t>
    </r>
  </si>
  <si>
    <r>
      <t xml:space="preserve">Request STATUS TRANSAKSI dari CUSTOMER
(PRODUK Tdk Diterima, namun ada bukti TRANSFER)
</t>
    </r>
    <r>
      <rPr>
        <sz val="11"/>
        <color theme="1"/>
        <rFont val="Calibri"/>
        <family val="2"/>
      </rPr>
      <t xml:space="preserve">
7900125000019609 / NACL1300768749</t>
    </r>
  </si>
  <si>
    <r>
      <t xml:space="preserve">Request STATUS TRANSAKSI dari CUSTOMER
(PRODUK Tdk Diterima, namun ada bukti TRANSFER)
</t>
    </r>
    <r>
      <rPr>
        <sz val="11"/>
        <color theme="1"/>
        <rFont val="Calibri"/>
        <family val="2"/>
      </rPr>
      <t xml:space="preserve">
4041913285651763</t>
    </r>
  </si>
  <si>
    <r>
      <t xml:space="preserve">Request STATUS TRANSAKSI dari MERCHANT
(PRODUK diterima, dashboard belum update)
</t>
    </r>
    <r>
      <rPr>
        <sz val="11"/>
        <color theme="1"/>
        <rFont val="Calibri"/>
        <family val="2"/>
      </rPr>
      <t xml:space="preserve">
7900121700050778 / 2026010840100007061  </t>
    </r>
  </si>
  <si>
    <r>
      <t xml:space="preserve">Request STATUS TRANSAKSI dari CUSTOMER
(PRODUK Tdk Diterima, namun ada bukti TRANSFER)
</t>
    </r>
    <r>
      <rPr>
        <sz val="11"/>
        <color theme="1"/>
        <rFont val="Calibri"/>
        <family val="2"/>
      </rPr>
      <t xml:space="preserve">
4041910124905049</t>
    </r>
  </si>
  <si>
    <r>
      <t xml:space="preserve">Request BUKTI TRANSAKSI VOA dari BANK
(Pengajuan Pre-Arb oleh Bank)
</t>
    </r>
    <r>
      <rPr>
        <sz val="11"/>
        <color theme="1"/>
        <rFont val="Calibri"/>
        <family val="2"/>
      </rPr>
      <t>KONFIRMASI PRE ARBITRASI Prismalink*IND VISAARR 09/01/2025 93 TRX</t>
    </r>
  </si>
  <si>
    <r>
      <t xml:space="preserve">Request REFUND TRANSAKSI
(Product tidak diterima dan Cust request refund)
</t>
    </r>
    <r>
      <rPr>
        <sz val="11"/>
        <color theme="1"/>
        <rFont val="Calibri"/>
        <family val="2"/>
      </rPr>
      <t>refund 9,10,11 Januari 2026
JP-016-260109-132429	09-01-2026	13:24:30	10000
JP-019-260109-114725	09-01-2026	11:47:28	16000
JP-006-260109-092514	09-01-2026	09:25:16	37800
JP-006-260110-200750	10-01-2026	20:07:51	37800
JP-012-260110-164000	10-01-2026	16:40:01	13000
JP-016-260110-160514	10-01-2026	16:05:22	10000
JP-016-260110-154356	10-01-2026	15:43:57	11000
JP-018-260110-151405	10-01-2026	15:14:06	12412
JP-016-260110-150631	10-01-2026	15:06:34	11000
JP-015-260110-125820	10-01-2026	12:58:22	6500
JP-002-260110-095257	10-01-2026	09:52:59	3500
JP-017-260110-062433	10-01-2026	06:24:34	10000
JP-001-260110-033258	10-01-2026	03:33:00	13000
JP-018-260110-005042	10-01-2026	00:50:42	12412
JP-018-260111-153536	11-01-2026	15:35:37	13000
JP-004-260111-151459	11-01-2026	15:15:01	4392
JP-002-260111-141749	11-01-2026	14:17:50	33600
JP-020-260111-140432	11-01-2026	14:04:33	10000
JP-020-260111-134708	11-01-2026	13:47:09	16000
JP-001-260111-124257	11-01-2026	12:42:58	4392
JP-018-260111-113813	11-01-2026	11:38:14	13000
JP-016-260111-111948	11-01-2026	11:19:49	10000
JP-016-260111-111256	11-01-2026	11:13:02	10000
JP-019-260111-110440	11-01-2026	11:04:41	15500
JP-016-260111-105017	11-01-2026	10:50:19	10000
JP-013-260111-104042	11-01-2026	10:40:43	5000
JP-016-260111-102610	11-01-2026	10:26:11	10000
JP-016-260111-102421	11-01-2026	10:24:22	10000
JP-007-260111-094348	11-01-2026	09:43:49	5000</t>
    </r>
  </si>
  <si>
    <r>
      <t xml:space="preserve">Request STATUS TRANSAKSI dari MERCHANT
(PRODUK diterima, dashboard belum update)
</t>
    </r>
    <r>
      <rPr>
        <sz val="11"/>
        <color theme="1"/>
        <rFont val="Calibri"/>
        <family val="2"/>
      </rPr>
      <t xml:space="preserve">
8919101250473731 / NACL1301537126</t>
    </r>
  </si>
  <si>
    <r>
      <t xml:space="preserve">Request STATUS TRANSAKSI dari MERCHANT
(PRODUK diterima, dashboard belum update)
</t>
    </r>
    <r>
      <rPr>
        <sz val="11"/>
        <color theme="1"/>
        <rFont val="Calibri"/>
        <family val="2"/>
      </rPr>
      <t xml:space="preserve">
1551200000022067</t>
    </r>
  </si>
  <si>
    <r>
      <t xml:space="preserve">Request STATUS TRANSAKSI dari CUSTOMER
(PRODUK Tdk Diterima, namun ada bukti TRANSFER)
</t>
    </r>
    <r>
      <rPr>
        <sz val="11"/>
        <color theme="1"/>
        <rFont val="Calibri"/>
        <family val="2"/>
      </rPr>
      <t xml:space="preserve">
8919101250757539/NACL1299365595</t>
    </r>
  </si>
  <si>
    <r>
      <t xml:space="preserve">Request STATUS TRANSAKSI dari CUSTOMER
(PRODUK Tdk Diterima, namun ada bukti TRANSFER)
</t>
    </r>
    <r>
      <rPr>
        <sz val="11"/>
        <color theme="1"/>
        <rFont val="Calibri"/>
        <family val="2"/>
      </rPr>
      <t xml:space="preserve">
2026010840100158545 // 7900119200362316 </t>
    </r>
  </si>
  <si>
    <r>
      <t xml:space="preserve">Request STATUS TRANSAKSI dari CUSTOMER
(PRODUK Tdk Diterima, namun ada bukti TRANSFER)
</t>
    </r>
    <r>
      <rPr>
        <sz val="11"/>
        <color theme="1"/>
        <rFont val="Calibri"/>
        <family val="2"/>
      </rPr>
      <t xml:space="preserve">
7900125000051556 / NACL1262144089</t>
    </r>
  </si>
  <si>
    <r>
      <t xml:space="preserve">Request STATUS TRANSAKSI dari CUSTOMER
(PRODUK Tdk Diterima, namun ada bukti TRANSFER)
</t>
    </r>
    <r>
      <rPr>
        <sz val="11"/>
        <color theme="1"/>
        <rFont val="Calibri"/>
        <family val="2"/>
      </rPr>
      <t xml:space="preserve">
4041913284568695 </t>
    </r>
  </si>
  <si>
    <r>
      <t>Surat FRAUD dari BANK
(Dana Terpotong, Produk Tdk Diterima)</t>
    </r>
    <r>
      <rPr>
        <sz val="11"/>
        <color theme="1"/>
        <rFont val="Calibri"/>
        <family val="2"/>
      </rPr>
      <t xml:space="preserve">
[O0dbbd09] Indikasi Penipuan: BAYAR2.COM/12012026/05
PT Kreasi Kode Kreatif
7900119200367117
3,000,000
PT TEKNOLOGI AWAN CERAH
7900121700035282
1,900,000
</t>
    </r>
  </si>
  <si>
    <r>
      <t xml:space="preserve">Request BUKTI TRANSAKSI VOA dari BANK
(Pengajuan Pre-Arb oleh Bank)
</t>
    </r>
    <r>
      <rPr>
        <sz val="11"/>
        <color theme="1"/>
        <rFont val="Calibri"/>
        <family val="2"/>
      </rPr>
      <t>KONFIRMASI PRE ARBITRASI Prismalink*IND VISAARR 12/01/2026 68 TRX</t>
    </r>
  </si>
  <si>
    <r>
      <t xml:space="preserve">Request BUKTI TRANSAKSI VOA dari BANK
(Customer sanggah transaksi CC atas penerbitan Visa)
</t>
    </r>
    <r>
      <rPr>
        <sz val="11"/>
        <color theme="1"/>
        <rFont val="Calibri"/>
        <family val="2"/>
      </rPr>
      <t>PERMOHONAN BUKTI TRANSAKSI PRISMALINK*IND VISAARR #12/01/2026 74 TRX</t>
    </r>
  </si>
  <si>
    <r>
      <t xml:space="preserve">Request STATUS TRANSAKSI dari CUSTOMER
(PRODUK Tdk Diterima, namun ada bukti TRANSFER)
</t>
    </r>
    <r>
      <rPr>
        <sz val="11"/>
        <color theme="1"/>
        <rFont val="Calibri"/>
        <family val="2"/>
      </rPr>
      <t xml:space="preserve">
8903910125008222
170000</t>
    </r>
  </si>
  <si>
    <r>
      <t xml:space="preserve">Request REFUND TRANSAKSI
(Product tidak diterima dan Cust request refund)
</t>
    </r>
    <r>
      <rPr>
        <sz val="11"/>
        <color theme="1"/>
        <rFont val="Calibri"/>
        <family val="2"/>
      </rPr>
      <t>Refund 12 Januari 2025
JP-003-260112-211110	12-01-2026	21:11:11	5000</t>
    </r>
  </si>
  <si>
    <r>
      <t xml:space="preserve">Request BUKTI TRANSAKSI VOA dari BANK
(Customer sanggah transaksi CC atas penerbitan Visa)
</t>
    </r>
    <r>
      <rPr>
        <sz val="11"/>
        <color theme="1"/>
        <rFont val="Calibri"/>
        <family val="2"/>
      </rPr>
      <t>PERMOHONAN BUKTI TRANSAKSI PRISMALINK*IND VISAARR #13/01/2026 18 TRX</t>
    </r>
  </si>
  <si>
    <r>
      <t xml:space="preserve">Request BUKTI TRANSAKSI VOA dari BANK
(Customer sanggah transaksi CC atas penerbitan Visa)
</t>
    </r>
    <r>
      <rPr>
        <sz val="11"/>
        <color theme="1"/>
        <rFont val="Calibri"/>
        <family val="2"/>
      </rPr>
      <t>PERMOHONAN BUKTI TRANSAKSI PRISMALINK*PT CERDIK K #13/01/2026 3 TRX</t>
    </r>
  </si>
  <si>
    <r>
      <t xml:space="preserve">Request BUKTI TRANSAKSI VOA dari BANK
(Customer sanggah transaksi CC atas penerbitan Visa)
</t>
    </r>
    <r>
      <rPr>
        <sz val="11"/>
        <color theme="1"/>
        <rFont val="Calibri"/>
        <family val="2"/>
      </rPr>
      <t>duplicate payment</t>
    </r>
  </si>
  <si>
    <r>
      <t xml:space="preserve">Request STATUS TRANSAKSI dari MERCHANT
(PRODUK diterima, dashboard belum update)
</t>
    </r>
    <r>
      <rPr>
        <sz val="11"/>
        <color theme="1"/>
        <rFont val="Calibri"/>
        <family val="2"/>
      </rPr>
      <t xml:space="preserve">
4041910120555798  </t>
    </r>
  </si>
  <si>
    <r>
      <t xml:space="preserve">Request STATUS TRANSAKSI dari CUSTOMER
(PRODUK Tdk Diterima, namun ada bukti TRANSFER)
</t>
    </r>
    <r>
      <rPr>
        <sz val="11"/>
        <color theme="1"/>
        <rFont val="Calibri"/>
        <family val="2"/>
      </rPr>
      <t xml:space="preserve">
NACL1283307783//7900125000052477 
NACL1306547356 //7900125000083646 </t>
    </r>
  </si>
  <si>
    <r>
      <t xml:space="preserve">Request STATUS TRANSAKSI dari CUSTOMER
(PRODUK Tdk Diterima, namun ada bukti TRANSFER)
</t>
    </r>
    <r>
      <rPr>
        <sz val="11"/>
        <color theme="1"/>
        <rFont val="Calibri"/>
        <family val="2"/>
      </rPr>
      <t xml:space="preserve">
4041910117921267 </t>
    </r>
  </si>
  <si>
    <r>
      <t>Surat FRAUD dari BANK
(Dana Terpotong, Produk Tdk Diterima)</t>
    </r>
    <r>
      <rPr>
        <sz val="11"/>
        <color theme="1"/>
        <rFont val="Calibri"/>
        <family val="2"/>
      </rPr>
      <t xml:space="preserve">
[O26fe90f] Indikasi Penipuan: BAYAR2.COM/13012026/06
PT TEKNOLOGI AWAN CERAH
7900121700098941
3220000</t>
    </r>
  </si>
  <si>
    <r>
      <t>Surat FRAUD dari BANK
(Dana Terpotong, Produk Tdk Diterima)</t>
    </r>
    <r>
      <rPr>
        <sz val="11"/>
        <color theme="1"/>
        <rFont val="Calibri"/>
        <family val="2"/>
      </rPr>
      <t xml:space="preserve">
[Of8b44cc] Indikasi Penipuan: BAYAR2.COM/13012026/07
PT Daya Net Gemilang
7900125000033209
18500000</t>
    </r>
  </si>
  <si>
    <r>
      <t xml:space="preserve">Request BUKTI TRANSAKSI VOA dari BANK
(Pengajuan Pre-Arb oleh Bank)
</t>
    </r>
    <r>
      <rPr>
        <sz val="11"/>
        <color theme="1"/>
        <rFont val="Calibri"/>
        <family val="2"/>
      </rPr>
      <t>KONFIRMASI PRE ARBITRASI Prismalink*IND VISAARR 13/01/2025 117 TRX</t>
    </r>
  </si>
  <si>
    <r>
      <t xml:space="preserve">Request BUKTI TRANSAKSI VOA dari BANK
(Customer sanggah transaksi CC atas penerbitan Visa)
</t>
    </r>
    <r>
      <rPr>
        <sz val="11"/>
        <color theme="1"/>
        <rFont val="Calibri"/>
        <family val="2"/>
      </rPr>
      <t xml:space="preserve">Visa upon arrival </t>
    </r>
  </si>
  <si>
    <r>
      <t xml:space="preserve">Request REFUND TRANSAKSI
(Product tidak diterima dan Cust request refund)
</t>
    </r>
    <r>
      <rPr>
        <sz val="11"/>
        <color theme="1"/>
        <rFont val="Calibri"/>
        <family val="2"/>
      </rPr>
      <t>Refund 13 Januari 2025
JP-002-260113-152943	13-01-2026	15:29:44	VM RSI DINOYO	Success	10080
JP-015-260113-110150	13-01-2026	11:01:51	VM Entrance Secret Zoo	Success	13706
JP-016-260113-100508	13-01-2026	10:05:10	VM Shanaya Resort 1	Success	10000
JP-006-260113-064905	13-01-2026	06:49:06	VM Pool Senyum	Success	11000</t>
    </r>
  </si>
  <si>
    <r>
      <t xml:space="preserve">Request STATUS TRANSAKSI dari CUSTOMER
(PRODUK Tdk Diterima, namun ada bukti TRANSFER)
</t>
    </r>
    <r>
      <rPr>
        <sz val="11"/>
        <color theme="1"/>
        <rFont val="Calibri"/>
        <family val="2"/>
      </rPr>
      <t xml:space="preserve">
Pengaduan, orderan auto clipper belum diproses, mohon dibantu.
Tripay
4041910117924208
120998</t>
    </r>
  </si>
  <si>
    <r>
      <t xml:space="preserve">Request REFUND TRANSAKSI
(Product tidak diterima dan Cust request refund)
</t>
    </r>
    <r>
      <rPr>
        <sz val="11"/>
        <color theme="1"/>
        <rFont val="Calibri"/>
        <family val="2"/>
      </rPr>
      <t>Refund 14 Januari 2026
JP-004-260114-164103	14-01-2026	16:41:04	4392
JP-020-260114-155303	14-01-2026	15:53:04	6500
JP-020-260114-151150	14-01-2026	15:11:51	15500
JP-016-260114-115313	14-01-2026	11:53:14	10000
JP-016-260114-115029	14-01-2026	11:50:29	10000
JP-015-260114-093728	14-01-2026	09:37:29	15000</t>
    </r>
  </si>
  <si>
    <r>
      <t xml:space="preserve">Request BUKTI TRANSAKSI VOA dari BANK
(Customer sanggah transaksi CC atas penerbitan Visa)
</t>
    </r>
    <r>
      <rPr>
        <sz val="11"/>
        <color theme="1"/>
        <rFont val="Calibri"/>
        <family val="2"/>
      </rPr>
      <t xml:space="preserve">eVISA invoice request </t>
    </r>
  </si>
  <si>
    <r>
      <t xml:space="preserve">Request BUKTI TRANSAKSI VOA dari BANK
(Customer sanggah transaksi CC atas penerbitan Visa)
</t>
    </r>
    <r>
      <rPr>
        <sz val="11"/>
        <color theme="1"/>
        <rFont val="Calibri"/>
        <family val="2"/>
      </rPr>
      <t>PERMOHONAN BUKTI TRANSAKSI PRISMALINK*IND VISAARR #15/01/2026 4 TRX</t>
    </r>
  </si>
  <si>
    <r>
      <t xml:space="preserve">Request BUKTI TRANSAKSI VOA dari BANK
(Customer sanggah transaksi CC atas penerbitan Visa)
</t>
    </r>
    <r>
      <rPr>
        <sz val="11"/>
        <color theme="1"/>
        <rFont val="Calibri"/>
        <family val="2"/>
      </rPr>
      <t>PERMOHONAN BUKTI TRANSAKSI PRISMALINK*PT CERDIK K #15/01/2026 1 TRX</t>
    </r>
  </si>
  <si>
    <r>
      <t>Surat FRAUD dari BANK
(Dana Terpotong, Produk Tdk Diterima)</t>
    </r>
    <r>
      <rPr>
        <sz val="11"/>
        <color theme="1"/>
        <rFont val="Calibri"/>
        <family val="2"/>
      </rPr>
      <t xml:space="preserve">
[O4bd448f] Indikasi Penipuan: BAYAR2.COM/15012026/09
PT TEKNOLOGI AWAN CERAH
7900121700002309
1789967</t>
    </r>
  </si>
  <si>
    <r>
      <t xml:space="preserve">Request REFUND TRANSAKSI
(Product tidak diterima dan Cust request refund)
</t>
    </r>
    <r>
      <rPr>
        <sz val="11"/>
        <color theme="1"/>
        <rFont val="Calibri"/>
        <family val="2"/>
      </rPr>
      <t xml:space="preserve">Refund 15 Januari 2026
JP-012-260115-205606	15-01-2026	20:56:07	12412
JP-018-260115-033254	15-01-2026	03:32:55	12412
JP-015-260115-140654	15-01-2026	14:06:54	10000
JP-015-260115-123616	15-01-2026	12:36:17	10000
JP-015-260115-100124	15-01-2026	10:01:26	20000
JP-001-260115-164231	15-01-2026	16:42:32	8960
JP-001-260115-081510	15-01-2026	08:15:11	16009
JP-016-260115-173449	15-01-2026	17:34:50	10000
JP-016-260115-000815	15-01-2026	00:08:15	10000
</t>
    </r>
  </si>
  <si>
    <r>
      <t xml:space="preserve">Request REFUND TRANSAKSI
(Product tidak diterima dan Cust request refund)
</t>
    </r>
    <r>
      <rPr>
        <sz val="11"/>
        <color theme="1"/>
        <rFont val="Calibri"/>
        <family val="2"/>
      </rPr>
      <t>Refund 16,17,18 Januari 2026
JP-006-260116-205806	16-01-2026	20:58:07	10000
JP-001-260116-203816	16-01-2026	20:38:17	9500
JP-012-260116-203718	16-01-2026	20:37:20	13000
JP-003-260116-203401	16-01-2026	20:34:02	33600
JP-016-260116-184315	16-01-2026	18:43:16	10000
JP-004-260116-181116	16-01-2026	18:11:23	2880
JP-004-260116-173918	16-01-2026	17:39:19	2880
JP-004-260116-173318	16-01-2026	17:33:18	2880
JP-006-260116-164334	16-01-2026	16:43:35	37800
JP-016-260116-151049	16-01-2026	15:10:49	11000
JP-015-260116-150656	16-01-2026	15:06:59	20000
JP-016-260116-142244	16-01-2026	14:22:45	10000
JP-020-260116-132613	16-01-2026	13:26:15	15500
JP-015-260116-124941	16-01-2026	12:49:42	12470
JP-015-260116-123127	16-01-2026	12:31:28	4100
JP-016-260116-120456	16-01-2026	12:05:00	10000
JP-016-260116-120310	16-01-2026	12:03:11	10000
JP-015-260116-115358	16-01-2026	11:53:59	10000
JP-016-260116-114617	16-01-2026	11:46:19	10000
JP-012-260116-114115	16-01-2026	11:41:16	6867
JP-015-260116-112504	16-01-2026	11:25:04	10320
JP-015-260116-104632	16-01-2026	10:46:34	20000
JP-019-260116-085921	16-01-2026	08:59:22	16000
JP-006-260116-074347	16-01-2026	07:43:48	10000
JP-003-260117-224703	17-01-2026	22:47:07	12183
JP-016-260117-170241	17-01-2026	17:02:42	10000
JP-016-260117-153907	17-01-2026	15:39:08	10000
JP-001-260117-145310	17-01-2026	14:53:11	12412
JP-020-260117-142447	17-01-2026	14:24:48	15500
JP-016-260117-135414	17-01-2026	13:54:14	10000
JP-006-260117-134130	17-01-2026	13:41:31	37800
JP-020-260117-125631	17-01-2026	12:56:32	4000
JP-016-260117-124650	17-01-2026	12:46:51	11500
JP-019-260117-121718	17-01-2026	12:17:21	15500
JP-016-260117-115922	17-01-2026	11:59:23	15500
JP-020-260117-115416	17-01-2026	11:54:17	15500
JP-016-260117-111340	17-01-2026	11:13:40	10000
JP-015-260117-095702	17-01-2026	09:57:04	10000
JP-015-260117-094725	17-01-2026	09:47:26	10000
JP-016-260117-094535	17-01-2026	09:45:41	10000
JP-015-260117-093548	17-01-2026	09:35:48	10000
JP-015-260117-093317	17-01-2026	09:33:18	10000
JP-006-260117-091804	17-01-2026	09:18:05	9500
JP-016-260117-090240	17-01-2026	09:02:42	10000
JP-006-260117-074309	17-01-2026	07:43:10	16000
JP-016-260117-030151	17-01-2026	03:01:52	10000
JP-017-260118-164059	18-01-2026	16:41:00	10000
JP-004-260118-162303	18-01-2026	16:23:05	2880
JP-018-260118-153307	18-01-2026	15:33:08	12412
JP-016-260118-141040	18-01-2026	14:10:41	11000
JP-016-260118-135751	18-01-2026	13:57:52	11000
JP-016-260118-135645	18-01-2026	13:56:45	11000
JP-016-260118-124452	18-01-2026	12:44:53	10000
JP-016-260118-111603	18-01-2026	11:16:04	11000
JP-016-260118-111402	18-01-2026	11:14:03	10000
JP-016-260118-110724	18-01-2026	11:07:25	10000
JP-006-260118-102027	18-01-2026	10:20:28	14000
JP-016-260118-095431	18-01-2026	09:54:33	10000
JP-006-260118-091535	18-01-2026	09:15:36	10000
JP-006-260118-054319	18-01-2026	05:43:20	9500
JP-004-260118-040722	18-01-2026	04:07:23	2880
JP-004-260118-040610	18-01-2026	04:06:11	2880</t>
    </r>
  </si>
  <si>
    <r>
      <t xml:space="preserve">Request BUKTI TRANSAKSI VOA dari BANK
(Customer sanggah transaksi CC atas penerbitan Visa)
</t>
    </r>
    <r>
      <rPr>
        <sz val="11"/>
        <color theme="1"/>
        <rFont val="Calibri"/>
        <family val="2"/>
      </rPr>
      <t>KONFIRMASI CHARGEBACK Prismalink*IND VISAARR 15/01/2026 49 TRX</t>
    </r>
  </si>
  <si>
    <r>
      <t xml:space="preserve">Request STATUS TRANSAKSI dari CUSTOMER
(PRODUK Tdk Diterima, namun ada bukti TRANSFER)
</t>
    </r>
    <r>
      <rPr>
        <sz val="11"/>
        <color theme="1"/>
        <rFont val="Calibri"/>
        <family val="2"/>
      </rPr>
      <t xml:space="preserve">
4041910125029523 // NACL1306505854 </t>
    </r>
  </si>
  <si>
    <r>
      <t xml:space="preserve">Request STATUS TRANSAKSI dari MERCHANT
(PRODUK diterima, dashboard belum update)
</t>
    </r>
    <r>
      <rPr>
        <sz val="11"/>
        <color theme="1"/>
        <rFont val="Calibri"/>
        <family val="2"/>
      </rPr>
      <t xml:space="preserve">
8919101250729951 / NACL1307725542</t>
    </r>
  </si>
  <si>
    <r>
      <t xml:space="preserve">Request STATUS TRANSAKSI dari CUSTOMER
(PRODUK Tdk Diterima, namun ada bukti TRANSFER)
</t>
    </r>
    <r>
      <rPr>
        <sz val="11"/>
        <color theme="1"/>
        <rFont val="Calibri"/>
        <family val="2"/>
      </rPr>
      <t xml:space="preserve">
7900125000088945 / NACL1309633992</t>
    </r>
  </si>
  <si>
    <r>
      <t xml:space="preserve">Request STATUS TRANSAKSI dari CUSTOMER
(PRODUK Tdk Diterima, namun ada bukti TRANSFER)
</t>
    </r>
    <r>
      <rPr>
        <sz val="11"/>
        <color theme="1"/>
        <rFont val="Calibri"/>
        <family val="2"/>
      </rPr>
      <t xml:space="preserve">
7900119200378461 / 2026011340100005556</t>
    </r>
  </si>
  <si>
    <r>
      <t xml:space="preserve">Request STATUS TRANSAKSI dari CUSTOMER
(PRODUK Tdk Diterima, namun ada bukti TRANSFER)
</t>
    </r>
    <r>
      <rPr>
        <sz val="11"/>
        <color theme="1"/>
        <rFont val="Calibri"/>
        <family val="2"/>
      </rPr>
      <t xml:space="preserve">
7900125000085205 / NACL1309598721 </t>
    </r>
  </si>
  <si>
    <r>
      <t xml:space="preserve">Request STATUS TRANSAKSI dari CUSTOMER
(PRODUK Tdk Diterima, namun ada bukti TRANSFER)
</t>
    </r>
    <r>
      <rPr>
        <sz val="11"/>
        <color theme="1"/>
        <rFont val="Calibri"/>
        <family val="2"/>
      </rPr>
      <t xml:space="preserve">
8919101250952211 / NACL1303365977</t>
    </r>
  </si>
  <si>
    <r>
      <t xml:space="preserve">Request STATUS TRANSAKSI dari MERCHANT
(PRODUK diterima, dashboard belum update)
</t>
    </r>
    <r>
      <rPr>
        <sz val="11"/>
        <color theme="1"/>
        <rFont val="Calibri"/>
        <family val="2"/>
      </rPr>
      <t xml:space="preserve">
7900121700047548 // 2026011340100005545</t>
    </r>
  </si>
  <si>
    <r>
      <t xml:space="preserve">Request STATUS TRANSAKSI dari MERCHANT
(PRODUK diterima, dashboard belum update)
</t>
    </r>
    <r>
      <rPr>
        <sz val="11"/>
        <color theme="1"/>
        <rFont val="Calibri"/>
        <family val="2"/>
      </rPr>
      <t xml:space="preserve">
7900121700098914</t>
    </r>
  </si>
  <si>
    <r>
      <t xml:space="preserve">Request STATUS TRANSAKSI dari CUSTOMER
(PRODUK Tdk Diterima, namun ada bukti TRANSFER)
</t>
    </r>
    <r>
      <rPr>
        <sz val="11"/>
        <color theme="1"/>
        <rFont val="Calibri"/>
        <family val="2"/>
      </rPr>
      <t xml:space="preserve">
7900125000019639</t>
    </r>
  </si>
  <si>
    <r>
      <t xml:space="preserve">Request STATUS TRANSAKSI dari CUSTOMER
(PRODUK Tdk Diterima, namun ada bukti TRANSFER)
</t>
    </r>
    <r>
      <rPr>
        <sz val="11"/>
        <color theme="1"/>
        <rFont val="Calibri"/>
        <family val="2"/>
      </rPr>
      <t xml:space="preserve">
NACL1310198724 // 8903910125085683</t>
    </r>
  </si>
  <si>
    <r>
      <t xml:space="preserve">Request STATUS TRANSAKSI dari CUSTOMER
(PRODUK Tdk Diterima, namun ada bukti TRANSFER)
</t>
    </r>
    <r>
      <rPr>
        <sz val="11"/>
        <color theme="1"/>
        <rFont val="Calibri"/>
        <family val="2"/>
      </rPr>
      <t xml:space="preserve">
7900125000019792 / NACL1311562624</t>
    </r>
  </si>
  <si>
    <r>
      <t xml:space="preserve">Request STATUS TRANSAKSI dari CUSTOMER
(PRODUK Tdk Diterima, namun ada bukti TRANSFER)
</t>
    </r>
    <r>
      <rPr>
        <sz val="11"/>
        <color theme="1"/>
        <rFont val="Calibri"/>
        <family val="2"/>
      </rPr>
      <t xml:space="preserve">
4041910125061959 / NACL1311561553 </t>
    </r>
  </si>
  <si>
    <r>
      <t xml:space="preserve">Request STATUS TRANSAKSI dari MERCHANT
(PRODUK diterima, dashboard belum update)
</t>
    </r>
    <r>
      <rPr>
        <sz val="11"/>
        <color theme="1"/>
        <rFont val="Calibri"/>
        <family val="2"/>
      </rPr>
      <t xml:space="preserve">
8919101250927471 / NACL1310649748</t>
    </r>
  </si>
  <si>
    <r>
      <t xml:space="preserve">Request STATUS TRANSAKSI dari CUSTOMER
(PRODUK Tdk Diterima, namun ada bukti TRANSFER)
</t>
    </r>
    <r>
      <rPr>
        <sz val="11"/>
        <color theme="1"/>
        <rFont val="Calibri"/>
        <family val="2"/>
      </rPr>
      <t xml:space="preserve">
4041910125041573 / NACL1312208914</t>
    </r>
  </si>
  <si>
    <r>
      <t xml:space="preserve">Request STATUS TRANSAKSI dari CUSTOMER
(PRODUK Tdk Diterima, namun ada bukti TRANSFER)
</t>
    </r>
    <r>
      <rPr>
        <sz val="11"/>
        <color theme="1"/>
        <rFont val="Calibri"/>
        <family val="2"/>
      </rPr>
      <t xml:space="preserve">
4041910125054681 / NACL1313796252</t>
    </r>
  </si>
  <si>
    <r>
      <t xml:space="preserve">Request STATUS TRANSAKSI dari CUSTOMER
(PRODUK Tdk Diterima, namun ada bukti TRANSFER)
</t>
    </r>
    <r>
      <rPr>
        <sz val="11"/>
        <color theme="1"/>
        <rFont val="Calibri"/>
        <family val="2"/>
      </rPr>
      <t xml:space="preserve">
8919101250733997 / NACL1312092669</t>
    </r>
  </si>
  <si>
    <r>
      <t xml:space="preserve">Request STATUS TRANSAKSI dari CUSTOMER
(PRODUK Tdk Diterima, namun ada bukti TRANSFER)
</t>
    </r>
    <r>
      <rPr>
        <sz val="11"/>
        <color theme="1"/>
        <rFont val="Calibri"/>
        <family val="2"/>
      </rPr>
      <t xml:space="preserve">
7900119200378018</t>
    </r>
  </si>
  <si>
    <r>
      <t xml:space="preserve">Request STATUS TRANSAKSI dari CUSTOMER
(PRODUK Tdk Diterima, namun ada bukti TRANSFER)
</t>
    </r>
    <r>
      <rPr>
        <sz val="11"/>
        <color theme="1"/>
        <rFont val="Calibri"/>
        <family val="2"/>
      </rPr>
      <t xml:space="preserve">
 8903910125041552 / NACL1315520834 </t>
    </r>
  </si>
  <si>
    <r>
      <t xml:space="preserve">Request STATUS TRANSAKSI dari CUSTOMER
(PRODUK Tdk Diterima, namun ada bukti TRANSFER)
</t>
    </r>
    <r>
      <rPr>
        <sz val="11"/>
        <color theme="1"/>
        <rFont val="Calibri"/>
        <family val="2"/>
      </rPr>
      <t xml:space="preserve">
7900121700098127 </t>
    </r>
  </si>
  <si>
    <r>
      <t xml:space="preserve">Request STATUS TRANSAKSI dari CUSTOMER
(PRODUK Tdk Diterima, namun ada bukti TRANSFER)
</t>
    </r>
    <r>
      <rPr>
        <sz val="11"/>
        <color theme="1"/>
        <rFont val="Calibri"/>
        <family val="2"/>
      </rPr>
      <t xml:space="preserve">
7900125000072032 / NACL1315943678</t>
    </r>
  </si>
  <si>
    <r>
      <t xml:space="preserve">Request STATUS TRANSAKSI dari CUSTOMER
(PRODUK Tdk Diterima, namun ada bukti TRANSFER)
</t>
    </r>
    <r>
      <rPr>
        <sz val="11"/>
        <color theme="1"/>
        <rFont val="Calibri"/>
        <family val="2"/>
      </rPr>
      <t xml:space="preserve">
7900125000091808 / NACL1315607997</t>
    </r>
  </si>
  <si>
    <r>
      <t xml:space="preserve">Request STATUS TRANSAKSI dari CUSTOMER
(PRODUK Tdk Diterima, namun ada bukti TRANSFER)
</t>
    </r>
    <r>
      <rPr>
        <sz val="11"/>
        <color theme="1"/>
        <rFont val="Calibri"/>
        <family val="2"/>
      </rPr>
      <t xml:space="preserve">
7900125000047878 / NACL1316096152</t>
    </r>
  </si>
  <si>
    <r>
      <t xml:space="preserve">Request STATUS TRANSAKSI dari CUSTOMER
(PRODUK Tdk Diterima, namun ada bukti TRANSFER)
</t>
    </r>
    <r>
      <rPr>
        <sz val="11"/>
        <color theme="1"/>
        <rFont val="Calibri"/>
        <family val="2"/>
      </rPr>
      <t xml:space="preserve">
 7900125000073272</t>
    </r>
  </si>
  <si>
    <r>
      <t xml:space="preserve">Request STATUS TRANSAKSI dari CUSTOMER
(PRODUK Tdk Diterima, namun ada bukti TRANSFER)
</t>
    </r>
    <r>
      <rPr>
        <sz val="11"/>
        <color theme="1"/>
        <rFont val="Calibri"/>
        <family val="2"/>
      </rPr>
      <t xml:space="preserve">
 NACL1315540385 // 4041910125033658</t>
    </r>
  </si>
  <si>
    <r>
      <t xml:space="preserve">Request STATUS TRANSAKSI dari CUSTOMER
(PRODUK Tdk Diterima, namun ada bukti TRANSFER)
</t>
    </r>
    <r>
      <rPr>
        <sz val="11"/>
        <color theme="1"/>
        <rFont val="Calibri"/>
        <family val="2"/>
      </rPr>
      <t xml:space="preserve">
4041910120593772 </t>
    </r>
  </si>
  <si>
    <r>
      <t xml:space="preserve">Request STATUS TRANSAKSI dari CUSTOMER
(PRODUK Tdk Diterima, namun ada bukti TRANSFER)
</t>
    </r>
    <r>
      <rPr>
        <sz val="11"/>
        <color theme="1"/>
        <rFont val="Calibri"/>
        <family val="2"/>
      </rPr>
      <t xml:space="preserve">
NACL1315944674 // 4041910125099558 </t>
    </r>
  </si>
  <si>
    <r>
      <t xml:space="preserve">Request STATUS TRANSAKSI dari MERCHANT
(PRODUK diterima, dashboard belum update)
</t>
    </r>
    <r>
      <rPr>
        <sz val="11"/>
        <color theme="1"/>
        <rFont val="Calibri"/>
        <family val="2"/>
      </rPr>
      <t xml:space="preserve">
8919101249344412  // NACL1316886232</t>
    </r>
  </si>
  <si>
    <r>
      <t xml:space="preserve">Request STATUS TRANSAKSI dari CUSTOMER
(PRODUK Tdk Diterima, namun ada bukti TRANSFER)
</t>
    </r>
    <r>
      <rPr>
        <sz val="11"/>
        <color theme="1"/>
        <rFont val="Calibri"/>
        <family val="2"/>
      </rPr>
      <t xml:space="preserve">
NACL1315944538 // 4041910125005082</t>
    </r>
  </si>
  <si>
    <r>
      <t xml:space="preserve">Request STATUS TRANSAKSI dari CUSTOMER
(PRODUK Tdk Diterima, namun ada bukti TRANSFER)
</t>
    </r>
    <r>
      <rPr>
        <sz val="11"/>
        <color theme="1"/>
        <rFont val="Calibri"/>
        <family val="2"/>
      </rPr>
      <t xml:space="preserve">
NACL1315944541 // 4041910125045558 </t>
    </r>
  </si>
  <si>
    <r>
      <t xml:space="preserve">Request STATUS TRANSAKSI dari MERCHANT
(PRODUK diterima, dashboard belum update)
</t>
    </r>
    <r>
      <rPr>
        <sz val="11"/>
        <color theme="1"/>
        <rFont val="Calibri"/>
        <family val="2"/>
      </rPr>
      <t>NACL1314590252 // 8919101249682545</t>
    </r>
  </si>
  <si>
    <r>
      <t xml:space="preserve">Request STATUS TRANSAKSI dari MERCHANT
(PRODUK diterima, dashboard belum update)
</t>
    </r>
    <r>
      <rPr>
        <sz val="11"/>
        <color theme="1"/>
        <rFont val="Calibri"/>
        <family val="2"/>
      </rPr>
      <t>7900121700028196</t>
    </r>
  </si>
  <si>
    <r>
      <t xml:space="preserve">Request STATUS TRANSAKSI dari CUSTOMER
(PRODUK Tdk Diterima, namun ada bukti TRANSFER)
</t>
    </r>
    <r>
      <rPr>
        <sz val="11"/>
        <color theme="1"/>
        <rFont val="Calibri"/>
        <family val="2"/>
      </rPr>
      <t xml:space="preserve">
7900121700043490 / 2026011742500092799</t>
    </r>
  </si>
  <si>
    <r>
      <t xml:space="preserve">Request STATUS TRANSAKSI dari MERCHANT
(PRODUK diterima, dashboard belum update)
</t>
    </r>
    <r>
      <rPr>
        <sz val="11"/>
        <color theme="1"/>
        <rFont val="Calibri"/>
        <family val="2"/>
      </rPr>
      <t>7900121700020357 / 2026011940100005967</t>
    </r>
  </si>
  <si>
    <r>
      <t xml:space="preserve">Request STATUS TRANSAKSI dari CUSTOMER
(PRODUK Tdk Diterima, namun ada bukti TRANSFER)
</t>
    </r>
    <r>
      <rPr>
        <sz val="11"/>
        <color theme="1"/>
        <rFont val="Calibri"/>
        <family val="2"/>
      </rPr>
      <t xml:space="preserve">
7900121700000565 / 2026011842500187263</t>
    </r>
  </si>
  <si>
    <r>
      <t>Surat FRAUD dari BANK
(Dana Terpotong, Produk Tdk Diterima)</t>
    </r>
    <r>
      <rPr>
        <sz val="11"/>
        <color theme="1"/>
        <rFont val="Calibri"/>
        <family val="2"/>
      </rPr>
      <t xml:space="preserve">
[O99520c3] Indikasi Penipuan: BAYAR2.COM/19012026/010
PT Kreasi Kode Kreatif
7900119200388222	2352000</t>
    </r>
  </si>
  <si>
    <r>
      <t xml:space="preserve">Request BUKTI TRANSAKSI VOA dari BANK
(Customer sanggah transaksi CC atas penerbitan Visa)
</t>
    </r>
    <r>
      <rPr>
        <sz val="11"/>
        <color theme="1"/>
        <rFont val="Calibri"/>
        <family val="2"/>
      </rPr>
      <t>PERMOHONAN BUKTI TRANSAKSI PRISMALINK*IND VISAARR #19/01/2026 75 TRX</t>
    </r>
  </si>
  <si>
    <r>
      <t xml:space="preserve">Request BUKTI TRANSAKSI VOA dari BANK
(Customer sanggah transaksi CC atas penerbitan Visa)
</t>
    </r>
    <r>
      <rPr>
        <sz val="11"/>
        <color theme="1"/>
        <rFont val="Calibri"/>
        <family val="2"/>
      </rPr>
      <t>PERMOHONAN BUKTI TRANSAKSI PRISMALINK*IND VISAARR #19/01/2026 12 TRX</t>
    </r>
  </si>
  <si>
    <r>
      <t xml:space="preserve">Request REFUND TRANSAKSI
(Product tidak diterima dan Cust request refund)
</t>
    </r>
    <r>
      <rPr>
        <sz val="11"/>
        <color theme="1"/>
        <rFont val="Calibri"/>
        <family val="2"/>
      </rPr>
      <t>Refund 19 Januari 2026
JP-013-260119-170524	19-01-2026	17:05:25	5000
JP-004-260119-151903	19-01-2026	15:19:09	12412
JP-002-260119-145857	19-01-2026	14:59:01	12412
JP-016-260119-104138	19-01-2026	10:41:39	11000
JP-016-260119-093441	19-01-2026	09:34:42	11000
JP-018-260119-012458	19-01-2026	01:25:02	12412</t>
    </r>
  </si>
  <si>
    <r>
      <t xml:space="preserve">Request BUKTI TRANSAKSI VOA dari BANK
(Customer sanggah transaksi CC atas penerbitan Visa)
</t>
    </r>
    <r>
      <rPr>
        <sz val="11"/>
        <color theme="1"/>
        <rFont val="Calibri"/>
        <family val="2"/>
      </rPr>
      <t>invoice</t>
    </r>
  </si>
  <si>
    <r>
      <t>Surat FRAUD dari BANK
(Dana Terpotong, Produk Tdk Diterima)</t>
    </r>
    <r>
      <rPr>
        <sz val="11"/>
        <color theme="1"/>
        <rFont val="Calibri"/>
        <family val="2"/>
      </rPr>
      <t xml:space="preserve">
[O1249fd0] Indikasi Penipuan: BAYAR2.COM/20012026/011
PT Kreasi Kode Kreatif
7900119200390265	450000
PT TEKNOLOGI AWAN CERAH
7900121700052268	253362
7900121700025465	450000</t>
    </r>
  </si>
  <si>
    <r>
      <t xml:space="preserve">Request REFUND TRANSAKSI
(Product tidak diterima dan Cust request refund)
</t>
    </r>
    <r>
      <rPr>
        <sz val="11"/>
        <color theme="1"/>
        <rFont val="Calibri"/>
        <family val="2"/>
      </rPr>
      <t xml:space="preserve">Refund 20 Januari 2026
JP-015-260120-162612	20-01-2026	16:26:13	8000
JP-016-260120-141213	20-01-2026	14:12:13	10000
JP-016-260120-132206	20-01-2026	13:22:07	10000
JP-015-260120-105200	20-01-2026	10:52:01	8000
JP-016-260120-085122	20-01-2026	08:51:23	10000
</t>
    </r>
  </si>
  <si>
    <r>
      <t>Surat FRAUD dari BANK
(Dana Terpotong, Produk Tdk Diterima)</t>
    </r>
    <r>
      <rPr>
        <sz val="11"/>
        <color theme="1"/>
        <rFont val="Calibri"/>
        <family val="2"/>
      </rPr>
      <t xml:space="preserve">
RE: Pengecekan transaksi VA 7900119200406589 &amp; 7900119200406190
PT Kreasi Kode Kreatif
7900119200406589	1950000
7900119200406190	2450000</t>
    </r>
  </si>
  <si>
    <r>
      <t xml:space="preserve">Request BUKTI TRANSAKSI VOA dari BANK
(Customer sanggah transaksi CC atas penerbitan Visa)
</t>
    </r>
    <r>
      <rPr>
        <sz val="11"/>
        <color theme="1"/>
        <rFont val="Calibri"/>
        <family val="2"/>
      </rPr>
      <t>KONFIRMASI CHARGEBACK Prismalink*IND VISAARR 20/01/2026 51 TRX</t>
    </r>
  </si>
  <si>
    <r>
      <t xml:space="preserve">Request STATUS TRANSAKSI dari MERCHANT
(PRODUK diterima, dashboard belum update)
</t>
    </r>
    <r>
      <rPr>
        <sz val="11"/>
        <color theme="1"/>
        <rFont val="Calibri"/>
        <family val="2"/>
      </rPr>
      <t xml:space="preserve">NACL1316052222 // 8919101250747955 </t>
    </r>
  </si>
  <si>
    <r>
      <t xml:space="preserve">Request STATUS TRANSAKSI dari MERCHANT
(PRODUK diterima, dashboard belum update)
</t>
    </r>
    <r>
      <rPr>
        <sz val="11"/>
        <color theme="1"/>
        <rFont val="Calibri"/>
        <family val="2"/>
      </rPr>
      <t>NACL1315701175 // 8919101250699409</t>
    </r>
  </si>
  <si>
    <r>
      <t xml:space="preserve">Request STATUS TRANSAKSI dari CUSTOMER
(PRODUK Tdk Diterima, namun ada bukti TRANSFER)
</t>
    </r>
    <r>
      <rPr>
        <sz val="11"/>
        <color theme="1"/>
        <rFont val="Calibri"/>
        <family val="2"/>
      </rPr>
      <t xml:space="preserve">
NACL1316379654 // 4041910125061475</t>
    </r>
  </si>
  <si>
    <r>
      <t xml:space="preserve">Request BUKTI TRANSAKSI VOA dari BANK
(Customer sanggah transaksi CC atas penerbitan Visa)
</t>
    </r>
    <r>
      <rPr>
        <sz val="11"/>
        <color theme="1"/>
        <rFont val="Calibri"/>
        <family val="2"/>
      </rPr>
      <t>No kartu : 451461**5397</t>
    </r>
  </si>
  <si>
    <r>
      <t xml:space="preserve">Request STATUS TRANSAKSI dari CUSTOMER
(PRODUK Tdk Diterima, namun ada bukti TRANSFER)
</t>
    </r>
    <r>
      <rPr>
        <sz val="11"/>
        <color theme="1"/>
        <rFont val="Calibri"/>
        <family val="2"/>
      </rPr>
      <t xml:space="preserve">
7900121700001312 </t>
    </r>
  </si>
  <si>
    <r>
      <t xml:space="preserve">Request STATUS TRANSAKSI dari CUSTOMER
(PRODUK Tdk Diterima, namun ada bukti TRANSFER)
</t>
    </r>
    <r>
      <rPr>
        <sz val="11"/>
        <color theme="1"/>
        <rFont val="Calibri"/>
        <family val="2"/>
      </rPr>
      <t xml:space="preserve">
NACL1320430158 // 7900125000045043</t>
    </r>
  </si>
  <si>
    <r>
      <t xml:space="preserve">Request STATUS TRANSAKSI dari CUSTOMER
(PRODUK Tdk Diterima, namun ada bukti TRANSFER)
</t>
    </r>
    <r>
      <rPr>
        <sz val="11"/>
        <color theme="1"/>
        <rFont val="Calibri"/>
        <family val="2"/>
      </rPr>
      <t xml:space="preserve">
NACL1320430006 // 7900125000079405</t>
    </r>
  </si>
  <si>
    <r>
      <t xml:space="preserve">Request BUKTI TRANSAKSI VOA dari BANK
(Customer sanggah transaksi CC atas penerbitan Visa)
</t>
    </r>
    <r>
      <rPr>
        <sz val="11"/>
        <color theme="1"/>
        <rFont val="Calibri"/>
        <family val="2"/>
      </rPr>
      <t xml:space="preserve">No INV : 2031225B1862962 </t>
    </r>
  </si>
  <si>
    <r>
      <t xml:space="preserve">Request STATUS TRANSAKSI dari MERCHANT
(PRODUK diterima, dashboard belum update)
</t>
    </r>
    <r>
      <rPr>
        <sz val="11"/>
        <color theme="1"/>
        <rFont val="Calibri"/>
        <family val="2"/>
      </rPr>
      <t xml:space="preserve">8919101249791991 </t>
    </r>
  </si>
  <si>
    <r>
      <t xml:space="preserve">Request STATUS TRANSAKSI dari CUSTOMER
(PRODUK Tdk Diterima, namun ada bukti TRANSFER)
</t>
    </r>
    <r>
      <rPr>
        <sz val="11"/>
        <color theme="1"/>
        <rFont val="Calibri"/>
        <family val="2"/>
      </rPr>
      <t xml:space="preserve">
 4041910125013562 // NACL1320431091 </t>
    </r>
  </si>
  <si>
    <r>
      <t xml:space="preserve">Request STATUS TRANSAKSI dari CUSTOMER
(PRODUK Tdk Diterima, namun ada bukti TRANSFER)
</t>
    </r>
    <r>
      <rPr>
        <sz val="11"/>
        <color theme="1"/>
        <rFont val="Calibri"/>
        <family val="2"/>
      </rPr>
      <t xml:space="preserve">
7900125000069067 / NACL1321705813</t>
    </r>
  </si>
  <si>
    <r>
      <t>Surat FRAUD dari BANK
(Dana Terpotong, Produk Tdk Diterima)</t>
    </r>
    <r>
      <rPr>
        <sz val="11"/>
        <color theme="1"/>
        <rFont val="Calibri"/>
        <family val="2"/>
      </rPr>
      <t xml:space="preserve">
Surat Bilateral Bank Mandiri nomor NRO.CCR/CHM.1217/2026
PT Daya Net Gemilang
8903910125098526	13615297
8903910125004205	17020121</t>
    </r>
  </si>
  <si>
    <r>
      <t xml:space="preserve">Request BUKTI TRANSAKSI VOA dari BANK
(Pengajuan Pre-Arb oleh Bank)
</t>
    </r>
    <r>
      <rPr>
        <sz val="11"/>
        <color theme="1"/>
        <rFont val="Calibri"/>
        <family val="2"/>
      </rPr>
      <t>KONFIRMASI PRE ARBITRASI Prismalink*IND VISAARR 21/01/2026 85 TRX</t>
    </r>
  </si>
  <si>
    <r>
      <t xml:space="preserve">Request REFUND TRANSAKSI
(Product tidak diterima dan Cust request refund)
</t>
    </r>
    <r>
      <rPr>
        <sz val="11"/>
        <color theme="1"/>
        <rFont val="Calibri"/>
        <family val="2"/>
      </rPr>
      <t>Refund 21 Januari 2026
JP-018-260121-145636	21-01-2026	14:56:37	12412
JP-015-260121-120048	21-01-2026	12:00:49	15500
JP-016-260121-103020	21-01-2026	10:30:21	10000</t>
    </r>
  </si>
  <si>
    <r>
      <t xml:space="preserve">Request BUKTI TRANSAKSI VOA dari BANK
(Pengajuan Pre-Arb oleh Bank)
</t>
    </r>
    <r>
      <rPr>
        <sz val="11"/>
        <color theme="1"/>
        <rFont val="Calibri"/>
        <family val="2"/>
      </rPr>
      <t>KONFIRMASI PRE ARBITRASI Prismalink*IND VISAARR 22/01/2025 60 TRX</t>
    </r>
  </si>
  <si>
    <r>
      <t>Surat FRAUD dari BANK
(Dana Terpotong, Produk Tdk Diterima)</t>
    </r>
    <r>
      <rPr>
        <sz val="11"/>
        <color theme="1"/>
        <rFont val="Calibri"/>
        <family val="2"/>
      </rPr>
      <t xml:space="preserve">
[Oe3e59f8] Indikasi Penipuan: BAYAR2.COM/22012026/012
PT Kreasi Kode Kreatif
7900119200379284	1600000
PT TEKNOLOGI AWAN CERAH
7900121700073480	1500000</t>
    </r>
  </si>
  <si>
    <r>
      <t>Surat FRAUD dari BANK
(Dana Terpotong, Produk Tdk Diterima)</t>
    </r>
    <r>
      <rPr>
        <sz val="11"/>
        <color theme="1"/>
        <rFont val="Calibri"/>
        <family val="2"/>
      </rPr>
      <t xml:space="preserve">
[O237059c] Indikasi Penipuan: BAYAR2.COM/22012026/013
PT Kreasi Kode Kreatif
7900119200364446	1500000</t>
    </r>
  </si>
  <si>
    <r>
      <t xml:space="preserve">Request REFUND TRANSAKSI
(Product tidak diterima dan Cust request refund)
</t>
    </r>
    <r>
      <rPr>
        <sz val="11"/>
        <color theme="1"/>
        <rFont val="Calibri"/>
        <family val="2"/>
      </rPr>
      <t>Refund 22 Januari 2026
JP-002-260122-150931	22-01-2026	15:09:34	7500</t>
    </r>
  </si>
  <si>
    <r>
      <t xml:space="preserve">Request STATUS TRANSAKSI dari MERCHANT
(PRODUK diterima, dashboard belum update)
</t>
    </r>
    <r>
      <rPr>
        <sz val="11"/>
        <color theme="1"/>
        <rFont val="Calibri"/>
        <family val="2"/>
      </rPr>
      <t>4041910112322156</t>
    </r>
  </si>
  <si>
    <r>
      <t xml:space="preserve">Request STATUS TRANSAKSI dari CUSTOMER
(PRODUK Tdk Diterima, namun ada bukti TRANSFER)
</t>
    </r>
    <r>
      <rPr>
        <sz val="11"/>
        <color theme="1"/>
        <rFont val="Calibri"/>
        <family val="2"/>
      </rPr>
      <t xml:space="preserve">
NACL1322650518 // 7900125000085031</t>
    </r>
  </si>
  <si>
    <r>
      <t xml:space="preserve">Request STATUS TRANSAKSI dari CUSTOMER
(PRODUK Tdk Diterima, namun ada bukti TRANSFER)
</t>
    </r>
    <r>
      <rPr>
        <sz val="11"/>
        <color theme="1"/>
        <rFont val="Calibri"/>
        <family val="2"/>
      </rPr>
      <t xml:space="preserve">
7900119200400116</t>
    </r>
  </si>
  <si>
    <r>
      <t xml:space="preserve">Request STATUS TRANSAKSI dari MERCHANT
(PRODUK diterima, dashboard belum update)
</t>
    </r>
    <r>
      <rPr>
        <sz val="11"/>
        <color theme="1"/>
        <rFont val="Calibri"/>
        <family val="2"/>
      </rPr>
      <t xml:space="preserve">7900121700026746 
7900121700053083 </t>
    </r>
  </si>
  <si>
    <r>
      <t xml:space="preserve">Request STATUS TRANSAKSI dari CUSTOMER
(PRODUK Tdk Diterima, namun ada bukti TRANSFER)
</t>
    </r>
    <r>
      <rPr>
        <sz val="11"/>
        <color theme="1"/>
        <rFont val="Calibri"/>
        <family val="2"/>
      </rPr>
      <t xml:space="preserve">
7900119200410358</t>
    </r>
  </si>
  <si>
    <r>
      <t xml:space="preserve">Request STATUS TRANSAKSI dari CUSTOMER
(PRODUK Tdk Diterima, namun ada bukti TRANSFER)
</t>
    </r>
    <r>
      <rPr>
        <sz val="11"/>
        <color theme="1"/>
        <rFont val="Calibri"/>
        <family val="2"/>
      </rPr>
      <t xml:space="preserve">
4041910125053664 / NACL1324344692</t>
    </r>
  </si>
  <si>
    <r>
      <t xml:space="preserve">Request STATUS TRANSAKSI dari CUSTOMER
(PRODUK Tdk Diterima, namun ada bukti TRANSFER)
</t>
    </r>
    <r>
      <rPr>
        <sz val="11"/>
        <color theme="1"/>
        <rFont val="Calibri"/>
        <family val="2"/>
      </rPr>
      <t xml:space="preserve">
4041910124987054 / NACL1324343589 </t>
    </r>
  </si>
  <si>
    <r>
      <t xml:space="preserve">Request STATUS TRANSAKSI dari CUSTOMER
(PRODUK Tdk Diterima, namun ada bukti TRANSFER)
</t>
    </r>
    <r>
      <rPr>
        <sz val="11"/>
        <color theme="1"/>
        <rFont val="Calibri"/>
        <family val="2"/>
      </rPr>
      <t xml:space="preserve">
7900125000027135 / NACL1286532135</t>
    </r>
  </si>
  <si>
    <r>
      <t>Surat FRAUD dari BANK
(Dana Terpotong, Produk Tdk Diterima)</t>
    </r>
    <r>
      <rPr>
        <sz val="11"/>
        <color theme="1"/>
        <rFont val="Calibri"/>
        <family val="2"/>
      </rPr>
      <t xml:space="preserve">
Surat tanda penerimaan laporan
PT Daya Net Gemilang
8903910125098883	10000000
8903910125078776	20000000
8903910125037972	50000000
8903910125032468	50000000
8903910125037972	50000000
8903910125032468	50000000
PT ENVOIZ DIGITAL INDONESIA
4041910124910197	50000000
8903910124925552	50000000
4041910124935421	11000000
8903910124087633 	50000000</t>
    </r>
  </si>
  <si>
    <r>
      <t xml:space="preserve">Request BUKTI TRANSAKSI VOA dari BANK
(Customer sanggah transaksi CC atas penerbitan Visa)
</t>
    </r>
    <r>
      <rPr>
        <sz val="11"/>
        <color theme="1"/>
        <rFont val="Calibri"/>
        <family val="2"/>
      </rPr>
      <t>Re: Permohonan bukti transaksi merchant PRISMALINK #23012026 JCB</t>
    </r>
  </si>
  <si>
    <r>
      <t xml:space="preserve">Request REFUND TRANSAKSI
(Product tidak diterima dan Cust request refund)
</t>
    </r>
    <r>
      <rPr>
        <sz val="11"/>
        <color theme="1"/>
        <rFont val="Calibri"/>
        <family val="2"/>
      </rPr>
      <t>Refund 23,24,25 Januari 2026
JP-004-260123-190740	23-01-2026	19:07:41	2880
JP-015-260123-105442	23-01-2026	10:54:43	7000
JP-001-260124-213511	24-01-2026	21:35:12	12412
JP-006-260124-180419	24-01-2026	18:04:20	10000
JP-006-260124-180008	24-01-2026	18:00:09	14000
JP-016-260124-162657	24-01-2026	16:26:58	10000
JP-018-260124-142602	24-01-2026	14:26:04	12412
JP-001-260124-123458	24-01-2026	12:34:59	16009
JP-016-260124-121415	24-01-2026	12:14:16	10000
JP-015-260124-112513	24-01-2026	11:25:15	12000
JP-016-260124-110536	24-01-2026	11:05:37	11000
JP-016-260124-072310	24-01-2026	07:23:11	11000
JP-015-260125-161040	25-01-2026	16:10:41	10000
JP-001-260125-122016	25-01-2026	12:20:17	12412
JP-019-260125-103957	25-01-2026	10:39:58	15500
JP-019-260125-095951	25-01-2026	09:59:52	10000
JP-016-260125-093003	25-01-2026	09:30:04	11000
JP-019-260125-084949	25-01-2026	08:49:50	10000
JP-016-260125-081605	25-01-2026	08:16:09	11000
JP-006-260125-072217	25-01-2026	07:22:18	10000
JP-016-260125-064245	25-01-2026	06:42:47	10000
JP-019-260125-010628	25-01-2026	01:06:30	11000</t>
    </r>
  </si>
  <si>
    <r>
      <t xml:space="preserve">Request BUKTI TRANSAKSI VOA dari BANK
(Customer sanggah transaksi CC atas penerbitan Visa)
</t>
    </r>
    <r>
      <rPr>
        <sz val="11"/>
        <color theme="1"/>
        <rFont val="Calibri"/>
        <family val="2"/>
      </rPr>
      <t>PERMOHONAN BUKTI TRANSAKSI PRISMALINK*IND VISAARR #26/01/2026 18 RX</t>
    </r>
  </si>
  <si>
    <r>
      <t xml:space="preserve">Request BUKTI TRANSAKSI VOA dari BANK
(Pengajuan Pre-Arb oleh Bank)
</t>
    </r>
    <r>
      <rPr>
        <sz val="11"/>
        <color theme="1"/>
        <rFont val="Calibri"/>
        <family val="2"/>
      </rPr>
      <t>KONFIRMASI PRE ARBITRASI Prismalink*IND VISAARR 27/01/2026 78 TRX</t>
    </r>
  </si>
  <si>
    <r>
      <t xml:space="preserve">Request REFUND TRANSAKSI
(Product tidak diterima dan Cust request refund)
</t>
    </r>
    <r>
      <rPr>
        <sz val="11"/>
        <color theme="1"/>
        <rFont val="Calibri"/>
        <family val="2"/>
      </rPr>
      <t>refund 26 Januari 2026
JP-016-260126-235047	26-01-2026	23:50:48	10000
JP-014-260126-213437	26-01-2026	21:34:38	12412
JP-007-260126-163344	26-01-2026	16:33:45	17359
JP-016-260126-110143	26-01-2026	11:01:45	10000</t>
    </r>
  </si>
  <si>
    <r>
      <t>Surat FRAUD dari BANK
(Dana Terpotong, Produk Tdk Diterima)</t>
    </r>
    <r>
      <rPr>
        <sz val="11"/>
        <color theme="1"/>
        <rFont val="Calibri"/>
        <family val="2"/>
      </rPr>
      <t xml:space="preserve">
FRAUD REPORT
PT Daya Net Gemilang
7900125000009074	14332700</t>
    </r>
  </si>
  <si>
    <r>
      <t xml:space="preserve">Request BUKTI TRANSAKSI VOA dari CUSTOMER
(Customer sanggah transaksi CC atas penerbitan Visa)
</t>
    </r>
    <r>
      <rPr>
        <sz val="11"/>
        <color theme="1"/>
        <rFont val="Calibri"/>
        <family val="2"/>
      </rPr>
      <t>invoice of visa fee
receipt No. is RA0723940. my visa no. is Z8A0723940</t>
    </r>
  </si>
  <si>
    <r>
      <t xml:space="preserve">Request REFUND TRANSAKSI
(Product tidak diterima dan Cust request refund)
</t>
    </r>
    <r>
      <rPr>
        <sz val="11"/>
        <color theme="1"/>
        <rFont val="Calibri"/>
        <family val="2"/>
      </rPr>
      <t>Refund 27 Januari 2026
JP-019-260127-214816	27-01-2026	21:48:17	12000
JP-016-260127-214527	27-01-2026	21:45:29	11000
JP-019-260127-213616	27-01-2026	21:36:17	15500
JP-007-260127-180401	27-01-2026	18:04:02	5000
JP-016-260127-165234	27-01-2026	16:52:35	10000
JP-016-260127-150043	27-01-2026	15:00:46	10000
JP-001-260127-100833	27-01-2026	10:08:34	10000</t>
    </r>
  </si>
  <si>
    <r>
      <t xml:space="preserve">Request BUKTI TRANSAKSI VOA dari BANK
(Customer sanggah transaksi CC atas penerbitan Visa)
</t>
    </r>
    <r>
      <rPr>
        <sz val="11"/>
        <color theme="1"/>
        <rFont val="Calibri"/>
        <family val="2"/>
      </rPr>
      <t>KONFIRMASI CHARGEBACK Prismalink*IND VISAARR 26/01/2026 56 TRX</t>
    </r>
  </si>
  <si>
    <r>
      <t xml:space="preserve">Request STATUS TRANSAKSI dari MERCHANT
(PRODUK diterima, dashboard belum update)
</t>
    </r>
    <r>
      <rPr>
        <sz val="11"/>
        <color theme="1"/>
        <rFont val="Calibri"/>
        <family val="2"/>
      </rPr>
      <t>8919101217399665</t>
    </r>
  </si>
  <si>
    <r>
      <t xml:space="preserve">Request STATUS TRANSAKSI dari MERCHANT
(PRODUK diterima, dashboard belum update)
</t>
    </r>
    <r>
      <rPr>
        <sz val="11"/>
        <color theme="1"/>
        <rFont val="Calibri"/>
        <family val="2"/>
      </rPr>
      <t xml:space="preserve">8919101249933262 
8919101249354527 </t>
    </r>
  </si>
  <si>
    <r>
      <t xml:space="preserve">Request STATUS TRANSAKSI dari CUSTOMER
(PRODUK Tdk Diterima, namun ada bukti TRANSFER)
</t>
    </r>
    <r>
      <rPr>
        <sz val="11"/>
        <color theme="1"/>
        <rFont val="Calibri"/>
        <family val="2"/>
      </rPr>
      <t xml:space="preserve">
4041910125089630</t>
    </r>
  </si>
  <si>
    <r>
      <t xml:space="preserve">Request STATUS TRANSAKSI dari CUSTOMER
(PRODUK Tdk Diterima, namun ada bukti TRANSFER)
</t>
    </r>
    <r>
      <rPr>
        <sz val="11"/>
        <color theme="1"/>
        <rFont val="Calibri"/>
        <family val="2"/>
      </rPr>
      <t xml:space="preserve">
7900125000040510 / NACL1327032681</t>
    </r>
  </si>
  <si>
    <r>
      <t xml:space="preserve">Request STATUS TRANSAKSI dari CUSTOMER
(PRODUK Tdk Diterima, namun ada bukti TRANSFER)
</t>
    </r>
    <r>
      <rPr>
        <sz val="11"/>
        <color theme="1"/>
        <rFont val="Calibri"/>
        <family val="2"/>
      </rPr>
      <t xml:space="preserve">
7900125000073300 / NACL1327217086</t>
    </r>
  </si>
  <si>
    <r>
      <t xml:space="preserve">Request STATUS TRANSAKSI dari CUSTOMER
(PRODUK Tdk Diterima, namun ada bukti TRANSFER)
</t>
    </r>
    <r>
      <rPr>
        <sz val="11"/>
        <color theme="1"/>
        <rFont val="Calibri"/>
        <family val="2"/>
      </rPr>
      <t xml:space="preserve">
8919101217001496</t>
    </r>
  </si>
  <si>
    <r>
      <t xml:space="preserve">Request STATUS TRANSAKSI dari CUSTOMER
(PRODUK Tdk Diterima, namun ada bukti TRANSFER)
</t>
    </r>
    <r>
      <rPr>
        <sz val="11"/>
        <color theme="1"/>
        <rFont val="Calibri"/>
        <family val="2"/>
      </rPr>
      <t xml:space="preserve">
8919101217693028</t>
    </r>
  </si>
  <si>
    <r>
      <t xml:space="preserve">Request STATUS TRANSAKSI dari CUSTOMER
(PRODUK Tdk Diterima, namun ada bukti TRANSFER)
</t>
    </r>
    <r>
      <rPr>
        <sz val="11"/>
        <color theme="1"/>
        <rFont val="Calibri"/>
        <family val="2"/>
      </rPr>
      <t xml:space="preserve">
8919101217450268</t>
    </r>
  </si>
  <si>
    <r>
      <t xml:space="preserve">Request STATUS TRANSAKSI dari CUSTOMER
(PRODUK Tdk Diterima, namun ada bukti TRANSFER))
</t>
    </r>
    <r>
      <rPr>
        <sz val="11"/>
        <color theme="1"/>
        <rFont val="Calibri"/>
        <family val="2"/>
      </rPr>
      <t>521215**8415
458059**6643
518953**3327</t>
    </r>
  </si>
  <si>
    <r>
      <t xml:space="preserve">Request STATUS TRANSAKSI dari CUSTOMER
(PRODUK Tdk Diterima, namun ada bukti TRANSFER)
</t>
    </r>
    <r>
      <rPr>
        <sz val="11"/>
        <color theme="1"/>
        <rFont val="Calibri"/>
        <family val="2"/>
      </rPr>
      <t xml:space="preserve">
NACL1330061384 // 8903910125040627 </t>
    </r>
  </si>
  <si>
    <r>
      <t xml:space="preserve">Request STATUS TRANSAKSI dari CUSTOMER
(PRODUK Tdk Diterima, namun ada bukti TRANSFER))
</t>
    </r>
    <r>
      <rPr>
        <sz val="11"/>
        <color theme="1"/>
        <rFont val="Calibri"/>
        <family val="2"/>
      </rPr>
      <t>462705**6939</t>
    </r>
  </si>
  <si>
    <r>
      <t xml:space="preserve">Request STATUS TRANSAKSI dari CUSTOMER
(PRODUK Tdk Diterima, namun ada bukti TRANSFER)
</t>
    </r>
    <r>
      <rPr>
        <sz val="11"/>
        <color theme="1"/>
        <rFont val="Calibri"/>
        <family val="2"/>
      </rPr>
      <t xml:space="preserve">
7900121700083691</t>
    </r>
  </si>
  <si>
    <r>
      <t xml:space="preserve">Request STATUS TRANSAKSI dari CUSTOMER
(PRODUK Tdk Diterima, namun ada bukti TRANSFER)
</t>
    </r>
    <r>
      <rPr>
        <sz val="11"/>
        <color theme="1"/>
        <rFont val="Calibri"/>
        <family val="2"/>
      </rPr>
      <t xml:space="preserve">
7900121700004701</t>
    </r>
  </si>
  <si>
    <r>
      <t xml:space="preserve">Request STATUS TRANSAKSI dari CUSTOMER
(PRODUK Tdk Diterima, namun ada bukti TRANSFER)
</t>
    </r>
    <r>
      <rPr>
        <sz val="11"/>
        <color theme="1"/>
        <rFont val="Calibri"/>
        <family val="2"/>
      </rPr>
      <t xml:space="preserve">
NACL1331499631 / 7900125000077172  </t>
    </r>
  </si>
  <si>
    <r>
      <t xml:space="preserve">Request STATUS TRANSAKSI dari CUSTOMER
(PRODUK Tdk Diterima, namun ada bukti TRANSFER)
</t>
    </r>
    <r>
      <rPr>
        <sz val="11"/>
        <color theme="1"/>
        <rFont val="Calibri"/>
        <family val="2"/>
      </rPr>
      <t xml:space="preserve">
8903910125069742 - NACL1331499571                                     
8903910124933864 - NACL1331469037       </t>
    </r>
  </si>
  <si>
    <r>
      <t xml:space="preserve">Request STATUS TRANSAKSI dari CUSTOMER
(PRODUK Tdk Diterima, namun ada bukti TRANSFER)
</t>
    </r>
    <r>
      <rPr>
        <sz val="11"/>
        <color theme="1"/>
        <rFont val="Calibri"/>
        <family val="2"/>
      </rPr>
      <t xml:space="preserve">
7900125000056914</t>
    </r>
  </si>
  <si>
    <r>
      <t xml:space="preserve">Request STATUS TRANSAKSI dari CUSTOMER
(PRODUK Tdk Diterima, namun ada bukti TRANSFER)
</t>
    </r>
    <r>
      <rPr>
        <sz val="11"/>
        <color theme="1"/>
        <rFont val="Calibri"/>
        <family val="2"/>
      </rPr>
      <t xml:space="preserve">
4041910125061742 // NACL1331498692
7900125000009069 // NACL1331498558  </t>
    </r>
  </si>
  <si>
    <r>
      <t xml:space="preserve">Request STATUS TRANSAKSI dari MERCHANT
(PRODUK diterima, dashboard belum update)
</t>
    </r>
    <r>
      <rPr>
        <sz val="11"/>
        <color theme="1"/>
        <rFont val="Calibri"/>
        <family val="2"/>
      </rPr>
      <t>4041910124967730</t>
    </r>
  </si>
  <si>
    <r>
      <t xml:space="preserve">Request STATUS TRANSAKSI dari CUSTOMER
(PRODUK Tdk Diterima, namun ada bukti TRANSFER)
</t>
    </r>
    <r>
      <rPr>
        <sz val="11"/>
        <color theme="1"/>
        <rFont val="Calibri"/>
        <family val="2"/>
      </rPr>
      <t xml:space="preserve">
001746988257</t>
    </r>
  </si>
  <si>
    <r>
      <t xml:space="preserve">Request STATUS TRANSAKSI dari MERCHANT
(PRODUK diterima, dashboard belum update)
</t>
    </r>
    <r>
      <rPr>
        <sz val="11"/>
        <color theme="1"/>
        <rFont val="Calibri"/>
        <family val="2"/>
      </rPr>
      <t>7900121700082166</t>
    </r>
  </si>
  <si>
    <r>
      <t xml:space="preserve">Request STATUS TRANSAKSI dari MERCHANT
(PRODUK Tdk Diterima, namun ada bukti TRANSFER)
</t>
    </r>
    <r>
      <rPr>
        <sz val="11"/>
        <color theme="1"/>
        <rFont val="Calibri"/>
        <family val="2"/>
      </rPr>
      <t>4041910117952239</t>
    </r>
  </si>
  <si>
    <r>
      <t xml:space="preserve">Request STATUS TRANSAKSI dari CUSTOMER
(PRODUK Tdk Diterima, namun ada bukti TRANSFER)
</t>
    </r>
    <r>
      <rPr>
        <sz val="11"/>
        <color theme="1"/>
        <rFont val="Calibri"/>
        <family val="2"/>
      </rPr>
      <t xml:space="preserve">
8903910125030001 and ID NACL1332628995    </t>
    </r>
  </si>
  <si>
    <r>
      <t xml:space="preserve">Request STATUS TRANSAKSI dari CUSTOMER
(PRODUK Tdk Diterima, namun ada bukti TRANSFER)
</t>
    </r>
    <r>
      <rPr>
        <sz val="11"/>
        <color theme="1"/>
        <rFont val="Calibri"/>
        <family val="2"/>
      </rPr>
      <t xml:space="preserve">
7900125000092794</t>
    </r>
  </si>
  <si>
    <r>
      <t xml:space="preserve">Request STATUS TRANSAKSI dari CUSTOMER
(PRODUK Tdk Diterima, namun ada bukti TRANSFER))
</t>
    </r>
    <r>
      <rPr>
        <sz val="11"/>
        <color theme="1"/>
        <rFont val="Calibri"/>
        <family val="2"/>
      </rPr>
      <t>535432**8666</t>
    </r>
  </si>
  <si>
    <r>
      <t xml:space="preserve">Request BUKTI TRANSAKSI VOA dari BANK
(Customer sanggah transaksi CC atas penerbitan Visa)
</t>
    </r>
    <r>
      <rPr>
        <sz val="11"/>
        <color theme="1"/>
        <rFont val="Calibri"/>
        <family val="2"/>
      </rPr>
      <t>Request prof of payment</t>
    </r>
  </si>
  <si>
    <r>
      <t xml:space="preserve">Request BUKTI TRANSAKSI VOA dari BANK
(Customer sanggah transaksi CC atas penerbitan Visa)
</t>
    </r>
    <r>
      <rPr>
        <sz val="11"/>
        <color theme="1"/>
        <rFont val="Calibri"/>
        <family val="2"/>
      </rPr>
      <t xml:space="preserve">Evisa </t>
    </r>
  </si>
  <si>
    <r>
      <t>Surat FRAUD dari BANK
(Dana Terpotong, Produk Tdk Diterima)</t>
    </r>
    <r>
      <rPr>
        <sz val="11"/>
        <color theme="1"/>
        <rFont val="Calibri"/>
        <family val="2"/>
      </rPr>
      <t xml:space="preserve">
Pemohonan Informasi Indikasi Fraud PT. Prismalink International
PT Daya Net Gemilang
4041910125015364	850000</t>
    </r>
  </si>
  <si>
    <r>
      <t xml:space="preserve">Request STATUS TRANSAKSI dari CUSTOMER
(PRODUK Tdk Diterima, namun ada bukti TRANSFER)
</t>
    </r>
    <r>
      <rPr>
        <sz val="11"/>
        <color theme="1"/>
        <rFont val="Calibri"/>
        <family val="2"/>
      </rPr>
      <t xml:space="preserve">
[O1bb8e02] Rekap : 04/VA ONLINE/BAYAR2.COM
PT Kreasi Kode Kreatif
7900119200432525	550000</t>
    </r>
  </si>
  <si>
    <r>
      <t xml:space="preserve">Request REFUND TRANSAKSI
(Product tidak diterima dan Cust request refund)
</t>
    </r>
    <r>
      <rPr>
        <sz val="11"/>
        <color theme="1"/>
        <rFont val="Calibri"/>
        <family val="2"/>
      </rPr>
      <t>Refund 28 Januari 2026
JP-012-260128-212913	28-01-2026	21:29:14	12412
JP-016-260128-124000	28-01-2026	12:40:01	10000
JP-016-260128-095622	28-01-2026	09:56:23	11000
JP-018-260128-092354	28-01-2026	09:23:55	5000
JP-012-260128-084750	28-01-2026	08:47:51	12412
JP-001-260128-083816	28-01-2026	08:38:17	12412</t>
    </r>
  </si>
  <si>
    <r>
      <t xml:space="preserve">Request STATUS TRANSAKSI dari CUSTOMER
(PRODUK Tdk Diterima, namun ada bukti TRANSFER))
</t>
    </r>
    <r>
      <rPr>
        <sz val="11"/>
        <color theme="1"/>
        <rFont val="Calibri"/>
        <family val="2"/>
      </rPr>
      <t>no register 2280126B1521348</t>
    </r>
  </si>
  <si>
    <r>
      <t xml:space="preserve">Request STATUS TRANSAKSI dari CUSTOMER
(PRODUK Tdk Diterima, namun ada bukti TRANSFER)
</t>
    </r>
    <r>
      <rPr>
        <sz val="11"/>
        <color theme="1"/>
        <rFont val="Calibri"/>
        <family val="2"/>
      </rPr>
      <t xml:space="preserve">
487410**4576
432338**5118</t>
    </r>
  </si>
  <si>
    <r>
      <t xml:space="preserve">Surat FRAUD dari BANK
(Dana Terpotong, Produk Tdk Diterima)
</t>
    </r>
    <r>
      <rPr>
        <sz val="11"/>
        <color theme="1"/>
        <rFont val="Calibri"/>
        <family val="2"/>
      </rPr>
      <t xml:space="preserve">
[O2f7e472] Indikasi Penipuan: BAYAR2.COM/29012026/015
PT Daya Net Gemilang
7900125000009074	14332700
</t>
    </r>
  </si>
  <si>
    <r>
      <t xml:space="preserve">Request BUKTI TRANSAKSI VOA dari BANK
(Customer sanggah transaksi CC atas penerbitan Visa)
</t>
    </r>
    <r>
      <rPr>
        <sz val="11"/>
        <color theme="1"/>
        <rFont val="Calibri"/>
        <family val="2"/>
      </rPr>
      <t>B1 Visa application - 2240126B1418184</t>
    </r>
  </si>
  <si>
    <r>
      <t xml:space="preserve">Request REFUND TRANSAKSI
(Product tidak diterima dan Cust request refund)
</t>
    </r>
    <r>
      <rPr>
        <sz val="11"/>
        <color theme="1"/>
        <rFont val="Calibri"/>
        <family val="2"/>
      </rPr>
      <t>Refund 29 Januari 2026
JP-018-260129-223903	29-01-2026	22:39:04	10000
JP-001-260129-182548	29-01-2026	18:25:49	12412
JP-018-260129-164006	29-01-2026	16:40:07	13000</t>
    </r>
  </si>
  <si>
    <r>
      <t xml:space="preserve">Request BUKTI TRANSAKSI VOA dari BANK
(Customer sanggah transaksi CC atas penerbitan Visa)
</t>
    </r>
    <r>
      <rPr>
        <sz val="11"/>
        <color theme="1"/>
        <rFont val="Calibri"/>
        <family val="2"/>
      </rPr>
      <t>Permohonan bukti transaksi merchant PRISMALINK #30012026 JCB</t>
    </r>
  </si>
  <si>
    <r>
      <t xml:space="preserve">Request BUKTI TRANSAKSI VOA dari BANK
(Customer sanggah transaksi CC atas penerbitan Visa)
</t>
    </r>
    <r>
      <rPr>
        <sz val="11"/>
        <color theme="1"/>
        <rFont val="Calibri"/>
        <family val="2"/>
      </rPr>
      <t>PERMOHONAN BUKTI TRANSAKSI PRISMALINK*IND VISAARR #26/01/2026 28 RX</t>
    </r>
  </si>
  <si>
    <r>
      <t xml:space="preserve">Request BUKTI TRANSAKSI VOA dari BANK
(Customer sanggah transaksi CC atas penerbitan Visa)
</t>
    </r>
    <r>
      <rPr>
        <sz val="11"/>
        <color theme="1"/>
        <rFont val="Calibri"/>
        <family val="2"/>
      </rPr>
      <t>PERMOHONAN BUKTI TRANSAKSI PRISMALINK*PT CERDIK K #30/01/2026 1 TRX</t>
    </r>
  </si>
  <si>
    <r>
      <t xml:space="preserve">Request BUKTI TRANSAKSI VOA dari BANK
(Customer sanggah transaksi CC atas penerbitan Visa)
</t>
    </r>
    <r>
      <rPr>
        <sz val="11"/>
        <color theme="1"/>
        <rFont val="Calibri"/>
        <family val="2"/>
      </rPr>
      <t>KONFIRMASI CHARGEBACK Prismalink*IND VISAARR 30/01/2026 29TRX</t>
    </r>
  </si>
  <si>
    <r>
      <t xml:space="preserve">Request BUKTI TRANSAKSI VOA dari BANK
(Customer sanggah transaksi CC atas penerbitan Visa)
</t>
    </r>
    <r>
      <rPr>
        <sz val="11"/>
        <color theme="1"/>
        <rFont val="Calibri"/>
        <family val="2"/>
      </rPr>
      <t xml:space="preserve">3 payment for 2 visas </t>
    </r>
  </si>
  <si>
    <r>
      <t xml:space="preserve">Request BUKTI TRANSAKSI VOA dari BANK
(Customer sanggah transaksi CC atas penerbitan Visa)
</t>
    </r>
    <r>
      <rPr>
        <sz val="11"/>
        <color theme="1"/>
        <rFont val="Calibri"/>
        <family val="2"/>
      </rPr>
      <t>Assistance with Uncompleted Transaction Refund (Plink Ref: 0080102022640160435)</t>
    </r>
  </si>
  <si>
    <r>
      <t xml:space="preserve">Request REFUND TRANSAKSI
(Product tidak diterima dan Cust request refund)
</t>
    </r>
    <r>
      <rPr>
        <sz val="11"/>
        <color theme="1"/>
        <rFont val="Calibri"/>
        <family val="2"/>
      </rPr>
      <t>Refund 30,31 Januari, 1 Feb
JP-018-260131-233018	31-01-2026	23:30:19	10181
JP-004-260131-213810	31-01-2026	21:38:11	12412
JP-004-260131-204012	31-01-2026	20:40:14	7289
JP-004-260131-202837	31-01-2026	20:28:38	7289
JP-004-260131-201115	31-01-2026	20:11:16	2880
JP-004-260131-182628	31-01-2026	18:26:29	5000
JP-017-260131-160213	31-01-2026	16:02:14	16009
JP-015-260131-155900	31-01-2026	15:59:02	9500
JP-017-260131-155757	31-01-2026	15:57:58	13760
JP-003-260131-125219	31-01-2026	12:52:20	6867
JP-004-260131-115324	31-01-2026	11:53:26	12412
JP-004-260131-112622	31-01-2026	11:26:24	12412
JP-015-260131-092036	31-01-2026	09:20:37	8900
JP-019-260131-085804	31-01-2026	08:58:04	15500
JP-013-260130-182011	30-01-2026	18:20:13	12.412,00
JP-017-260130-134917	30-01-2026	13:49:18	7.200,00
JP-019-260130-133535	30-01-2026	13:35:36	15.500,00
JP-017-260130-110246	30-01-2026	11:02:48	12.183,00
JP-014-260201-113112	01-02-2026	11:31:12	7.200,00
JP-013-260201-152846	01-02-2026	15:28:47	11.360,00
JP-004-260201-210558	01-02-2026	21:05:59	5.000,00
JP-004-260201-210123	01-02-2026	21:01:25	5.000,00
JP-004-260201-195934	01-02-2026	19:59:35	5.000,00
JP-004-260201-190231	01-02-2026	19:02:32	7.289,00
JP-004-260201-175137	01-02-2026	17:51:38	5.000,00
JP-004-260201-174655	01-02-2026	17:47:08	5.000,00
JP-004-260201-163901	01-02-2026	16:39:02	7.289,00
JP-004-260201-161455	01-02-2026	16:14:56	4.392,00
JP-004-260201-150521	01-02-2026	15:05:22	12.600,00
JP-004-260201-111656	01-02-2026	11:16:58	7.289,00
JP-015-260201-125957	01-02-2026	12:59:58	22.500,00
JP-017-260201-154901	01-02-2026	15:49:01	4.392,00
JP-006-260201-102518	01-02-2026	10:25:19	16.000,00
JP-006-260201-085153	01-02-2026	08:51:54	10.000,00
JP-019-260201-113900	01-02-2026	11:39:01	15.500,00</t>
    </r>
  </si>
  <si>
    <r>
      <t xml:space="preserve">Request STATUS TRANSAKSI dari CUSTOMER
(PRODUK Tdk Diterima, namun ada bukti TRANSFER)
</t>
    </r>
    <r>
      <rPr>
        <sz val="11"/>
        <color theme="1"/>
        <rFont val="Calibri"/>
        <family val="2"/>
      </rPr>
      <t xml:space="preserve">
535240**5146</t>
    </r>
  </si>
  <si>
    <r>
      <t xml:space="preserve">Request REFUND TRANSAKSI
(Product tidak diterima dan Cust request refund)
</t>
    </r>
    <r>
      <rPr>
        <sz val="11"/>
        <color theme="1"/>
        <rFont val="Calibri"/>
        <family val="2"/>
      </rPr>
      <t>Refund 2 Feb
JP-004-260202-180644	02-02-2026	18:06:45	5000
JP-004-260202-180259	02-02-2026	18:03:01	5000
JP-017-260202-171156	02-02-2026	17:11:57	12183
JP-018-260202-164618	02-02-2026	16:46:18	12412
JP-004-260202-130239	02-02-2026	13:02:40	5000</t>
    </r>
  </si>
  <si>
    <r>
      <t xml:space="preserve">Request BUKTI TRANSAKSI VOA dari BANK
(Customer sanggah transaksi CC atas penerbitan Visa)
</t>
    </r>
    <r>
      <rPr>
        <sz val="11"/>
        <color theme="1"/>
        <rFont val="Calibri"/>
        <family val="2"/>
      </rPr>
      <t>Permohonan bukti transaksi merchant PRISMALINK #03022026 JCB</t>
    </r>
  </si>
  <si>
    <r>
      <t xml:space="preserve">Request BUKTI TRANSAKSI VOA dari BANK
(Pengajuan Pre-Arb oleh Bank)
</t>
    </r>
    <r>
      <rPr>
        <sz val="11"/>
        <color theme="1"/>
        <rFont val="Calibri"/>
        <family val="2"/>
      </rPr>
      <t>KONFIRMASI PRE ARBITRASI Prismalink*IND VISAARR 03/02/2026 118 TRX</t>
    </r>
  </si>
  <si>
    <r>
      <t>Surat FRAUD dari BANK
(Dana Terpotong, Produk Tdk Diterima)</t>
    </r>
    <r>
      <rPr>
        <sz val="11"/>
        <color theme="1"/>
        <rFont val="Calibri"/>
        <family val="2"/>
      </rPr>
      <t xml:space="preserve">
[O4d7ac47] Indikasi Penipuan: BAYAR2.COM/03022026/016
PT Kreasi Kode Kreatif
7900119200446240	15300000
7900119200446303	15000000
7900119200446461	25000000
7900119200446535	10000000
7900119200446559	10000000
PT TEKNOLOGI AWAN CERAH
7900121700050245	15000000
7900121700029736	25000000
7900121700079574	3000000
</t>
    </r>
  </si>
  <si>
    <r>
      <t xml:space="preserve">Request BUKTI TRANSAKSI VOA dari BANK
(Customer sanggah transaksi CC atas penerbitan Visa)
</t>
    </r>
    <r>
      <rPr>
        <sz val="11"/>
        <color theme="1"/>
        <rFont val="Calibri"/>
        <family val="2"/>
      </rPr>
      <t>PERMOHONAN BUKTI TRANSAKSI PRISMALINK*IND VISAARR #03/02/2026 5 RX</t>
    </r>
  </si>
  <si>
    <r>
      <t xml:space="preserve">Request BUKTI TRANSAKSI VOA dari BANK
(Customer sanggah transaksi CC atas penerbitan Visa)
</t>
    </r>
    <r>
      <rPr>
        <sz val="11"/>
        <color theme="1"/>
        <rFont val="Calibri"/>
        <family val="2"/>
      </rPr>
      <t>Missing receipt</t>
    </r>
  </si>
  <si>
    <r>
      <t xml:space="preserve">Request STATUS TRANSAKSI dari CUSTOMER
(PRODUK Tdk Diterima, namun ada bukti TRANSFER))
</t>
    </r>
    <r>
      <rPr>
        <sz val="11"/>
        <color theme="1"/>
        <rFont val="Calibri"/>
        <family val="2"/>
      </rPr>
      <t xml:space="preserve">Visa </t>
    </r>
  </si>
  <si>
    <r>
      <t xml:space="preserve">Request BUKTI TRANSAKSI VOA dari BANK
(Customer sanggah transaksi CC atas penerbitan Visa)
</t>
    </r>
    <r>
      <rPr>
        <sz val="11"/>
        <color theme="1"/>
        <rFont val="Calibri"/>
        <family val="2"/>
      </rPr>
      <t>KONFIRMASI CHARGEBACK Prismalink*IND VISAARR 03/02/2026 16 TRX</t>
    </r>
  </si>
  <si>
    <r>
      <t xml:space="preserve">Request STATUS TRANSAKSI dari MERCHANT
(PRODUK diterima, dashboard belum update)
</t>
    </r>
    <r>
      <rPr>
        <sz val="11"/>
        <color theme="1"/>
        <rFont val="Calibri"/>
        <family val="2"/>
      </rPr>
      <t xml:space="preserve">8919101205078593 / Tx-Bar-182-260202  </t>
    </r>
  </si>
  <si>
    <r>
      <t xml:space="preserve">Request STATUS TRANSAKSI
(PRODUK Tdk Diterima, namun ada bukti TRANSFER)
</t>
    </r>
    <r>
      <rPr>
        <sz val="11"/>
        <color theme="1"/>
        <rFont val="Calibri"/>
        <family val="2"/>
      </rPr>
      <t>7900125000030059 //  NACL1345776002</t>
    </r>
  </si>
  <si>
    <r>
      <t xml:space="preserve">Request STATUS TRANSAKSI dari MERCHANT
(PRODUK diterima, dashboard belum update)
</t>
    </r>
    <r>
      <rPr>
        <sz val="11"/>
        <color theme="1"/>
        <rFont val="Calibri"/>
        <family val="2"/>
      </rPr>
      <t xml:space="preserve">1551200000096397 </t>
    </r>
  </si>
  <si>
    <r>
      <t xml:space="preserve">Request STATUS TRANSAKSI dari MERCHANT
(PRODUK diterima, dashboard belum update)
</t>
    </r>
    <r>
      <rPr>
        <sz val="11"/>
        <color theme="1"/>
        <rFont val="Calibri"/>
        <family val="2"/>
      </rPr>
      <t xml:space="preserve">4041910121477157 </t>
    </r>
  </si>
  <si>
    <r>
      <t xml:space="preserve">Request STATUS TRANSAKSI dari Customer
(PRODUK Tdk Diterima, namun ada bukti TRANSFER double)
</t>
    </r>
    <r>
      <rPr>
        <sz val="11"/>
        <color theme="1"/>
        <rFont val="Calibri"/>
        <family val="2"/>
      </rPr>
      <t xml:space="preserve">
7900119200458531   </t>
    </r>
  </si>
  <si>
    <r>
      <t xml:space="preserve">Request STATUS TRANSAKSI dari MERCHANT
(PRODUK diterima, dashboard belum update)
</t>
    </r>
    <r>
      <rPr>
        <sz val="11"/>
        <color theme="1"/>
        <rFont val="Calibri"/>
        <family val="2"/>
      </rPr>
      <t>7900121700048952</t>
    </r>
  </si>
  <si>
    <r>
      <t xml:space="preserve">Request REFUND TRANSAKSI
(Product tidak diterima dan Cust request refund)
</t>
    </r>
    <r>
      <rPr>
        <sz val="11"/>
        <color theme="1"/>
        <rFont val="Calibri"/>
        <family val="2"/>
      </rPr>
      <t>Refund 3 Feb
JP-004-260203-202904	03-02-2026	20:29:05	12412
JP-017-260203-193321	03-02-2026	19:33:22	13760
JP-016-260203-154414	03-02-2026	15:44:15	10000
JP-004-260203-150424	03-02-2026	15:04:26	2880
JP-004-260203-013343	03-02-2026	01:33:44	5000
JP-004-260203-002212	03-02-2026	00:22:14	5000</t>
    </r>
  </si>
  <si>
    <r>
      <t>Surat FRAUD dari BANK
(Dana Terpotong, Produk Tdk Diterima)</t>
    </r>
    <r>
      <rPr>
        <sz val="11"/>
        <color theme="1"/>
        <rFont val="Calibri"/>
        <family val="2"/>
      </rPr>
      <t xml:space="preserve">
[O14c1072] Indikasi Penipuan: BAYAR2.COM/04022026/017
PT Envoiz Digital Indonesia
7900124900046168	15000000
</t>
    </r>
  </si>
  <si>
    <r>
      <t>Surat FRAUD dari BANK
(Dana Terpotong, Produk Tdk Diterima)</t>
    </r>
    <r>
      <rPr>
        <sz val="11"/>
        <color theme="1"/>
        <rFont val="Calibri"/>
        <family val="2"/>
      </rPr>
      <t xml:space="preserve">
[O67153aa] Indikasi Penipuan: BAYAR2.COM/04022026/019
PT Kreasi Kode Kreatif
7900119200449025	3400000
</t>
    </r>
  </si>
  <si>
    <r>
      <t>Surat FRAUD dari BANK
(Dana Terpotong, Produk Tdk Diterima)</t>
    </r>
    <r>
      <rPr>
        <sz val="11"/>
        <color theme="1"/>
        <rFont val="Calibri"/>
        <family val="2"/>
      </rPr>
      <t xml:space="preserve">
[O5d4d564] Indikasi Penipuan: BAYAR2.COM/04022026/018
PT Kreasi Kode Kreatif
7900119200449020	1600000
7900119200449018	1500000
</t>
    </r>
  </si>
  <si>
    <r>
      <t xml:space="preserve">Request REFUND TRANSAKSI
(Product tidak diterima dan Cust request refund)
</t>
    </r>
    <r>
      <rPr>
        <sz val="11"/>
        <color theme="1"/>
        <rFont val="Calibri"/>
        <family val="2"/>
      </rPr>
      <t>Refund 4 Februari 2026
JP-004-260204-212328	04-02-2026	21:23:29	2880
JP-016-260204-121837	04-02-2026	12:18:38	10000
JP-004-260204-113831	04-02-2026	11:38:33	2880
JP-003-260204-112902	04-02-2026	11:29:03	12412</t>
    </r>
  </si>
  <si>
    <r>
      <t xml:space="preserve">Request STATUS TRANSAKSI dari Customer
(PRODUK Tdk Diterima, namun ada bukti TRANSFER double)
</t>
    </r>
    <r>
      <rPr>
        <sz val="11"/>
        <color theme="1"/>
        <rFont val="Calibri"/>
        <family val="2"/>
      </rPr>
      <t xml:space="preserve">
PT Daya Net Gemilang
4041910125016339	500000</t>
    </r>
  </si>
  <si>
    <r>
      <t xml:space="preserve">Request BUKTI TRANSAKSI VOA dari BANK
(Customer request payment receipt)
</t>
    </r>
    <r>
      <rPr>
        <sz val="11"/>
        <color theme="1"/>
        <rFont val="Calibri"/>
        <family val="2"/>
      </rPr>
      <t>Request for Indonesia e-visa receipt</t>
    </r>
  </si>
  <si>
    <r>
      <t>Surat FRAUD dari BANK
(Dana Terpotong, Produk Tdk Diterima)</t>
    </r>
    <r>
      <rPr>
        <sz val="11"/>
        <color theme="1"/>
        <rFont val="Calibri"/>
        <family val="2"/>
      </rPr>
      <t xml:space="preserve">
Surat Bilateral Bank Mandiri nomor NRO.CCR/CHM.2319/2026
PT Daya Net Gemilang
8903910125027706	8000000
</t>
    </r>
  </si>
  <si>
    <r>
      <t xml:space="preserve">Request REFUND TRANSAKSI
(Product tidak diterima dan Cust request refund)
</t>
    </r>
    <r>
      <rPr>
        <sz val="11"/>
        <color theme="1"/>
        <rFont val="Calibri"/>
        <family val="2"/>
      </rPr>
      <t>Refund 5 Februari 2026
JP-016-260205-120756	05-02-2026	12:07:57	10000
JP-019-260205-091142	05-02-2026	09:11:43	11000
JP-016-260205-081458	05-02-2026	08:14:59	11000
JP-016-260205-081356	05-02-2026	08:13:57	11000</t>
    </r>
  </si>
  <si>
    <r>
      <t xml:space="preserve">Request BUKTI TRANSAKSI VOA dari BANK
(Customer request payment receipt)
</t>
    </r>
    <r>
      <rPr>
        <sz val="11"/>
        <color theme="1"/>
        <rFont val="Calibri"/>
        <family val="2"/>
      </rPr>
      <t>FW: [ASK] Request for visa on arrival payment receipt (RA0774771)</t>
    </r>
  </si>
  <si>
    <r>
      <t xml:space="preserve">Request BUKTI TRANSAKSI VOA dari BANK
(Customer sanggah transaksi CC atas penerbitan Visa)
</t>
    </r>
    <r>
      <rPr>
        <sz val="11"/>
        <color theme="1"/>
        <rFont val="Calibri"/>
        <family val="2"/>
      </rPr>
      <t>Permohonan bukti transaksi merchant PRISMALINK #09022026 JCB</t>
    </r>
  </si>
  <si>
    <r>
      <t>Surat FRAUD dari BANK
(Dana Terpotong, Produk Tdk Diterima)</t>
    </r>
    <r>
      <rPr>
        <sz val="11"/>
        <color theme="1"/>
        <rFont val="Calibri"/>
        <family val="2"/>
      </rPr>
      <t xml:space="preserve">
[O06cdab8] Indikasi Penipuan: BAYAR2.COM/09022026/020
PT TEKNOLOGI AWAN CERAH
7900121700022548	2000000
</t>
    </r>
  </si>
  <si>
    <r>
      <t>Surat FRAUD dari BANK
(Dana Terpotong, Produk Tdk Diterima)</t>
    </r>
    <r>
      <rPr>
        <sz val="11"/>
        <color theme="1"/>
        <rFont val="Calibri"/>
        <family val="2"/>
      </rPr>
      <t xml:space="preserve">
[O058f42d] Indikasi Penipuan: BAYAR2.COM/09022026/021
PT Kreasi Kode Kreatif
7900119200471136	1600000
PT TEKNOLOGI AWAN CERAH
7900121700005406	1500000
</t>
    </r>
  </si>
  <si>
    <r>
      <t xml:space="preserve">Request REFUND TRANSAKSI
(Product tidak diterima dan Cust request refund)
</t>
    </r>
    <r>
      <rPr>
        <sz val="11"/>
        <color theme="1"/>
        <rFont val="Calibri"/>
        <family val="2"/>
      </rPr>
      <t>Refund 9 Feb 2026
JP-003-260209-181456	09-02-2026	18:14:57	13000
JP-007-260209-180148	09-02-2026	18:01:49	12137
JP-012-260209-144034	09-02-2026	14:40:36	12412
JP-004-260209-135400	09-02-2026	13:54:02	5000
JP-001-260209-125236	09-02-2026	12:52:37	13000
JP-007-260209-103250	09-02-2026	10:32:51	12412
JP-013-260209-083600	09-02-2026	08:36:01	10000</t>
    </r>
  </si>
  <si>
    <r>
      <t>Surat FRAUD dari BANK
(Dana Terpotong, Produk Tdk Diterima)</t>
    </r>
    <r>
      <rPr>
        <sz val="11"/>
        <color theme="1"/>
        <rFont val="Calibri"/>
        <family val="2"/>
      </rPr>
      <t xml:space="preserve">
[O4fc7909] Indikasi Penipuan: BAYAR2.COM/10022026/022
PT Envoiz Digital Indonesia
7900124900027131	13000000
</t>
    </r>
  </si>
  <si>
    <r>
      <t>Surat FRAUD dari BANK
(Dana Terpotong, Produk Tdk Diterima)</t>
    </r>
    <r>
      <rPr>
        <sz val="11"/>
        <color theme="1"/>
        <rFont val="Calibri"/>
        <family val="2"/>
      </rPr>
      <t xml:space="preserve">
[O98fb5fd] Indikasi Penipuan: BAYAR2.COM/10022026/023
PT TEKNOLOGI AWAN CERAH
7900121700075125	2000000</t>
    </r>
  </si>
  <si>
    <r>
      <t xml:space="preserve">Request BUKTI TRANSAKSI VOA dari BANK
(Customer sanggah transaksi CC atas penerbitan Visa)
</t>
    </r>
    <r>
      <rPr>
        <sz val="11"/>
        <color theme="1"/>
        <rFont val="Calibri"/>
        <family val="2"/>
      </rPr>
      <t>Permohonan bukti transaksi merchant PRISMALINK #10022026 JCB</t>
    </r>
  </si>
  <si>
    <r>
      <t xml:space="preserve">Request STATUS TRANSAKSI dari MERCHANT
(PRODUK diterima, dashboard belum update)
</t>
    </r>
    <r>
      <rPr>
        <sz val="11"/>
        <color theme="1"/>
        <rFont val="Calibri"/>
        <family val="2"/>
      </rPr>
      <t>8919101249102581</t>
    </r>
  </si>
  <si>
    <r>
      <t xml:space="preserve">Request STATUS TRANSAKSI dari MERCHANT
(PRODUK diterima, dashboard belum update)
</t>
    </r>
    <r>
      <rPr>
        <sz val="11"/>
        <color theme="1"/>
        <rFont val="Calibri"/>
        <family val="2"/>
      </rPr>
      <t>P84799588</t>
    </r>
  </si>
  <si>
    <r>
      <t xml:space="preserve">Request STATUS TRANSAKSI dari MERCHANT
(PRODUK diterima, dashboard belum update)
</t>
    </r>
    <r>
      <rPr>
        <sz val="11"/>
        <color theme="1"/>
        <rFont val="Calibri"/>
        <family val="2"/>
      </rPr>
      <t xml:space="preserve"> 8919101249557168 / NACL1354173022</t>
    </r>
  </si>
  <si>
    <r>
      <t xml:space="preserve">Request STATUS TRANSAKSI dari MERCHANT
(PRODUK diterima, dashboard belum update)
</t>
    </r>
    <r>
      <rPr>
        <sz val="11"/>
        <color theme="1"/>
        <rFont val="Calibri"/>
        <family val="2"/>
      </rPr>
      <t xml:space="preserve">7900121700033081 / 2026020542500381048  </t>
    </r>
  </si>
  <si>
    <r>
      <t xml:space="preserve">Request STATUS TRANSAKSI dari MERCHANT
(PRODUK diterima, dashboard belum update)
</t>
    </r>
    <r>
      <rPr>
        <sz val="11"/>
        <color theme="1"/>
        <rFont val="Calibri"/>
        <family val="2"/>
      </rPr>
      <t>7900124900017522 / NACL1354750622</t>
    </r>
  </si>
  <si>
    <r>
      <t xml:space="preserve">Request STATUS TRANSAKSI dari MERCHANT
(PRODUK diterima, dashboard belum update)
</t>
    </r>
    <r>
      <rPr>
        <sz val="11"/>
        <color theme="1"/>
        <rFont val="Calibri"/>
        <family val="2"/>
      </rPr>
      <t>1551200000089490 / 0011606022616514813</t>
    </r>
  </si>
  <si>
    <r>
      <t xml:space="preserve">Request STATUS TRANSAKSI dari MERCHANT
(PRODUK diterima, dashboard belum update)
</t>
    </r>
    <r>
      <rPr>
        <sz val="11"/>
        <color theme="1"/>
        <rFont val="Calibri"/>
        <family val="2"/>
      </rPr>
      <t>RRN 117342836 / Merchant Ref P85129951</t>
    </r>
  </si>
  <si>
    <r>
      <t xml:space="preserve">Request STATUS TRANSAKSI dari MERCHANT
(PRODUK diterima, dashboard belum update)
</t>
    </r>
    <r>
      <rPr>
        <sz val="11"/>
        <color theme="1"/>
        <rFont val="Calibri"/>
        <family val="2"/>
      </rPr>
      <t>RRN 604163150134 / RRN Qris 1llj77103939 / merchant ref no P85130928</t>
    </r>
  </si>
  <si>
    <r>
      <t xml:space="preserve">Request STATUS TRANSAKSI dari MERCHANT
(PRODUK diterima, dashboard belum update)
</t>
    </r>
    <r>
      <rPr>
        <sz val="11"/>
        <color theme="1"/>
        <rFont val="Calibri"/>
        <family val="2"/>
      </rPr>
      <t>RRN 017975853845 / merc ref no P85129952</t>
    </r>
  </si>
  <si>
    <r>
      <t xml:space="preserve">Request STATUS TRANSAKSI dari MERCHANT
(PRODUK diterima, dashboard belum update)
</t>
    </r>
    <r>
      <rPr>
        <sz val="11"/>
        <color theme="1"/>
        <rFont val="Calibri"/>
        <family val="2"/>
      </rPr>
      <t xml:space="preserve">RRN AX4UR577V3AN / merc ref no P85132190  </t>
    </r>
  </si>
  <si>
    <r>
      <t xml:space="preserve">Request STATUS TRANSAKSI dari MERCHANT
(PRODUK diterima, dashboard belum update)
</t>
    </r>
    <r>
      <rPr>
        <sz val="11"/>
        <color theme="1"/>
        <rFont val="Calibri"/>
        <family val="2"/>
      </rPr>
      <t xml:space="preserve">Reff no P85130928 // RRN 1llj77103939 
Reff no P85131460 // RRN 017903897263 
Reff no P85132190 // RRN AX4UR577V3AN  
Reff no P85131979 // RRN AX4UR577V0XY  
Reff no P85132010 // RRN 1lljs6l28537 
Reff no P85132301 // RRN 017859793086
Reff no P85132036 // RRN TNGD03180751 
Reff no P85131813 // RRN 000000M6GL9G 
Reff no P85132299 // RRN 017882762737
Reff no P85131843 // RRN 018297528059 
Reff no P85131836 // RRN 018118986155
Reff no P85132218 // RRN 1c3228b71569  </t>
    </r>
  </si>
  <si>
    <r>
      <t>Surat FRAUD dari BANK
(Dana Terpotong, Produk Tdk Diterima)</t>
    </r>
    <r>
      <rPr>
        <sz val="11"/>
        <color theme="1"/>
        <rFont val="Calibri"/>
        <family val="2"/>
      </rPr>
      <t xml:space="preserve">
Re: Pengecekan Transaksi
PT ENVOIZ DIGITAL INDONESIA
8919101249219205	5610000</t>
    </r>
  </si>
  <si>
    <r>
      <t xml:space="preserve">Request REFUND TRANSAKSI
(Product tidak diterima dan Cust request refund)
</t>
    </r>
    <r>
      <rPr>
        <sz val="11"/>
        <color theme="1"/>
        <rFont val="Calibri"/>
        <family val="2"/>
      </rPr>
      <t>Refund 10 Februari 2026
JP-018-260210-224205	10-02-2026	22:42:20	VM Begawan LT 1	13000
JP-001-260210-185759	10-02-2026	18:58:00	VM RS Baptis 2	7289
JP-003-260210-141415	10-02-2026	14:14:16	VM Dinoyo Mall Lt 4	13000</t>
    </r>
  </si>
  <si>
    <r>
      <t xml:space="preserve">Request BUKTI TRANSAKSI VOA dari BANK
(Customer sanggah transaksi CC atas penerbitan Visa)
</t>
    </r>
    <r>
      <rPr>
        <sz val="11"/>
        <color theme="1"/>
        <rFont val="Calibri"/>
        <family val="2"/>
      </rPr>
      <t>PERMOHONAN BUKTI TRANSAKSI PRISMALINK*IND VISAARR #11/02/2026 22 RX</t>
    </r>
  </si>
  <si>
    <r>
      <t xml:space="preserve">Request BUKTI TRANSAKSI VOA dari BANK
(Customer sanggah transaksi CC atas penerbitan Visa)
</t>
    </r>
    <r>
      <rPr>
        <sz val="11"/>
        <color theme="1"/>
        <rFont val="Calibri"/>
        <family val="2"/>
      </rPr>
      <t>KONFIRMASI CHARGEBACK Prismalink*IND VISAARR 11/02/2026 43 TRX</t>
    </r>
  </si>
  <si>
    <r>
      <t>Surat FRAUD dari BANK
(Dana Terpotong, Produk Tdk Diterima)</t>
    </r>
    <r>
      <rPr>
        <sz val="11"/>
        <color theme="1"/>
        <rFont val="Calibri"/>
        <family val="2"/>
      </rPr>
      <t xml:space="preserve">
[O847270b] Indikasi Penipuan: BAYAR2.COM/11022026/025
PT Envoiz Digital Indonesia
7900124900061653	49756841</t>
    </r>
  </si>
  <si>
    <r>
      <t xml:space="preserve">Request BUKTI TRANSAKSI VOA dari BANK
(Customer request payment receipt)
</t>
    </r>
    <r>
      <rPr>
        <sz val="11"/>
        <color theme="1"/>
        <rFont val="Calibri"/>
        <family val="2"/>
      </rPr>
      <t>On Payment receipt__RE: FW: Arrival Card Submission – All Indonesia</t>
    </r>
  </si>
  <si>
    <r>
      <t xml:space="preserve">Request REFUND TRANSAKSI
(Product tidak diterima dan Cust request refund)
</t>
    </r>
    <r>
      <rPr>
        <sz val="11"/>
        <color theme="1"/>
        <rFont val="Calibri"/>
        <family val="2"/>
      </rPr>
      <t>Refund 11 Februari 2026
JP-001-260211-190859	11-02-2026	19:09:00	12412
JP-014-260211-133052	11-02-2026	13:30:52	13000
JP-017-260211-122004	11-02-2026	12:20:06	5000
JP-014-260211-024423	11-02-2026	02:44:24	12412</t>
    </r>
  </si>
  <si>
    <r>
      <t>Surat FRAUD dari BANK
(Dana Terpotong, Produk Tdk Diterima)</t>
    </r>
    <r>
      <rPr>
        <sz val="11"/>
        <color theme="1"/>
        <rFont val="Calibri"/>
        <family val="2"/>
      </rPr>
      <t xml:space="preserve">
[O1296dd1] Indikasi Penipuan: BAYAR2.COM/12022026/026
PT Kreasi Kode Kreatif
7900119200495477	4001234</t>
    </r>
  </si>
  <si>
    <r>
      <t xml:space="preserve">Request BUKTI TRANSAKSI VOA dari BANK
(Customer request payment receipt)
</t>
    </r>
    <r>
      <rPr>
        <sz val="11"/>
        <color theme="1"/>
        <rFont val="Calibri"/>
        <family val="2"/>
      </rPr>
      <t>URGENT REQUEST: Request for Receipt</t>
    </r>
  </si>
  <si>
    <r>
      <t xml:space="preserve">Request REFUND TRANSAKSI
(Product tidak diterima dan Cust request refund)
</t>
    </r>
    <r>
      <rPr>
        <sz val="11"/>
        <color theme="1"/>
        <rFont val="Calibri"/>
        <family val="2"/>
      </rPr>
      <t xml:space="preserve">Refund 12 Februari 2026
JP-004-260212-210207	12-02-2026	21:02:08	13000
JP-007-260212-144423	12-02-2026	14:44:24	11040
JP-012-260212-143809	12-02-2026	14:38:10	12412
</t>
    </r>
  </si>
  <si>
    <r>
      <t xml:space="preserve">Request BUKTI TRANSAKSI VOA dari BANK
(Customer request payment receipt)
</t>
    </r>
    <r>
      <rPr>
        <sz val="11"/>
        <color theme="1"/>
        <rFont val="Calibri"/>
        <family val="2"/>
      </rPr>
      <t>RE: Evoa Rece</t>
    </r>
  </si>
  <si>
    <r>
      <t xml:space="preserve">Request LIMIT TRANSAKSI
(Permohonan kenaikan limit kartu kredit dr merchant atau pembukaan BIN untuk mendukung transaksi)
</t>
    </r>
    <r>
      <rPr>
        <sz val="11"/>
        <color theme="1"/>
        <rFont val="Calibri"/>
        <family val="2"/>
      </rPr>
      <t xml:space="preserve">
</t>
    </r>
    <r>
      <rPr>
        <sz val="11"/>
        <color rgb="FF0070C0"/>
        <rFont val="Calibri"/>
        <family val="2"/>
      </rPr>
      <t>Penambahan limit transaksi</t>
    </r>
  </si>
  <si>
    <r>
      <t xml:space="preserve">Request BUKTI TRANSAKSI VOA dari BANK
(Pengajuan Pre-Arb oleh Bank)
</t>
    </r>
    <r>
      <rPr>
        <sz val="11"/>
        <color theme="1"/>
        <rFont val="Calibri"/>
        <family val="2"/>
      </rPr>
      <t>Permohonan bukti transaksi merchant PRISMALINK #13022026 JCB</t>
    </r>
  </si>
  <si>
    <r>
      <t xml:space="preserve">Request BUKTI TRANSAKSI VOA dari BANK
(Customer sanggah transaksi CC atas penerbitan Visa)
</t>
    </r>
    <r>
      <rPr>
        <sz val="11"/>
        <color theme="1"/>
        <rFont val="Calibri"/>
        <family val="2"/>
      </rPr>
      <t>ermohonan bukti transaksi merchant PRISMALINK #13022026 JCB</t>
    </r>
  </si>
  <si>
    <r>
      <t xml:space="preserve">Request BUKTI TRANSAKSI VOA dari BANK
(Customer request payment receipt)
</t>
    </r>
    <r>
      <rPr>
        <sz val="11"/>
        <color theme="1"/>
        <rFont val="Calibri"/>
        <family val="2"/>
      </rPr>
      <t>Request for Official Receipt – Indonesia e‑VOA Payment (Credit Card)</t>
    </r>
  </si>
  <si>
    <r>
      <t xml:space="preserve">Request BUKTI TRANSAKSI VOA dari BANK
(Customer request payment receipt)
</t>
    </r>
    <r>
      <rPr>
        <sz val="11"/>
        <color theme="1"/>
        <rFont val="Calibri"/>
        <family val="2"/>
      </rPr>
      <t>Receipt/invoice request</t>
    </r>
  </si>
  <si>
    <r>
      <t xml:space="preserve">Request REFUND TRANSAKSI
(Product tidak diterima dan Cust request refund)
</t>
    </r>
    <r>
      <rPr>
        <sz val="11"/>
        <color theme="1"/>
        <rFont val="Calibri"/>
        <family val="2"/>
      </rPr>
      <t>Refund 13,14,15 Februari 2026
JP-012-260213-201156	13-02-2026	20:11:57	5000
JP-014-260213-170040	13-02-2026	17:00:41	12412
JP-012-260213-161825	13-02-2026	16:18:27	5000
JP-012-260213-004532	13-02-2026	00:45:33	5000
JP-012-260214-204925	14-02-2026	20:49:26	12412
JP-016-260214-155957	14-02-2026	15:59:58	19528
JP-016-260214-155003	14-02-2026	15:50:04	16000
JP-017-260214-154946	14-02-2026	15:49:47	5000
JP-012-260214-151625	14-02-2026	15:16:27	5000
JP-012-260214-090231	14-02-2026	09:02:32	5000
JP-017-260214-084806	14-02-2026	08:48:07	8200
JP-012-260215-225938	15-02-2026	22:59:39	13000
JP-004-260215-213333	15-02-2026	21:33:34	7920
JP-003-260215-203902	15-02-2026	20:39:04	4392
JP-013-260215-182449	15-02-2026	18:24:51	12412
JP-013-260215-145222	15-02-2026	14:52:23	8960
JP-003-260215-141805	15-02-2026	14:18:07	5000
JP-013-260215-125120	15-02-2026	12:51:21	12412
JP-015-260215-121726	15-02-2026	12:17:28	16000
JP-015-260215-112302	15-02-2026	11:23:03	12000
JP-019-260215-103209	15-02-2026	10:32:10	11000
JP-015-260215-101617	15-02-2026	10:16:18	12000
JP-016-260215-100448	15-02-2026	10:04:49	16000
JP-012-260215-080152	15-02-2026	08:01:53	5000</t>
    </r>
  </si>
  <si>
    <r>
      <t xml:space="preserve">Request BUKTI TRANSAKSI VOA dari BANK
(Customer request payment receipt)
</t>
    </r>
    <r>
      <rPr>
        <sz val="11"/>
        <color theme="1"/>
        <rFont val="Calibri"/>
        <family val="2"/>
      </rPr>
      <t>Receipt E-VOA</t>
    </r>
  </si>
  <si>
    <r>
      <t xml:space="preserve">Request STATUS TRANSAKSI
(PRODUK Tdk Diterima, namun ada bukti TRANSFER)
</t>
    </r>
    <r>
      <rPr>
        <sz val="11"/>
        <color theme="1"/>
        <rFont val="Calibri"/>
        <family val="2"/>
      </rPr>
      <t xml:space="preserve">
Saldo HFM saya tidak Bertamabah
PT Daya Net Gemilang
7900125000035413	100000</t>
    </r>
  </si>
  <si>
    <r>
      <t xml:space="preserve">Request STATUS TRANSAKSI
(PRODUK Tdk Diterima, namun ada bukti TRANSFER)
</t>
    </r>
    <r>
      <rPr>
        <sz val="11"/>
        <color theme="1"/>
        <rFont val="Calibri"/>
        <family val="2"/>
      </rPr>
      <t xml:space="preserve">
DEPOSIT TIDAK MASUK
PT Daya Net Gemilang
7900125000006634	300000</t>
    </r>
  </si>
  <si>
    <r>
      <t xml:space="preserve">Request REFUND TRANSAKSI
(Product tidak diterima dan Cust request refund)
</t>
    </r>
    <r>
      <rPr>
        <sz val="11"/>
        <color theme="1"/>
        <rFont val="Calibri"/>
        <family val="2"/>
      </rPr>
      <t>Refund 16-17 Februari 2026
JP-016-260217-162348	17-02-2026	16:23:52	16000
JP-017-260217-154741	17-02-2026	15:47:42	8200
JP-006-260217-134000	17-02-2026	13:40:01	14000
JP-019-260217-071028	17-02-2026	07:10:30	11000
JP-004-260216-204856	16-02-2026	20:48:57	5467
JP-013-260216-190646	16-02-2026	19:06:47	12412
JP-017-260216-175113	16-02-2026	17:51:14	3029
JP-015-260216-155622	16-02-2026	15:56:24	9500
JP-012-260216-154226	16-02-2026	15:42:27	18000
JP-015-260216-151721	16-02-2026	15:17:22	12000
JP-020-260216-150501	16-02-2026	15:05:02	15500
JP-006-260216-144058	16-02-2026	14:41:01	10000
JP-020-260216-142146	16-02-2026	14:21:47	10320
JP-020-260216-140818	16-02-2026	14:08:19	10320
JP-020-260216-134857	16-02-2026	13:49:00	15500
JP-015-260216-123019	16-02-2026	12:30:20	12000
JP-020-260216-122814	16-02-2026	12:28:16	4000
JP-004-260216-121010	16-02-2026	12:10:12	4392
JP-006-260216-102536	16-02-2026	10:25:37	37800
JP-019-260216-093740	16-02-2026	09:37:41	13610
JP-007-260216-092019	16-02-2026	09:20:20	9500
JP-015-260216-090102	16-02-2026	09:01:03	11000
JP-012-260216-052427	16-02-2026	05:24:28	13000</t>
    </r>
  </si>
  <si>
    <r>
      <t xml:space="preserve">Request STATUS TRANSAKSI
(PRODUK Tdk Diterima, namun ada bukti TRANSFER)
</t>
    </r>
    <r>
      <rPr>
        <sz val="11"/>
        <color theme="1"/>
        <rFont val="Calibri"/>
        <family val="2"/>
      </rPr>
      <t xml:space="preserve">
8919101249080532</t>
    </r>
  </si>
  <si>
    <r>
      <t xml:space="preserve">Request STATUS TRANSAKSI
(PRODUK Tdk Diterima, namun ada bukti TRANSFER)
</t>
    </r>
    <r>
      <rPr>
        <sz val="11"/>
        <color theme="1"/>
        <rFont val="Calibri"/>
        <family val="2"/>
      </rPr>
      <t xml:space="preserve">
000000M3WCGJ</t>
    </r>
  </si>
  <si>
    <r>
      <t xml:space="preserve">Request STATUS TRANSAKSI
(PRODUK Tdk Diterima, namun ada bukti TRANSFER)
</t>
    </r>
    <r>
      <rPr>
        <sz val="11"/>
        <color theme="1"/>
        <rFont val="Calibri"/>
        <family val="2"/>
      </rPr>
      <t xml:space="preserve">
602502662412</t>
    </r>
  </si>
  <si>
    <r>
      <t xml:space="preserve">Request STATUS TRANSAKSI
(PRODUK Tdk Diterima, namun ada bukti TRANSFER)
</t>
    </r>
    <r>
      <rPr>
        <sz val="11"/>
        <color theme="1"/>
        <rFont val="Calibri"/>
        <family val="2"/>
      </rPr>
      <t xml:space="preserve">
P85132276, RRN AX4U1MEVM4QP </t>
    </r>
  </si>
  <si>
    <r>
      <t xml:space="preserve">Request STATUS TRANSAKSI
(PRODUK Tdk Diterima, namun ada bukti TRANSFER)
</t>
    </r>
    <r>
      <rPr>
        <sz val="11"/>
        <color theme="1"/>
        <rFont val="Calibri"/>
        <family val="2"/>
      </rPr>
      <t xml:space="preserve">
000131476909 / NACL1361301912 </t>
    </r>
  </si>
  <si>
    <r>
      <t xml:space="preserve">Request STATUS TRANSAKSI
(PRODUK Tdk Diterima, namun ada bukti TRANSFER)
</t>
    </r>
    <r>
      <rPr>
        <sz val="11"/>
        <color theme="1"/>
        <rFont val="Calibri"/>
        <family val="2"/>
      </rPr>
      <t xml:space="preserve">
7900125000090047 / NACL1361301858</t>
    </r>
  </si>
  <si>
    <r>
      <t xml:space="preserve">Request STATUS TRANSAKSI dari MERCHANT
(PRODUK diterima, dashboard belum update)
</t>
    </r>
    <r>
      <rPr>
        <sz val="11"/>
        <color theme="1"/>
        <rFont val="Calibri"/>
        <family val="2"/>
      </rPr>
      <t xml:space="preserve">P85130976, RRN TNGD03157280   </t>
    </r>
  </si>
  <si>
    <r>
      <t xml:space="preserve">Request STATUS TRANSAKSI
(PRODUK Tdk Diterima, namun ada bukti TRANSFER)
</t>
    </r>
    <r>
      <rPr>
        <sz val="11"/>
        <color theme="1"/>
        <rFont val="Calibri"/>
        <family val="2"/>
      </rPr>
      <t xml:space="preserve">
8919101217435469</t>
    </r>
  </si>
  <si>
    <r>
      <t xml:space="preserve">Request STATUS TRANSAKSI dari MERCHANT
(PRODUK diterima, dashboard belum update)
</t>
    </r>
    <r>
      <rPr>
        <sz val="11"/>
        <color theme="1"/>
        <rFont val="Calibri"/>
        <family val="2"/>
      </rPr>
      <t xml:space="preserve">NACL1363464608 / 0012211022627001869  </t>
    </r>
  </si>
  <si>
    <r>
      <t xml:space="preserve">Request STATUS TRANSAKSI dari MERCHANT
(PRODUK diterima, dashboard belum update)
</t>
    </r>
    <r>
      <rPr>
        <sz val="11"/>
        <color theme="1"/>
        <rFont val="Calibri"/>
        <family val="2"/>
      </rPr>
      <t>NACL1363411164 // RRN 974528029699</t>
    </r>
  </si>
  <si>
    <r>
      <t xml:space="preserve">Request STATUS TRANSAKSI dari MERCHANT
(PRODUK diterima, dashboard belum update)
</t>
    </r>
    <r>
      <rPr>
        <sz val="11"/>
        <color theme="1"/>
        <rFont val="Calibri"/>
        <family val="2"/>
      </rPr>
      <t>0012211022636591571 // RRN 000162624943</t>
    </r>
  </si>
  <si>
    <r>
      <t xml:space="preserve">Request STATUS TRANSAKSI dari MERCHANT
(PRODUK diterima, dashboard belum update)
</t>
    </r>
    <r>
      <rPr>
        <sz val="11"/>
        <color theme="1"/>
        <rFont val="Calibri"/>
        <family val="2"/>
      </rPr>
      <t>NACL1364118431 / 8903910125073220</t>
    </r>
  </si>
  <si>
    <r>
      <t xml:space="preserve">Request STATUS TRANSAKSI dari MERCHANT
(PRODUK diterima, dashboard belum update)
</t>
    </r>
    <r>
      <rPr>
        <sz val="11"/>
        <color theme="1"/>
        <rFont val="Calibri"/>
        <family val="2"/>
      </rPr>
      <t>7900119200501488  / 2026021340100120177</t>
    </r>
  </si>
  <si>
    <r>
      <t xml:space="preserve">Request STATUS TRANSAKSI dari MERCHANT
(PRODUK diterima, dashboard belum update)
</t>
    </r>
    <r>
      <rPr>
        <sz val="11"/>
        <color theme="1"/>
        <rFont val="Calibri"/>
        <family val="2"/>
      </rPr>
      <t>7900119200501490 / 2026021340100120334</t>
    </r>
  </si>
  <si>
    <r>
      <t xml:space="preserve">Request STATUS TRANSAKSI dari MERCHANT
(PRODUK diterima, dashboard belum update)
</t>
    </r>
    <r>
      <rPr>
        <sz val="11"/>
        <color theme="1"/>
        <rFont val="Calibri"/>
        <family val="2"/>
      </rPr>
      <t>NACL1365474672 with RRN 602527504391</t>
    </r>
  </si>
  <si>
    <r>
      <t xml:space="preserve">Request STATUS TRANSAKSI dari MERCHANT
(PRODUK diterima, dashboard belum update)
</t>
    </r>
    <r>
      <rPr>
        <sz val="11"/>
        <color theme="1"/>
        <rFont val="Calibri"/>
        <family val="2"/>
      </rPr>
      <t>7900121700098603 / 2026021340100120391</t>
    </r>
  </si>
  <si>
    <r>
      <t xml:space="preserve">Request STATUS TRANSAKSI
(PRODUK Tdk Diterima, namun ada bukti TRANSFER)
</t>
    </r>
    <r>
      <rPr>
        <sz val="11"/>
        <color theme="1"/>
        <rFont val="Calibri"/>
        <family val="2"/>
      </rPr>
      <t xml:space="preserve">
7900125000071732</t>
    </r>
  </si>
  <si>
    <r>
      <t xml:space="preserve">Request STATUS TRANSAKSI dari MERCHANT
(PRODUK diterima, dashboard belum update)
</t>
    </r>
    <r>
      <rPr>
        <sz val="11"/>
        <color theme="1"/>
        <rFont val="Calibri"/>
        <family val="2"/>
      </rPr>
      <t>7900121700094470</t>
    </r>
  </si>
  <si>
    <r>
      <t xml:space="preserve">Request STATUS TRANSAKSI dari MERCHANT
(PRODUK diterima, dashboard belum update)
</t>
    </r>
    <r>
      <rPr>
        <sz val="11"/>
        <color theme="1"/>
        <rFont val="Calibri"/>
        <family val="2"/>
      </rPr>
      <t xml:space="preserve">7900121700038986 /2026021340100119844 </t>
    </r>
  </si>
  <si>
    <r>
      <t xml:space="preserve">Request STATUS TRANSAKSI dari MERCHANT
(PRODUK diterima, dashboard belum update)
</t>
    </r>
    <r>
      <rPr>
        <sz val="11"/>
        <color theme="1"/>
        <rFont val="Calibri"/>
        <family val="2"/>
      </rPr>
      <t>7900121700098603</t>
    </r>
  </si>
  <si>
    <r>
      <t xml:space="preserve">Request STATUS TRANSAKSI dari MERCHANT
(PRODUK diterima, dashboard belum update)
</t>
    </r>
    <r>
      <rPr>
        <sz val="11"/>
        <color theme="1"/>
        <rFont val="Calibri"/>
        <family val="2"/>
      </rPr>
      <t>7900125000081846</t>
    </r>
  </si>
  <si>
    <r>
      <t xml:space="preserve">Request STATUS TRANSAKSI dari MERCHANT
(PRODUK diterima, dashboard belum update)
</t>
    </r>
    <r>
      <rPr>
        <sz val="11"/>
        <color theme="1"/>
        <rFont val="Calibri"/>
        <family val="2"/>
      </rPr>
      <t>7900125000071732</t>
    </r>
  </si>
  <si>
    <r>
      <t xml:space="preserve">Request STATUS TRANSAKSI dari MERCHANT
(PRODUK diterima, dashboard belum update)
</t>
    </r>
    <r>
      <rPr>
        <sz val="11"/>
        <color theme="1"/>
        <rFont val="Calibri"/>
        <family val="2"/>
      </rPr>
      <t>0000000MKFSVC</t>
    </r>
  </si>
  <si>
    <r>
      <t xml:space="preserve">Request STATUS TRANSAKSI
(PRODUK Tdk Diterima, namun ada bukti TRANSFER)
</t>
    </r>
    <r>
      <rPr>
        <sz val="11"/>
        <color theme="1"/>
        <rFont val="Calibri"/>
        <family val="2"/>
      </rPr>
      <t xml:space="preserve">
602539449029</t>
    </r>
  </si>
  <si>
    <r>
      <t xml:space="preserve">Request STATUS TRANSAKSI
(PRODUK Tdk Diterima, namun ada bukti TRANSFER)
</t>
    </r>
    <r>
      <rPr>
        <sz val="11"/>
        <color theme="1"/>
        <rFont val="Calibri"/>
        <family val="2"/>
      </rPr>
      <t xml:space="preserve">
NACL1366835049 / 7900125000098969</t>
    </r>
  </si>
  <si>
    <r>
      <t xml:space="preserve">Request STATUS TRANSAKSI
(PRODUK Tdk Diterima, namun ada bukti TRANSFER)
</t>
    </r>
    <r>
      <rPr>
        <sz val="11"/>
        <color theme="1"/>
        <rFont val="Calibri"/>
        <family val="2"/>
      </rPr>
      <t xml:space="preserve">
NACL1366854083 / 8903910125032116</t>
    </r>
  </si>
  <si>
    <r>
      <t xml:space="preserve">Request STATUS TRANSAKSI
(PRODUK Tdk Diterima, namun ada bukti TRANSFER)
</t>
    </r>
    <r>
      <rPr>
        <sz val="11"/>
        <color theme="1"/>
        <rFont val="Calibri"/>
        <family val="2"/>
      </rPr>
      <t xml:space="preserve">
NACL1366339379 / 7900125000008298</t>
    </r>
  </si>
  <si>
    <r>
      <t xml:space="preserve">Request STATUS TRANSAKSI
(PRODUK Tdk Diterima, namun ada bukti TRANSFER)
</t>
    </r>
    <r>
      <rPr>
        <sz val="11"/>
        <color theme="1"/>
        <rFont val="Calibri"/>
        <family val="2"/>
      </rPr>
      <t xml:space="preserve">
NACL1366857934 / 7900125000086885</t>
    </r>
  </si>
  <si>
    <r>
      <t xml:space="preserve">Request STATUS TRANSAKSI
(PRODUK Tdk Diterima, namun ada bukti TRANSFER)
</t>
    </r>
    <r>
      <rPr>
        <sz val="11"/>
        <color theme="1"/>
        <rFont val="Calibri"/>
        <family val="2"/>
      </rPr>
      <t xml:space="preserve">
NACL1366854859 / 7900125000094512</t>
    </r>
  </si>
  <si>
    <r>
      <t xml:space="preserve">Request STATUS TRANSAKSI
(PRODUK Tdk Diterima, namun ada bukti TRANSFER)
</t>
    </r>
    <r>
      <rPr>
        <sz val="11"/>
        <color theme="1"/>
        <rFont val="Calibri"/>
        <family val="2"/>
      </rPr>
      <t xml:space="preserve">
NACL1367175675 / 018240468277</t>
    </r>
  </si>
  <si>
    <r>
      <t xml:space="preserve">Request STATUS TRANSAKSI
(PRODUK Tdk Diterima, namun ada bukti TRANSFER)
</t>
    </r>
    <r>
      <rPr>
        <sz val="11"/>
        <color theme="1"/>
        <rFont val="Calibri"/>
        <family val="2"/>
      </rPr>
      <t xml:space="preserve">
NACL1367176561 / 000213702490</t>
    </r>
  </si>
  <si>
    <r>
      <t xml:space="preserve">Request STATUS TRANSAKSI dari MERCHANT
(PRODUK diterima, dashboard belum update)
</t>
    </r>
    <r>
      <rPr>
        <sz val="11"/>
        <color theme="1"/>
        <rFont val="Calibri"/>
        <family val="2"/>
      </rPr>
      <t>7900125000051597 / NACL1366854581</t>
    </r>
  </si>
  <si>
    <r>
      <t xml:space="preserve">Request STATUS TRANSAKSI
(PRODUK Tdk Diterima, namun ada bukti TRANSFER)
</t>
    </r>
    <r>
      <rPr>
        <sz val="11"/>
        <color theme="1"/>
        <rFont val="Calibri"/>
        <family val="2"/>
      </rPr>
      <t xml:space="preserve">
7900125000060295 / NACL1366855505 </t>
    </r>
  </si>
  <si>
    <r>
      <t xml:space="preserve">Request STATUS TRANSAKSI
(PRODUK Tdk Diterima, namun ada bukti TRANSFER)
</t>
    </r>
    <r>
      <rPr>
        <sz val="11"/>
        <color theme="1"/>
        <rFont val="Calibri"/>
        <family val="2"/>
      </rPr>
      <t xml:space="preserve">
7900125000012062 / NACL1366854518 </t>
    </r>
  </si>
  <si>
    <r>
      <t xml:space="preserve">Request STATUS TRANSAKSI
(PRODUK Tdk Diterima, namun ada bukti TRANSFER)
</t>
    </r>
    <r>
      <rPr>
        <sz val="11"/>
        <color theme="1"/>
        <rFont val="Calibri"/>
        <family val="2"/>
      </rPr>
      <t xml:space="preserve">
NACL1366706815 / 7900125000079992</t>
    </r>
  </si>
  <si>
    <r>
      <t xml:space="preserve">Request STATUS TRANSAKSI
(PRODUK Tdk Diterima, namun ada bukti TRANSFER)
</t>
    </r>
    <r>
      <rPr>
        <sz val="11"/>
        <color theme="1"/>
        <rFont val="Calibri"/>
        <family val="2"/>
      </rPr>
      <t xml:space="preserve">
NACL1367176272 / 1lpaiiv08236 </t>
    </r>
  </si>
  <si>
    <r>
      <t xml:space="preserve">Request STATUS TRANSAKSI dari MERCHANT
(PRODUK diterima, dashboard belum update)
</t>
    </r>
    <r>
      <rPr>
        <sz val="11"/>
        <color theme="1"/>
        <rFont val="Calibri"/>
        <family val="2"/>
      </rPr>
      <t>NACL1369297935 RRN 000245991398
NACL1369297562 RRN 000245988557
NACL1369290465 No ref: 000000MPVMDZ
NACL1369281125 RRN 000245874754
NACL1369281242 No ref: 000000MPVJPS
NACL1369281235 RRN 017819672633
NACL1369281125 RRN 000245874754</t>
    </r>
  </si>
  <si>
    <r>
      <t xml:space="preserve">Request STATUS TRANSAKSI
(PRODUK Tdk Diterima, namun ada bukti TRANSFER)
</t>
    </r>
    <r>
      <rPr>
        <sz val="11"/>
        <color theme="1"/>
        <rFont val="Calibri"/>
        <family val="2"/>
      </rPr>
      <t xml:space="preserve">
NACL1367717823 / 018010459709</t>
    </r>
  </si>
  <si>
    <r>
      <t xml:space="preserve">Request STATUS TRANSAKSI
(PRODUK Tdk Diterima, namun ada bukti TRANSFER)
</t>
    </r>
    <r>
      <rPr>
        <sz val="11"/>
        <color theme="1"/>
        <rFont val="Calibri"/>
        <family val="2"/>
      </rPr>
      <t xml:space="preserve">
7900125000001990 / NACL1368236774 </t>
    </r>
  </si>
  <si>
    <r>
      <t xml:space="preserve">Request STATUS TRANSAKSI dari MERCHANT
(PRODUK diterima, dashboard belum update)
</t>
    </r>
    <r>
      <rPr>
        <sz val="11"/>
        <color theme="1"/>
        <rFont val="Calibri"/>
        <family val="2"/>
      </rPr>
      <t>7900121700073313</t>
    </r>
  </si>
  <si>
    <r>
      <t xml:space="preserve">Request STATUS TRANSAKSI
(PRODUK Tdk Diterima, namun ada bukti TRANSFER)
</t>
    </r>
    <r>
      <rPr>
        <sz val="11"/>
        <color theme="1"/>
        <rFont val="Calibri"/>
        <family val="2"/>
      </rPr>
      <t xml:space="preserve">
7900117900024848</t>
    </r>
  </si>
  <si>
    <r>
      <t xml:space="preserve">Request STATUS TRANSAKSI
(PRODUK Tdk Diterima, namun ada bukti TRANSFER)
</t>
    </r>
    <r>
      <rPr>
        <sz val="11"/>
        <color theme="1"/>
        <rFont val="Calibri"/>
        <family val="2"/>
      </rPr>
      <t xml:space="preserve">
4041910117901473</t>
    </r>
  </si>
  <si>
    <r>
      <t xml:space="preserve">Request STATUS TRANSAKSI dari MERCHANT
(PRODUK diterima, dashboard belum update)
</t>
    </r>
    <r>
      <rPr>
        <sz val="11"/>
        <color theme="1"/>
        <rFont val="Calibri"/>
        <family val="2"/>
      </rPr>
      <t>0012214022667443438 / 000245947200
0012214022667443438 / 000245947200</t>
    </r>
  </si>
  <si>
    <r>
      <t xml:space="preserve">Request STATUS TRANSAKSI dari MERCHANT
(PRODUK diterima, dashboard belum update)
</t>
    </r>
    <r>
      <rPr>
        <sz val="11"/>
        <color theme="1"/>
        <rFont val="Calibri"/>
        <family val="2"/>
      </rPr>
      <t>NACL1369281077 / 1lqhrmh65214 
NACL1369297979 / 000245991440</t>
    </r>
  </si>
  <si>
    <r>
      <t xml:space="preserve">Request STATUS TRANSAKSI dari MERCHANT
(PRODUK diterima, dashboard belum update)
</t>
    </r>
    <r>
      <rPr>
        <sz val="11"/>
        <color theme="1"/>
        <rFont val="Calibri"/>
        <family val="2"/>
      </rPr>
      <t xml:space="preserve">NACL1370081169
RRN 021511464333  </t>
    </r>
  </si>
  <si>
    <r>
      <t xml:space="preserve">Request STATUS TRANSAKSI dari MERCHANT
(PRODUK diterima, dashboard belum update)
</t>
    </r>
    <r>
      <rPr>
        <sz val="11"/>
        <color theme="1"/>
        <rFont val="Calibri"/>
        <family val="2"/>
      </rPr>
      <t>NACL1370094414 // 602559464466</t>
    </r>
  </si>
  <si>
    <r>
      <t xml:space="preserve">Request STATUS TRANSAKSI dari MERCHANT
(PRODUK diterima, dashboard belum update)
</t>
    </r>
    <r>
      <rPr>
        <sz val="11"/>
        <color theme="1"/>
        <rFont val="Calibri"/>
        <family val="2"/>
      </rPr>
      <t>NACL1369300081 // 246038359</t>
    </r>
  </si>
  <si>
    <r>
      <t xml:space="preserve">Request STATUS TRANSAKSI dari MERCHANT
(PRODUK diterima, dashboard belum update)
</t>
    </r>
    <r>
      <rPr>
        <sz val="11"/>
        <color theme="1"/>
        <rFont val="Calibri"/>
        <family val="2"/>
      </rPr>
      <t>NACL1370072642 // 255910115</t>
    </r>
  </si>
  <si>
    <r>
      <t xml:space="preserve">Request STATUS TRANSAKSI dari MERCHANT
(PRODUK diterima, dashboard belum update)
</t>
    </r>
    <r>
      <rPr>
        <sz val="11"/>
        <color theme="1"/>
        <rFont val="Calibri"/>
        <family val="2"/>
      </rPr>
      <t>NACL1370075075 // 976138035006</t>
    </r>
  </si>
  <si>
    <r>
      <t xml:space="preserve">Request STATUS TRANSAKSI dari MERCHANT
(PRODUK diterima, dashboard belum update)
</t>
    </r>
    <r>
      <rPr>
        <sz val="11"/>
        <color theme="1"/>
        <rFont val="Calibri"/>
        <family val="2"/>
      </rPr>
      <t>NACL1370115936 // 017987442822</t>
    </r>
  </si>
  <si>
    <r>
      <t xml:space="preserve">Request STATUS TRANSAKSI dari MERCHANT
(PRODUK diterima, dashboard belum update)
</t>
    </r>
    <r>
      <rPr>
        <sz val="11"/>
        <color theme="1"/>
        <rFont val="Calibri"/>
        <family val="2"/>
      </rPr>
      <t>NACL1370115608 // 257122900</t>
    </r>
  </si>
  <si>
    <r>
      <t xml:space="preserve">Request STATUS TRANSAKSI dari MERCHANT
(PRODUK diterima, dashboard belum update)
</t>
    </r>
    <r>
      <rPr>
        <sz val="11"/>
        <color theme="1"/>
        <rFont val="Calibri"/>
        <family val="2"/>
      </rPr>
      <t>NACL1370132235 // 257670331</t>
    </r>
  </si>
  <si>
    <r>
      <t xml:space="preserve">Request STATUS TRANSAKSI dari MERCHANT
(PRODUK diterima, dashboard belum update)
</t>
    </r>
    <r>
      <rPr>
        <sz val="11"/>
        <color theme="1"/>
        <rFont val="Calibri"/>
        <family val="2"/>
      </rPr>
      <t>NACL1370134627 // 257762310</t>
    </r>
  </si>
  <si>
    <r>
      <t xml:space="preserve">Request STATUS TRANSAKSI dari MERCHANT
(PRODUK diterima, dashboard belum update)
</t>
    </r>
    <r>
      <rPr>
        <sz val="11"/>
        <color theme="1"/>
        <rFont val="Calibri"/>
        <family val="2"/>
      </rPr>
      <t>NACL1370142485 // 258010016</t>
    </r>
  </si>
  <si>
    <r>
      <t xml:space="preserve">Request STATUS TRANSAKSI dari MERCHANT
(PRODUK diterima, dashboard belum update)
</t>
    </r>
    <r>
      <rPr>
        <sz val="11"/>
        <color theme="1"/>
        <rFont val="Calibri"/>
        <family val="2"/>
      </rPr>
      <t>NACL1370091332 // 000000MRHMHN</t>
    </r>
  </si>
  <si>
    <r>
      <t xml:space="preserve">Request STATUS TRANSAKSI dari MERCHANT
(PRODUK diterima, dashboard belum update)
</t>
    </r>
    <r>
      <rPr>
        <sz val="11"/>
        <color theme="1"/>
        <rFont val="Calibri"/>
        <family val="2"/>
      </rPr>
      <t>NACL1370122054 // 001005859335</t>
    </r>
  </si>
  <si>
    <r>
      <t xml:space="preserve">Request STATUS TRANSAKSI dari MERCHANT
(PRODUK diterima, dashboard belum update)
</t>
    </r>
    <r>
      <rPr>
        <sz val="11"/>
        <color theme="1"/>
        <rFont val="Calibri"/>
        <family val="2"/>
      </rPr>
      <t>NACL1370104678 // 256850473</t>
    </r>
  </si>
  <si>
    <r>
      <t xml:space="preserve">Request STATUS TRANSAKSI dari MERCHANT
(PRODUK diterima, dashboard belum update)
</t>
    </r>
    <r>
      <rPr>
        <sz val="11"/>
        <color theme="1"/>
        <rFont val="Calibri"/>
        <family val="2"/>
      </rPr>
      <t>NACL1370129272 // 602550801833</t>
    </r>
  </si>
  <si>
    <r>
      <t xml:space="preserve">Request STATUS TRANSAKSI dari MERCHANT
(PRODUK diterima, dashboard belum update)
</t>
    </r>
    <r>
      <rPr>
        <sz val="11"/>
        <color theme="1"/>
        <rFont val="Calibri"/>
        <family val="2"/>
      </rPr>
      <t>NACL1370117797 // 1lr51pt26990</t>
    </r>
  </si>
  <si>
    <r>
      <t xml:space="preserve">Request STATUS TRANSAKSI dari MERCHANT
(PRODUK diterima, dashboard belum update)
</t>
    </r>
    <r>
      <rPr>
        <sz val="11"/>
        <color theme="1"/>
        <rFont val="Calibri"/>
        <family val="2"/>
      </rPr>
      <t>NACL1370082719 // 256174313</t>
    </r>
  </si>
  <si>
    <r>
      <t xml:space="preserve">Request STATUS TRANSAKSI dari MERCHANT
(PRODUK diterima, dashboard belum update)
</t>
    </r>
    <r>
      <rPr>
        <sz val="11"/>
        <color theme="1"/>
        <rFont val="Calibri"/>
        <family val="2"/>
      </rPr>
      <t>NACL1370138283 // 1lr5opl47953</t>
    </r>
  </si>
  <si>
    <r>
      <t xml:space="preserve">Request STATUS TRANSAKSI dari MERCHANT
(PRODUK diterima, dashboard belum update)
</t>
    </r>
    <r>
      <rPr>
        <sz val="11"/>
        <color theme="1"/>
        <rFont val="Calibri"/>
        <family val="2"/>
      </rPr>
      <t>T001230869800QIRHW
7900117900035323</t>
    </r>
  </si>
  <si>
    <r>
      <t xml:space="preserve">Request STATUS TRANSAKSI dari MERCHANT
(PRODUK diterima, dashboard belum update)
</t>
    </r>
    <r>
      <rPr>
        <sz val="11"/>
        <color theme="1"/>
        <rFont val="Calibri"/>
        <family val="2"/>
      </rPr>
      <t>NACL1370123787 / 018022395802</t>
    </r>
  </si>
  <si>
    <r>
      <t xml:space="preserve">Request STATUS TRANSAKSI dari MERCHANT
(PRODUK diterima, dashboard belum update)
</t>
    </r>
    <r>
      <rPr>
        <sz val="11"/>
        <color theme="1"/>
        <rFont val="Calibri"/>
        <family val="2"/>
      </rPr>
      <t>NACL1370114801 / 976155509926</t>
    </r>
  </si>
  <si>
    <r>
      <t xml:space="preserve">Request STATUS TRANSAKSI dari MERCHANT
(PRODUK diterima, dashboard belum update)
</t>
    </r>
    <r>
      <rPr>
        <sz val="11"/>
        <color theme="1"/>
        <rFont val="Calibri"/>
        <family val="2"/>
      </rPr>
      <t>NACL1370110066 / 976154527770</t>
    </r>
  </si>
  <si>
    <r>
      <t xml:space="preserve">Request STATUS TRANSAKSI dari MERCHANT
(PRODUK diterima, dashboard belum update)
</t>
    </r>
    <r>
      <rPr>
        <sz val="11"/>
        <color theme="1"/>
        <rFont val="Calibri"/>
        <family val="2"/>
      </rPr>
      <t>NACL1370088025 / 319292348608
NACL1370112965 / 017791140949
NACL1370094098 / 602559463598</t>
    </r>
  </si>
  <si>
    <r>
      <t xml:space="preserve">Request STATUS TRANSAKSI dari MERCHANT
(PRODUK diterima, dashboard belum update)
</t>
    </r>
    <r>
      <rPr>
        <sz val="11"/>
        <color theme="1"/>
        <rFont val="Calibri"/>
        <family val="2"/>
      </rPr>
      <t>NACL1370103355 / 018096275529
NACL1370097281 / 000000MRJ6YL
NACL1370124893 / 257442783
NACL1370132899 / 001005883196</t>
    </r>
  </si>
  <si>
    <r>
      <t xml:space="preserve">Request STATUS TRANSAKSI dari MERCHANT
(PRODUK diterima, dashboard belum update)
</t>
    </r>
    <r>
      <rPr>
        <sz val="11"/>
        <color theme="1"/>
        <rFont val="Calibri"/>
        <family val="2"/>
      </rPr>
      <t>NACL1370123129 / 296a03fb1778
NACL1370126785 / 257531270</t>
    </r>
  </si>
  <si>
    <r>
      <t xml:space="preserve">Request STATUS TRANSAKSI dari MERCHANT
(PRODUK diterima, dashboard belum update)
</t>
    </r>
    <r>
      <rPr>
        <sz val="11"/>
        <color theme="1"/>
        <rFont val="Calibri"/>
        <family val="2"/>
      </rPr>
      <t>NACL1369294518 / 602548312706</t>
    </r>
  </si>
  <si>
    <r>
      <t xml:space="preserve">Request STATUS TRANSAKSI dari MERCHANT
(PRODUK diterima, dashboard belum update)
</t>
    </r>
    <r>
      <rPr>
        <sz val="11"/>
        <color theme="1"/>
        <rFont val="Calibri"/>
        <family val="2"/>
      </rPr>
      <t>NACL1365776982 / 7900125000071732</t>
    </r>
  </si>
  <si>
    <r>
      <t xml:space="preserve">Request STATUS TRANSAKSI
(PRODUK Tdk Diterima, namun ada bukti TRANSFER)
</t>
    </r>
    <r>
      <rPr>
        <sz val="11"/>
        <color theme="1"/>
        <rFont val="Calibri"/>
        <family val="2"/>
      </rPr>
      <t xml:space="preserve">
7900125000090368</t>
    </r>
  </si>
  <si>
    <r>
      <t xml:space="preserve">Request STATUS TRANSAKSI
(PRODUK Tdk Diterima, namun ada bukti TRANSFER)
</t>
    </r>
    <r>
      <rPr>
        <sz val="11"/>
        <color theme="1"/>
        <rFont val="Calibri"/>
        <family val="2"/>
      </rPr>
      <t xml:space="preserve">
7900121700010913
2026021640100617501     </t>
    </r>
  </si>
  <si>
    <r>
      <t xml:space="preserve">Request BUKTI TRANSAKSI VOA dari BANK
(Customer sanggah transaksi CC atas penerbitan Visa)
</t>
    </r>
    <r>
      <rPr>
        <sz val="11"/>
        <color theme="1"/>
        <rFont val="Calibri"/>
        <family val="2"/>
      </rPr>
      <t>Permohonan bukti transaksi merchant PRISMALINK #18022026 JCB</t>
    </r>
  </si>
  <si>
    <r>
      <t>Surat FRAUD dari BANK
(Dana Terpotong, Produk Tdk Diterima)</t>
    </r>
    <r>
      <rPr>
        <sz val="11"/>
        <color theme="1"/>
        <rFont val="Calibri"/>
        <family val="2"/>
      </rPr>
      <t xml:space="preserve">
[Obb37ffa] Indikasi Penipuan: BAYAR2.COM/18022026/027
PT Kreasi Kode Kreatif
7900119200516784	5679000</t>
    </r>
  </si>
  <si>
    <r>
      <t xml:space="preserve">Request STATUS TRANSAKSI
(PRODUK Tdk Diterima, namun ada bukti TRANSFER)
</t>
    </r>
    <r>
      <rPr>
        <sz val="11"/>
        <color theme="1"/>
        <rFont val="Calibri"/>
        <family val="2"/>
      </rPr>
      <t xml:space="preserve">
[spam][Bitdefender scam detection] Pesan Baru! Form Hubungi Kami
PT Daya Net Gemilang
4041910125063028	11000000</t>
    </r>
  </si>
  <si>
    <r>
      <t xml:space="preserve">Request STATUS TRANSAKSI
(PRODUK Tdk Diterima, namun ada bukti TRANSFER)
</t>
    </r>
    <r>
      <rPr>
        <sz val="11"/>
        <color theme="1"/>
        <rFont val="Calibri"/>
        <family val="2"/>
      </rPr>
      <t xml:space="preserve">
[O550f45b] Rekap : 06/VA ONLINE/BAYAR2.COM
PT Envoiz Digital Indonesia
7900124900090110	500000
7900124900013783	1800000
PT Daya Net Gemilang
7900125000090943	320000
7900125000027358	20000000
7900125000054833	10000000
7900125000086593	500000
PT TEKNOLOGI AWAN CERAH
7900121700037987	50000</t>
    </r>
  </si>
  <si>
    <r>
      <t xml:space="preserve">Request REFUND TRANSAKSI
(Product tidak diterima dan Cust request refund)
</t>
    </r>
    <r>
      <rPr>
        <sz val="11"/>
        <color theme="1"/>
        <rFont val="Calibri"/>
        <family val="2"/>
      </rPr>
      <t>Refund 18 Feb 2026
JP-019-260218-183736	18-02-2026	18:37:37	15500
JP-013-260218-160121	18-02-2026	16:01:22	5000
JP-019-260218-123101	18-02-2026	12:31:02	19528
JP-006-260218-075509	18-02-2026	07:55:10	37800
JP-001-260218-060525	18-02-2026	06:05:26	17359</t>
    </r>
  </si>
  <si>
    <r>
      <t xml:space="preserve">Request BUKTI TRANSAKSI VOA dari BANK
(Customer sanggah transaksi CC atas penerbitan Visa)
</t>
    </r>
    <r>
      <rPr>
        <sz val="11"/>
        <color theme="1"/>
        <rFont val="Calibri"/>
        <family val="2"/>
      </rPr>
      <t>PERMOHONAN BUKTI TRANSAKSI PRISMALINK*IND VISAARR #19/02/2026 24 RX</t>
    </r>
  </si>
  <si>
    <r>
      <t>Surat FRAUD dari BANK
(Dana Terpotong, Produk Tdk Diterima)</t>
    </r>
    <r>
      <rPr>
        <sz val="11"/>
        <color theme="1"/>
        <rFont val="Calibri"/>
        <family val="2"/>
      </rPr>
      <t xml:space="preserve">
[O748a414] Indikasi Penipuan: BAYAR2.COM/19022026/028
PT Kreasi Kode Kreatif
7900119200524232	8536680</t>
    </r>
  </si>
  <si>
    <r>
      <t>Surat FRAUD dari BANK
(Dana Terpotong, Produk Tdk Diterima)</t>
    </r>
    <r>
      <rPr>
        <sz val="11"/>
        <color theme="1"/>
        <rFont val="Calibri"/>
        <family val="2"/>
      </rPr>
      <t xml:space="preserve">
[Oc023569] Indikasi Penipuan: BAYAR2.COM/19022026/029
PT Kreasi Kode Kreatif
7900119200478346	1600000</t>
    </r>
  </si>
  <si>
    <r>
      <t>Surat FRAUD dari BANK
(Dana Terpotong, Produk Tdk Diterima)</t>
    </r>
    <r>
      <rPr>
        <sz val="11"/>
        <color theme="1"/>
        <rFont val="Calibri"/>
        <family val="2"/>
      </rPr>
      <t xml:space="preserve">
[O9c6e4b7] Indikasi Penipuan: BAYAR2.COM/19022026/030
PT Envoiz Digital Indonesia
7900124900074226	2000000
7900124900008872	400000
7900124900095965	2500000
7900124900047442	500000
PT Daya Net Gemilang
7900125000047245	500000
7900125000085974	4500000</t>
    </r>
  </si>
  <si>
    <r>
      <t>Surat FRAUD dari BANK
(Dana Terpotong, Produk Tdk Diterima)</t>
    </r>
    <r>
      <rPr>
        <sz val="11"/>
        <color theme="1"/>
        <rFont val="Calibri"/>
        <family val="2"/>
      </rPr>
      <t xml:space="preserve">
Penipuan melalui prisma link (SEGERA BEKUKAN)
PT TEKNOLOGI AWAN CERAH
7900121700073485	1500000
PT Kreasi Kode Kreatif
7900119200528237	1600000</t>
    </r>
  </si>
  <si>
    <r>
      <t xml:space="preserve">Request BUKTI TRANSAKSI VOA dari BANK
(Customer sanggah transaksi CC atas penerbitan Visa)
</t>
    </r>
    <r>
      <rPr>
        <sz val="11"/>
        <color theme="1"/>
        <rFont val="Calibri"/>
        <family val="2"/>
      </rPr>
      <t>KONFIRMASI CHARGEBACK Prismalink*IND VISAARR 19/02/2026 33 TRX</t>
    </r>
  </si>
  <si>
    <r>
      <t xml:space="preserve">Request REFUND TRANSAKSI
(Product tidak diterima dan Cust request refund)
</t>
    </r>
    <r>
      <rPr>
        <sz val="11"/>
        <color theme="1"/>
        <rFont val="Calibri"/>
        <family val="2"/>
      </rPr>
      <t>Refund 19 Februari 2026
JP-001-260219-200200	19-02-2026	20:02:01	13000
JP-018-260219-112759	19-02-2026	11:28:00	12412</t>
    </r>
  </si>
  <si>
    <r>
      <t xml:space="preserve">Request BUKTI TRANSAKSI VOA dari BANK
(Customer request payment receipt)
</t>
    </r>
    <r>
      <rPr>
        <sz val="11"/>
        <color theme="1"/>
        <rFont val="Calibri"/>
        <family val="2"/>
      </rPr>
      <t>EVISA Payment</t>
    </r>
  </si>
  <si>
    <r>
      <t xml:space="preserve">Request BUKTI TRANSAKSI VOA dari BANK
(Customer request payment receipt)
</t>
    </r>
    <r>
      <rPr>
        <sz val="11"/>
        <color theme="1"/>
        <rFont val="Calibri"/>
        <family val="2"/>
      </rPr>
      <t>Invoice for VISA B12E1100JB260368335</t>
    </r>
  </si>
  <si>
    <r>
      <t>Surat FRAUD dari BANK
(Dana Terpotong, Produk Tdk Diterima)</t>
    </r>
    <r>
      <rPr>
        <sz val="11"/>
        <color theme="1"/>
        <rFont val="Calibri"/>
        <family val="2"/>
      </rPr>
      <t xml:space="preserve">
[O2b46036] Indikasi Penipuan: BAYAR2.COM/20022026/031
PT Kreasi Kode Kreatif
7900119200499089	3400000</t>
    </r>
  </si>
  <si>
    <r>
      <t xml:space="preserve">Request STATUS TRANSAKSI dari BANK (ACQ NOBU)
(PRODUK Tdk Diterima Customer, 
SWITCHING &amp; ACQ telah credit dana)
</t>
    </r>
    <r>
      <rPr>
        <sz val="11"/>
        <color theme="1"/>
        <rFont val="Calibri"/>
        <family val="2"/>
      </rPr>
      <t>DISPUTE 19022026 PT PRISMALINK INTERNATIONAL
0011215022643362896
0011215022641605114</t>
    </r>
  </si>
  <si>
    <r>
      <t xml:space="preserve">Request STATUS TRANSAKSI dari MERCHANT
(PRODUK diterima, dashboard belum update)
</t>
    </r>
    <r>
      <rPr>
        <sz val="11"/>
        <color theme="1"/>
        <rFont val="Calibri"/>
        <family val="2"/>
      </rPr>
      <t>7900121700009950 / 2026020740100501246
8919101217465198 / 2026021240100079004</t>
    </r>
  </si>
  <si>
    <r>
      <t xml:space="preserve">Request STATUS TRANSAKSI dari MERCHANT
(PRODUK diterima, dashboard belum update)
</t>
    </r>
    <r>
      <rPr>
        <sz val="11"/>
        <color theme="1"/>
        <rFont val="Calibri"/>
        <family val="2"/>
      </rPr>
      <t>NACL1366876226</t>
    </r>
  </si>
  <si>
    <r>
      <t xml:space="preserve">Request STATUS TRANSAKSI dari MERCHANT
(PRODUK diterima, dashboard belum update)
</t>
    </r>
    <r>
      <rPr>
        <sz val="11"/>
        <color theme="1"/>
        <rFont val="Calibri"/>
        <family val="2"/>
      </rPr>
      <t>NACL1369094714</t>
    </r>
  </si>
  <si>
    <r>
      <t xml:space="preserve">Request STATUS TRANSAKSI
(PRODUK Tdk Diterima, namun ada bukti TRANSFER)
</t>
    </r>
    <r>
      <rPr>
        <sz val="11"/>
        <color theme="1"/>
        <rFont val="Calibri"/>
        <family val="2"/>
      </rPr>
      <t xml:space="preserve">
4041913211500257</t>
    </r>
  </si>
  <si>
    <r>
      <t xml:space="preserve">Request STATUS TRANSAKSI dari MERCHANT
(PRODUK diterima, dashboard belum update)
</t>
    </r>
    <r>
      <rPr>
        <sz val="11"/>
        <color theme="1"/>
        <rFont val="Calibri"/>
        <family val="2"/>
      </rPr>
      <t>2521100003-260215131938 / 602559694183</t>
    </r>
  </si>
  <si>
    <r>
      <t xml:space="preserve">Request STATUS TRANSAKSI dari MERCHANT
(PRODUK diterima, dashboard belum update)
</t>
    </r>
    <r>
      <rPr>
        <sz val="11"/>
        <color theme="1"/>
        <rFont val="Calibri"/>
        <family val="2"/>
      </rPr>
      <t>7900121700040304 
8919101217968414</t>
    </r>
  </si>
  <si>
    <r>
      <t xml:space="preserve">Request STATUS TRANSAKSI
(PRODUK Tdk Diterima, namun ada bukti TRANSFER)
</t>
    </r>
    <r>
      <rPr>
        <sz val="11"/>
        <color theme="1"/>
        <rFont val="Calibri"/>
        <family val="2"/>
      </rPr>
      <t xml:space="preserve">
7900117900010943</t>
    </r>
  </si>
  <si>
    <r>
      <t xml:space="preserve">Request STATUS TRANSAKSI
(PRODUK Tdk Diterima, namun ada bukti TRANSFER)
</t>
    </r>
    <r>
      <rPr>
        <sz val="11"/>
        <color theme="1"/>
        <rFont val="Calibri"/>
        <family val="2"/>
      </rPr>
      <t xml:space="preserve">
P85949764 dengan RRN 001016215755   </t>
    </r>
  </si>
  <si>
    <r>
      <t xml:space="preserve">Request STATUS TRANSAKSI
(PRODUK Tdk Diterima, namun ada bukti TRANSFER)
</t>
    </r>
    <r>
      <rPr>
        <sz val="11"/>
        <color theme="1"/>
        <rFont val="Calibri"/>
        <family val="2"/>
      </rPr>
      <t xml:space="preserve">
2189132221900002</t>
    </r>
  </si>
  <si>
    <r>
      <t xml:space="preserve">Request STATUS TRANSAKSI dari BANK (ACQ NOBU)
(PRODUK Tdk Diterima Customer, 
SWITCHING &amp; ACQ telah credit dana)
</t>
    </r>
    <r>
      <rPr>
        <sz val="11"/>
        <color theme="1"/>
        <rFont val="Calibri"/>
        <family val="2"/>
      </rPr>
      <t>DISPUTE 18022026 PT PRISMALINK INTERNATIONAL
0011813022699661068
0011110022618158535</t>
    </r>
  </si>
  <si>
    <r>
      <t xml:space="preserve">Request STATUS TRANSAKSI
(PRODUK Tdk Diterima, namun ada bukti TRANSFER)
</t>
    </r>
    <r>
      <rPr>
        <sz val="11"/>
        <color theme="1"/>
        <rFont val="Calibri"/>
        <family val="2"/>
      </rPr>
      <t xml:space="preserve">
7900124900009891 ID NACL1377974281   </t>
    </r>
  </si>
  <si>
    <r>
      <t xml:space="preserve">Request STATUS TRANSAKSI
(PRODUK Tdk Diterima, namun ada bukti TRANSFER)
</t>
    </r>
    <r>
      <rPr>
        <sz val="11"/>
        <color theme="1"/>
        <rFont val="Calibri"/>
        <family val="2"/>
      </rPr>
      <t xml:space="preserve">
79001192003810 / 2026022140100713854</t>
    </r>
  </si>
  <si>
    <r>
      <t xml:space="preserve">Request STATUS TRANSAKSI
(PRODUK Tdk Diterima, namun ada bukti TRANSFER)
</t>
    </r>
    <r>
      <rPr>
        <sz val="11"/>
        <color theme="1"/>
        <rFont val="Calibri"/>
        <family val="2"/>
      </rPr>
      <t xml:space="preserve">
7900119200538160</t>
    </r>
  </si>
  <si>
    <r>
      <t xml:space="preserve">Request STATUS TRANSAKSI dari BANK (ACQ NOBU)
(PRODUK Tdk Diterima Customer, 
SWITCHING &amp; ACQ telah credit dana)
</t>
    </r>
    <r>
      <rPr>
        <sz val="11"/>
        <color theme="1"/>
        <rFont val="Calibri"/>
        <family val="2"/>
      </rPr>
      <t>Dispute 20022026 PT PRISMALINK INTERNATIONAL
0011115022602263873
0011115022681044769</t>
    </r>
  </si>
  <si>
    <r>
      <t xml:space="preserve">Request REFUND TRANSAKSI
(Product tidak diterima dan Cust request refund)
</t>
    </r>
    <r>
      <rPr>
        <sz val="11"/>
        <color theme="1"/>
        <rFont val="Calibri"/>
        <family val="2"/>
      </rPr>
      <t>Refund 20,21,22 Februari 2026
JP-018-260220-184940	20-02-2026	18:49:41	12412
JP-017-260220-145546	20-02-2026	14:55:47	8200
JP-007-260220-084801	20-02-2026	08:48:05	5000
JP-018-260221-225132	21-02-2026	22:51:33	13000
JP-017-260221-105127	21-02-2026	10:51:28	8200
JP-006-260221-104731	21-02-2026	10:47:31	37800
JP-006-260221-104341	21-02-2026	10:43:42	37800
JP-017-260221-101650	21-02-2026	10:16:51	5000
JP-001-260221-071005	21-02-2026	07:10:06	11000
JP-017-260222-182500	22-02-2026	18:25:01	12412
JP-015-260222-160519	22-02-2026	16:05:20	15500
JP-013-260222-125158	22-02-2026	12:52:00	4392
JP-001-260222-122234	22-02-2026	12:22:36	12412
JP-019-260222-084500	22-02-2026	08:45:01	16000
JP-019-260222-084120	22-02-2026	08:41:21	16000</t>
    </r>
  </si>
  <si>
    <r>
      <t>Surat FRAUD dari BANK
(Dana Terpotong, Produk Tdk Diterima)</t>
    </r>
    <r>
      <rPr>
        <sz val="11"/>
        <color theme="1"/>
        <rFont val="Calibri"/>
        <family val="2"/>
      </rPr>
      <t xml:space="preserve">
[O4843077] Indikasi Penipuan: BAYAR2.COM/23022026/032
PT Kreasi Kode Kreatif
7900119200478171	1400000</t>
    </r>
  </si>
  <si>
    <r>
      <t xml:space="preserve">Request STATUS TRANSAKSI
(PRODUK Tdk Diterima, namun ada bukti TRANSFER)
Re: PERMINTAAN KLARIFIKASI RESMI - Transaksi VA 7900125000030059 Tertanggal 02-02-2026 sebesar IDR 10.200.000
</t>
    </r>
    <r>
      <rPr>
        <sz val="11"/>
        <color theme="1"/>
        <rFont val="Calibri"/>
        <family val="2"/>
      </rPr>
      <t>7900125000030059</t>
    </r>
  </si>
  <si>
    <r>
      <t>Surat FRAUD dari BANK
(Dana Terpotong, Produk Tdk Diterima)</t>
    </r>
    <r>
      <rPr>
        <sz val="11"/>
        <color theme="1"/>
        <rFont val="Calibri"/>
        <family val="2"/>
      </rPr>
      <t xml:space="preserve">
[O42985c6] Indikasi Penipuan: BAYAR2.COM/23022026/033
PT TEKNOLOGI AWAN CERAH
7900121700039587	1500000</t>
    </r>
  </si>
  <si>
    <r>
      <t xml:space="preserve">Request BUKTI TRANSAKSI VOA dari BANK
(Pengajuan Pre-Arb oleh Bank)
</t>
    </r>
    <r>
      <rPr>
        <sz val="11"/>
        <color theme="1"/>
        <rFont val="Calibri"/>
        <family val="2"/>
      </rPr>
      <t>KONFIRMASI PRE ARBITRASI Prismalink*IND VISAARR 23/02/2026 26 TRX</t>
    </r>
  </si>
  <si>
    <r>
      <t>Surat FRAUD dari BANK
(Dana Terpotong, Produk Tdk Diterima)</t>
    </r>
    <r>
      <rPr>
        <sz val="11"/>
        <color theme="1"/>
        <rFont val="Calibri"/>
        <family val="2"/>
      </rPr>
      <t xml:space="preserve">
[O948b325] Indikasi Penipuan: BAYAR2.COM/23022026/034
PT Envoiz Digital Indonesia
7900124900020332	100000000
PT Daya Net Gemilang
7900125000025722	100000000
7900125000054239	100000000</t>
    </r>
  </si>
  <si>
    <r>
      <t xml:space="preserve">Request STATUS TRANSAKSI (ACQ NOBU)
(PRODUK Tdk Diterima Customer, 
SWITCHING &amp; ACQ telah credit dana)
Surat DISPUTE dari NOBU
</t>
    </r>
    <r>
      <rPr>
        <sz val="11"/>
        <color theme="1"/>
        <rFont val="Calibri"/>
        <family val="2"/>
      </rPr>
      <t>DISPUTE 23022026 PT PRISMALINK INTERNATIONAL
0010413022673232630
0011118022655067913
0012312022666872929</t>
    </r>
  </si>
  <si>
    <r>
      <t xml:space="preserve">Request REFUND TRANSAKSI
(Product tidak diterima dan Cust request refund)
</t>
    </r>
    <r>
      <rPr>
        <sz val="11"/>
        <color theme="1"/>
        <rFont val="Calibri"/>
        <family val="2"/>
      </rPr>
      <t>Refund 23 Feb 2026
JP-001-260223-112225	23-02-2026	11:22:26	7289
JP-017-260223-104547	23-02-2026	10:45:50	8200
JP-001-260223-093632	23-02-2026	09:36:33	12412
JP-013-260223-002804	23-02-2026	00:28:06	5467</t>
    </r>
  </si>
  <si>
    <r>
      <t xml:space="preserve">Request STATUS TRANSAKSI
(PRODUK Tdk Diterima, namun ada bukti TRANSFER)
</t>
    </r>
    <r>
      <rPr>
        <sz val="11"/>
        <color theme="1"/>
        <rFont val="Calibri"/>
        <family val="2"/>
      </rPr>
      <t xml:space="preserve">
7900124900099922	1000000</t>
    </r>
  </si>
  <si>
    <r>
      <t xml:space="preserve">Request STATUS TRANSAKSI
(PRODUK Tdk Diterima, namun ada bukti TRANSFER)
</t>
    </r>
    <r>
      <rPr>
        <sz val="11"/>
        <color theme="1"/>
        <rFont val="Calibri"/>
        <family val="2"/>
      </rPr>
      <t xml:space="preserve">
RRN 456589067 NACL1380556062</t>
    </r>
  </si>
  <si>
    <r>
      <t xml:space="preserve">Request STATUS TRANSAKSI dari MERCHANT
(PRODUK diterima, dashboard belum update)
</t>
    </r>
    <r>
      <rPr>
        <sz val="11"/>
        <color theme="1"/>
        <rFont val="Calibri"/>
        <family val="2"/>
      </rPr>
      <t>7900121700061315</t>
    </r>
  </si>
  <si>
    <r>
      <t xml:space="preserve">Request BUKTI TRANSAKSI VOA dari BANK
(Customer sanggah transaksi CC atas penerbitan Visa)
</t>
    </r>
    <r>
      <rPr>
        <sz val="11"/>
        <color theme="1"/>
        <rFont val="Calibri"/>
        <family val="2"/>
      </rPr>
      <t>PERMOHONAN BUKTI TRANSAKSI PRISMALINK*IND VISAARR #25/02/2026 22 RX</t>
    </r>
  </si>
  <si>
    <r>
      <t xml:space="preserve">Request BUKTI TRANSAKSI VOA dari BANK
(Customer sanggah transaksi CC atas penerbitan Visa)
</t>
    </r>
    <r>
      <rPr>
        <sz val="11"/>
        <color theme="1"/>
        <rFont val="Calibri"/>
        <family val="2"/>
      </rPr>
      <t>PERMOHONAN BUKTI TRANSAKSI PRISMALINK*PT EIZEM IN #25/02/2026 1 TRX</t>
    </r>
  </si>
  <si>
    <r>
      <t xml:space="preserve">Request BUKTI TRANSAKSI VOA dari BANK
(Customer sanggah transaksi CC atas penerbitan Visa)
</t>
    </r>
    <r>
      <rPr>
        <sz val="11"/>
        <color theme="1"/>
        <rFont val="Calibri"/>
        <family val="2"/>
      </rPr>
      <t>Failed ATM Withdrawal – Lombok Airport – 04 February 2026</t>
    </r>
  </si>
  <si>
    <r>
      <t xml:space="preserve">Request BUKTI TRANSAKSI VOA dari BANK
(Pengajuan Pre-Arb oleh Bank)
</t>
    </r>
    <r>
      <rPr>
        <sz val="11"/>
        <color theme="1"/>
        <rFont val="Calibri"/>
        <family val="2"/>
      </rPr>
      <t>KONFIRMASI PRE ARBITRASI Prismalink*IND VISAARR 25/02/2026 33 TRX</t>
    </r>
  </si>
  <si>
    <r>
      <t xml:space="preserve">Request BUKTI TRANSAKSI VOA dari BANK
(Pengajuan Pre-Arb oleh Bank)
</t>
    </r>
    <r>
      <rPr>
        <sz val="11"/>
        <color theme="1"/>
        <rFont val="Calibri"/>
        <family val="2"/>
      </rPr>
      <t>KONFIRMASI PRE ARBITRASI PRISMALINK*PT CERDIK K 25/02/2026 1 TRX</t>
    </r>
  </si>
  <si>
    <r>
      <t xml:space="preserve">Request STATUS TRANSAKSI
(PRODUK Tdk Diterima, namun ada bukti TRANSFER)
</t>
    </r>
    <r>
      <rPr>
        <sz val="11"/>
        <color theme="1"/>
        <rFont val="Calibri"/>
        <family val="2"/>
      </rPr>
      <t xml:space="preserve">
NACL1364325455 / 000171597831</t>
    </r>
  </si>
  <si>
    <r>
      <t xml:space="preserve">Request STATUS TRANSAKSI
(PRODUK Tdk Diterima, namun ada bukti TRANSFER)
</t>
    </r>
    <r>
      <rPr>
        <sz val="11"/>
        <color theme="1"/>
        <rFont val="Calibri"/>
        <family val="2"/>
      </rPr>
      <t xml:space="preserve">
P86310732
P86310127</t>
    </r>
  </si>
  <si>
    <r>
      <t xml:space="preserve">Request STATUS TRANSAKSI
(PRODUK Tdk Diterima, namun ada bukti TRANSFER)
</t>
    </r>
    <r>
      <rPr>
        <sz val="11"/>
        <color theme="1"/>
        <rFont val="Calibri"/>
        <family val="2"/>
      </rPr>
      <t xml:space="preserve">
7900125000002770 // ID NACL1381985184 </t>
    </r>
  </si>
  <si>
    <r>
      <t xml:space="preserve">Request STATUS TRANSAKSI dari MERCHANT
(PRODUK diterima, dashboard belum update)
</t>
    </r>
    <r>
      <rPr>
        <sz val="11"/>
        <color theme="1"/>
        <rFont val="Calibri"/>
        <family val="2"/>
      </rPr>
      <t>2511110028-260210110146 / 118234269</t>
    </r>
  </si>
  <si>
    <r>
      <t xml:space="preserve">Request STATUS TRANSAKSI dari MERCHANT
(PRODUK diterima, dashboard belum update)
</t>
    </r>
    <r>
      <rPr>
        <sz val="11"/>
        <color theme="1"/>
        <rFont val="Calibri"/>
        <family val="2"/>
      </rPr>
      <t>7900121700059960</t>
    </r>
  </si>
  <si>
    <r>
      <t>Surat FRAUD dari BANK
(Dana Terpotong, Produk Tdk Diterima)</t>
    </r>
    <r>
      <rPr>
        <sz val="11"/>
        <color theme="1"/>
        <rFont val="Calibri"/>
        <family val="2"/>
      </rPr>
      <t xml:space="preserve">
Pengecekan transakasi VA 7900119200553113 
PT Kreasi Kode Kreatif
7900119200553113	1700000</t>
    </r>
  </si>
  <si>
    <r>
      <t xml:space="preserve">Request REFUND TRANSAKSI
(Product tidak diterima dan Cust request refund)
</t>
    </r>
    <r>
      <rPr>
        <sz val="11"/>
        <color theme="1"/>
        <rFont val="Calibri"/>
        <family val="2"/>
      </rPr>
      <t>Refund 25 Feb 2026
JP-017-260225-192155	25-02-2026	19:21:56	8200
JP-001-260225-150228	25-02-2026	15:02:30	12412
JP-001-260225-111532	25-02-2026	11:15:33	6000
JP-006-260225-101058	25-02-2026	10:10:59	10000
JP-017-260225-063932	25-02-2026	06:39:33	9000
JP-018-260225-021644	25-02-2026	02:16:46	12412</t>
    </r>
  </si>
  <si>
    <r>
      <t xml:space="preserve">Request BUKTI TRANSAKSI VOA dari BANK
(Pengajuan Pre-Arb oleh Bank)
</t>
    </r>
    <r>
      <rPr>
        <sz val="11"/>
        <color theme="1"/>
        <rFont val="Calibri"/>
        <family val="2"/>
      </rPr>
      <t>Re: KONFIRMASI PRE ARBITRASI Prismalink*IND VISAARR 26/02/2026 40TRX</t>
    </r>
  </si>
  <si>
    <r>
      <t>Surat FRAUD dari BANK
(Dana Terpotong, Produk Tdk Diterima)</t>
    </r>
    <r>
      <rPr>
        <sz val="11"/>
        <color theme="1"/>
        <rFont val="Calibri"/>
        <family val="2"/>
      </rPr>
      <t xml:space="preserve">
Permintaan Penahanan Dana
PT Envoiz Digital Indonesia
7900124900006227	22448500</t>
    </r>
  </si>
  <si>
    <r>
      <t xml:space="preserve">Request REFUND TRANSAKSI
(Product tidak diterima dan Cust request refund)
</t>
    </r>
    <r>
      <rPr>
        <sz val="11"/>
        <color theme="1"/>
        <rFont val="Calibri"/>
        <family val="2"/>
      </rPr>
      <t>Refund 26 Februari2026
JP-013-260226-212351	26-02-2026	21:23:52	6867
JP-013-260226-212304	26-02-2026	21:23:05	5467
JP-013-260226-211621	26-02-2026	21:16:22	5467
JP-007-260226-202346	26-02-2026	20:23:47	20000
JP-003-260226-181605	26-02-2026	18:16:06	12412
JP-017-260226-110109	26-02-2026	11:01:10	8200</t>
    </r>
  </si>
  <si>
    <r>
      <t xml:space="preserve">Request BUKTI TRANSAKSI VOA dari BANK
(Pengajuan Pre-Arb oleh Bank)
</t>
    </r>
    <r>
      <rPr>
        <sz val="11"/>
        <color theme="1"/>
        <rFont val="Calibri"/>
        <family val="2"/>
      </rPr>
      <t>KONFIRMASI PRE-ARBRITASI PRISMALINK*PT CERDIK K#25/02/2026 3 TRX</t>
    </r>
  </si>
  <si>
    <r>
      <t xml:space="preserve">Request BUKTI TRANSAKSI VOA dari BANK
(Customer sanggah transaksi CC atas penerbitan Visa)
</t>
    </r>
    <r>
      <rPr>
        <sz val="11"/>
        <color theme="1"/>
        <rFont val="Calibri"/>
        <family val="2"/>
      </rPr>
      <t>***SPAM***  KONFIRMASI CHARGEBACK Prismalink*IND VISAARR 26/02/2026 26 TRX</t>
    </r>
  </si>
  <si>
    <r>
      <t xml:space="preserve">Request STATUS TRANSAKSI
(PRODUK Tdk Diterima, namun ada bukti TRANSFER)
</t>
    </r>
    <r>
      <rPr>
        <sz val="11"/>
        <color theme="1"/>
        <rFont val="Calibri"/>
        <family val="2"/>
      </rPr>
      <t xml:space="preserve">
[VJI] Request Pengecekan Virtual Account Mandiri Direct - 27 Feb 2026
PT VISI JAYA INDONESIA
8903903600032571	2127654</t>
    </r>
  </si>
  <si>
    <r>
      <t>Surat FRAUD dari BANK
(Dana Terpotong, Produk Tdk Diterima)</t>
    </r>
    <r>
      <rPr>
        <sz val="11"/>
        <color theme="1"/>
        <rFont val="Calibri"/>
        <family val="2"/>
      </rPr>
      <t xml:space="preserve">
[Ofc47815] Indikasi Penipuan: BAYAR2.COM/27022026/035
PT TEKNOLOGI AWAN CERAH
7900121700032643	2800000</t>
    </r>
  </si>
  <si>
    <r>
      <t xml:space="preserve">Request BUKTI TRANSAKSI VOA dari BANK
(Customer request payment receipt)
</t>
    </r>
    <r>
      <rPr>
        <sz val="11"/>
        <color theme="1"/>
        <rFont val="Calibri"/>
        <family val="2"/>
      </rPr>
      <t>Requirements of Copy Invoice/Receipts - Visa on Arrival</t>
    </r>
  </si>
  <si>
    <r>
      <t xml:space="preserve">Request BUKTI TRANSAKSI VOA dari BANK
(Pengajuan Pre-Arb oleh Bank)
</t>
    </r>
    <r>
      <rPr>
        <sz val="11"/>
        <color theme="1"/>
        <rFont val="Calibri"/>
        <family val="2"/>
      </rPr>
      <t>KONFIRMASI PRE ARBITRASI Prismalink*IND VISAARR 27/02/2026 33 TRX</t>
    </r>
  </si>
  <si>
    <r>
      <t>Surat FRAUD dari BANK
(Dana Terpotong, Produk Tdk Diterima)</t>
    </r>
    <r>
      <rPr>
        <sz val="11"/>
        <color theme="1"/>
        <rFont val="Calibri"/>
        <family val="2"/>
      </rPr>
      <t xml:space="preserve">
[Oc35af30] Indikasi Penipuan: BAYAR2.COM/27022026/036
PT Envoiz Digital Indonesia
7900124900006227	22448500</t>
    </r>
  </si>
  <si>
    <r>
      <t xml:space="preserve">Request BUKTI REFUND TRANSAKSI
(Customer request refund transaksi double)
</t>
    </r>
    <r>
      <rPr>
        <sz val="11"/>
        <color theme="1"/>
        <rFont val="Calibri"/>
        <family val="2"/>
      </rPr>
      <t>Request for Refund – Duplicate Visa Transaction</t>
    </r>
  </si>
  <si>
    <r>
      <t xml:space="preserve">Request REFUND TRANSAKSI
(Product tidak diterima dan Cust request refund)
</t>
    </r>
    <r>
      <rPr>
        <sz val="11"/>
        <color theme="1"/>
        <rFont val="Calibri"/>
        <family val="2"/>
      </rPr>
      <t>Refund 27, 28 Feb -1 Mar 2026
JP-018-260227-192739	27-02-2026	5000
JP-003-260227-185140	27-02-2026	12412
JP-001-260227-155453	27-02-2026	12412
JP-015-260227-135811	27-02-2026	8000
JP-018-260227-103618	27-02-2026	12412
JP-018-260227-055111	27-02-2026	5000
JP-004-260227-011515	27-02-2026	6600
JP-003-260228-190428	28-02-2026	9433
JP-017-260228-111641	28-02-2026	8200
JP-013-260228-001937	28-02-2026	5467
JP-012-260301-212546	01-03-2026	13000
JP-001-260301-192221	01-03-2026	8960
JP-004-260301-175151	01-03-2026	5000
JP-017-260301-173139	01-03-2026	9000
JP-017-260301-173045	01-03-2026	9000
JP-016-260301-152620	01-03-2026	16000
JP-003-260301-145457	01-03-2026	12412
JP-012-260301-125155	01-03-2026	20000
JP-012-260301-124938	01-03-2026	20000
JP-015-260301-114627	01-03-2026	8000</t>
    </r>
  </si>
  <si>
    <r>
      <t xml:space="preserve">Request STATUS TRANSAKSI
(PRODUK Tdk Diterima, namun ada bukti TRANSFER)
</t>
    </r>
    <r>
      <rPr>
        <sz val="11"/>
        <color theme="1"/>
        <rFont val="Calibri"/>
        <family val="2"/>
      </rPr>
      <t xml:space="preserve">
P86460043 dengan RRN QRIS 1m4f95v1831</t>
    </r>
  </si>
  <si>
    <r>
      <t xml:space="preserve">Request STATUS TRANSAKSI dari MERCHANT
(PRODUK diterima, dashboard belum update)
</t>
    </r>
    <r>
      <rPr>
        <sz val="11"/>
        <color theme="1"/>
        <rFont val="Calibri"/>
        <family val="2"/>
      </rPr>
      <t>8919101249116816</t>
    </r>
  </si>
  <si>
    <r>
      <t xml:space="preserve">Request BUKTI TRANSAKSI VOA dari BANK
(Customer sanggah transaksi CC atas penerbitan Visa)
</t>
    </r>
    <r>
      <rPr>
        <sz val="11"/>
        <color theme="1"/>
        <rFont val="Calibri"/>
        <family val="2"/>
      </rPr>
      <t>Permohonan bukti transaksi merchant PRISMALINK #02032026 JCB</t>
    </r>
  </si>
  <si>
    <r>
      <t>Surat FRAUD dari BANK
(Dana Terpotong, Produk Tdk Diterima)</t>
    </r>
    <r>
      <rPr>
        <sz val="11"/>
        <color theme="1"/>
        <rFont val="Calibri"/>
        <family val="2"/>
      </rPr>
      <t xml:space="preserve">
[O3d53c89] Indikasi Penipuan: BAYAR2.COM/02032026/037
PT Kreasi Kode Kreatif
7900119200499020	1700000</t>
    </r>
  </si>
  <si>
    <r>
      <t xml:space="preserve">Request STATUS TRANSAKSI
(PRODUK Tdk Diterima, namun ada bukti TRANSFER)
</t>
    </r>
    <r>
      <rPr>
        <sz val="11"/>
        <color theme="1"/>
        <rFont val="Calibri"/>
        <family val="2"/>
      </rPr>
      <t xml:space="preserve">
7900104900000193173</t>
    </r>
  </si>
  <si>
    <r>
      <t xml:space="preserve">Request STATUS TRANSAKSI
(PRODUK Tdk Diterima, namun ada bukti TRANSFER)
</t>
    </r>
    <r>
      <rPr>
        <sz val="11"/>
        <color theme="1"/>
        <rFont val="Calibri"/>
        <family val="2"/>
      </rPr>
      <t xml:space="preserve">
7900121700092431</t>
    </r>
  </si>
  <si>
    <r>
      <t xml:space="preserve">Request STATUS TRANSAKSI dari MERCHANT
(PRODUK diterima, dashboard belum update)
</t>
    </r>
    <r>
      <rPr>
        <sz val="11"/>
        <color theme="1"/>
        <rFont val="Calibri"/>
        <family val="2"/>
      </rPr>
      <t>8919101217249654</t>
    </r>
  </si>
  <si>
    <r>
      <t xml:space="preserve">Request STATUS TRANSAKSI
(PRODUK Tdk Diterima, namun ada bukti TRANSFER)
</t>
    </r>
    <r>
      <rPr>
        <sz val="11"/>
        <color theme="1"/>
        <rFont val="Calibri"/>
        <family val="2"/>
      </rPr>
      <t xml:space="preserve">
7900121700059960</t>
    </r>
  </si>
  <si>
    <r>
      <t xml:space="preserve">Request STATUS TRANSAKSI dari MERCHANT
(PRODUK diterima, dashboard belum update)
</t>
    </r>
    <r>
      <rPr>
        <sz val="11"/>
        <color theme="1"/>
        <rFont val="Calibri"/>
        <family val="2"/>
      </rPr>
      <t>8919101212978989 
8919101212599863</t>
    </r>
  </si>
  <si>
    <r>
      <t xml:space="preserve">Request BUKTI REFUND TRANSAKSI
(Customer request refund transaksi double)
</t>
    </r>
    <r>
      <rPr>
        <sz val="11"/>
        <color theme="1"/>
        <rFont val="Calibri"/>
        <family val="2"/>
      </rPr>
      <t>535456**5198
516815**3874</t>
    </r>
  </si>
  <si>
    <r>
      <t xml:space="preserve">Request STATUS TRANSAKSI
(PRODUK Tdk Diterima, namun ada bukti TRANSFER)
</t>
    </r>
    <r>
      <rPr>
        <sz val="11"/>
        <color theme="1"/>
        <rFont val="Calibri"/>
        <family val="2"/>
      </rPr>
      <t xml:space="preserve">
8919101249225538 / NACL1388820975</t>
    </r>
  </si>
  <si>
    <r>
      <t xml:space="preserve">Request STATUS TRANSAKSI
(PRODUK Tdk Diterima, namun ada bukti TRANSFER)
</t>
    </r>
    <r>
      <rPr>
        <sz val="11"/>
        <color theme="1"/>
        <rFont val="Calibri"/>
        <family val="2"/>
      </rPr>
      <t xml:space="preserve">
7900117900031713</t>
    </r>
  </si>
  <si>
    <r>
      <t xml:space="preserve">Request STATUS TRANSAKSI
(PRODUK Tdk Diterima, namun ada bukti TRANSFER)
</t>
    </r>
    <r>
      <rPr>
        <sz val="11"/>
        <color theme="1"/>
        <rFont val="Calibri"/>
        <family val="2"/>
      </rPr>
      <t xml:space="preserve">
4041910117945515
4041910117995682</t>
    </r>
  </si>
  <si>
    <r>
      <t>Surat FRAUD dari BANK
(Dana Terpotong, Produk Tdk Diterima)</t>
    </r>
    <r>
      <rPr>
        <sz val="11"/>
        <color theme="1"/>
        <rFont val="Calibri"/>
        <family val="2"/>
      </rPr>
      <t xml:space="preserve">
[O9bcaac6] Indikasi Penipuan: BAYAR2.COM/02032026/038
PT Kreasi Kode Kreatif
7900119200553113	1700000</t>
    </r>
  </si>
  <si>
    <r>
      <t xml:space="preserve">Request BUKTI TRANSAKSI VOA dari BANK
(Customer sanggah transaksi CC atas penerbitan Visa)
</t>
    </r>
    <r>
      <rPr>
        <sz val="11"/>
        <color theme="1"/>
        <rFont val="Calibri"/>
        <family val="2"/>
      </rPr>
      <t>PERMOHONAN BUKTI TRANSAKSI PRISMALINK*IND VISAARR #02/03/2026 19 TRX</t>
    </r>
  </si>
  <si>
    <r>
      <t xml:space="preserve">Request REFUND TRANSAKSI
(Product tidak diterima dan Cust request refund)
</t>
    </r>
    <r>
      <rPr>
        <sz val="11"/>
        <color theme="1"/>
        <rFont val="Calibri"/>
        <family val="2"/>
      </rPr>
      <t>Refund 2 Mar 2026
JP-019-260302-195045	02-03-2026	19:50:46	10000
JP-017-260302-121828	02-03-2026	12:18:35	12412
JP-017-260302-102402	02-03-2026	10:24:03	12412</t>
    </r>
  </si>
  <si>
    <r>
      <t xml:space="preserve">Request BUKTI TRANSAKSI VOA dari BANK
(Customer request payment receipt)
</t>
    </r>
    <r>
      <rPr>
        <sz val="11"/>
        <color theme="1"/>
        <rFont val="Calibri"/>
        <family val="2"/>
      </rPr>
      <t>Request for receipt – Jakarta Electronic Visa (24 Jan 2026)</t>
    </r>
  </si>
  <si>
    <r>
      <t xml:space="preserve">Request STATUS TRANSAKSI
(PRODUK Tdk Diterima, namun ada bukti TRANSFER)
</t>
    </r>
    <r>
      <rPr>
        <sz val="11"/>
        <color theme="1"/>
        <rFont val="Calibri"/>
        <family val="2"/>
      </rPr>
      <t xml:space="preserve">
7900121700000501</t>
    </r>
  </si>
  <si>
    <r>
      <t>Surat FRAUD dari BANK
(Dana Terpotong, Produk Tdk Diterima)</t>
    </r>
    <r>
      <rPr>
        <sz val="11"/>
        <color theme="1"/>
        <rFont val="Calibri"/>
        <family val="2"/>
      </rPr>
      <t xml:space="preserve">
Surat Bilateral Bank Mandiri nomor OPT.CCG/CHM.4005/2026
PT Daya Net Gemilang
8903910125083059	3800000
8903910125009775	2800000
8903910125086578	1800000</t>
    </r>
  </si>
  <si>
    <r>
      <t>Surat FRAUD dari BANK
(Dana Terpotong, Produk Tdk Diterima)</t>
    </r>
    <r>
      <rPr>
        <sz val="11"/>
        <color theme="1"/>
        <rFont val="Calibri"/>
        <family val="2"/>
      </rPr>
      <t xml:space="preserve">
[Ocf4f473] Indikasi Penipuan: BAYAR2.COM/03032026/039
PT Envoiz Digital Indonesia
7900124900050444	3403500</t>
    </r>
  </si>
  <si>
    <r>
      <t xml:space="preserve">Request BUKTI TRANSAKSI VOA dari BANK
(Customer sanggah transaksi CC atas penerbitan Visa)
</t>
    </r>
    <r>
      <rPr>
        <sz val="11"/>
        <color theme="1"/>
        <rFont val="Calibri"/>
        <family val="2"/>
      </rPr>
      <t>Permohonan bukti transaksi merchant PRISMALINK #03032026 JCB</t>
    </r>
  </si>
  <si>
    <r>
      <t xml:space="preserve">Request STATUS TRANSAKSI
(PRODUK Tdk Diterima, namun ada bukti TRANSFER)
</t>
    </r>
    <r>
      <rPr>
        <sz val="11"/>
        <color theme="1"/>
        <rFont val="Calibri"/>
        <family val="2"/>
      </rPr>
      <t xml:space="preserve">
[Ob08b7c4] Rekap : 07/VA ONLINE/BAYAR2.COM
PT Daya Net Gemilang
7900125000046322	8423000</t>
    </r>
  </si>
  <si>
    <r>
      <t xml:space="preserve">Request REFUND TRANSAKSI
(Product tidak diterima dan Cust request refund)
</t>
    </r>
    <r>
      <rPr>
        <sz val="11"/>
        <color theme="1"/>
        <rFont val="Calibri"/>
        <family val="2"/>
      </rPr>
      <t>Refund 3 Maret 2026
JP-012-260303-204500	03-03-2026	13000
JP-019-260303-193344	03-03-2026	12000
JP-016-260303-141621	03-03-2026	12000
JP-017-260303-110236	03-03-2026	5000
JP-017-260303-091047	03-03-2026	5000</t>
    </r>
  </si>
  <si>
    <r>
      <t xml:space="preserve">Request STATUS TRANSAKSI dari MERCHANT
(PRODUK diterima, dashboard belum update)
</t>
    </r>
    <r>
      <rPr>
        <sz val="11"/>
        <color theme="1"/>
        <rFont val="Calibri"/>
        <family val="2"/>
      </rPr>
      <t>000154285684 / 0011827022627956084</t>
    </r>
  </si>
  <si>
    <r>
      <t xml:space="preserve">Request STATUS TRANSAKSI
(PRODUK Tdk Diterima, namun ada bukti TRANSFER)
</t>
    </r>
    <r>
      <rPr>
        <sz val="11"/>
        <color theme="1"/>
        <rFont val="Calibri"/>
        <family val="2"/>
      </rPr>
      <t xml:space="preserve">
4041910125027050 / NACL1391576152</t>
    </r>
  </si>
  <si>
    <r>
      <t xml:space="preserve">Request STATUS TRANSAKSI
(PRODUK Tdk Diterima, namun ada bukti TRANSFER)
</t>
    </r>
    <r>
      <rPr>
        <sz val="11"/>
        <color theme="1"/>
        <rFont val="Calibri"/>
        <family val="2"/>
      </rPr>
      <t xml:space="preserve">
4041910125000856 / NACL1391575215</t>
    </r>
  </si>
  <si>
    <r>
      <t xml:space="preserve">Request STATUS TRANSAKSI dari MERCHANT
(PRODUK diterima, dashboard belum update)
</t>
    </r>
    <r>
      <rPr>
        <sz val="11"/>
        <color theme="1"/>
        <rFont val="Calibri"/>
        <family val="2"/>
      </rPr>
      <t xml:space="preserve">8919101212841210 / 0010912022688969384 
8919101212333857 / 0011713112534278633 </t>
    </r>
  </si>
  <si>
    <r>
      <t xml:space="preserve">Request STATUS TRANSAKSI
(PRODUK Tdk Diterima, namun ada bukti TRANSFER)
</t>
    </r>
    <r>
      <rPr>
        <sz val="11"/>
        <color theme="1"/>
        <rFont val="Calibri"/>
        <family val="2"/>
      </rPr>
      <t xml:space="preserve">
7900117900091325</t>
    </r>
  </si>
  <si>
    <r>
      <t xml:space="preserve">Request STATUS TRANSAKSI dari MERCHANT
(PRODUK diterima, dashboard belum update)
</t>
    </r>
    <r>
      <rPr>
        <sz val="11"/>
        <color theme="1"/>
        <rFont val="Calibri"/>
        <family val="2"/>
      </rPr>
      <t>7900121700018239</t>
    </r>
  </si>
  <si>
    <r>
      <t xml:space="preserve">Request STATUS TRANSAKSI
(PRODUK Tdk Diterima, namun ada bukti TRANSFER)
</t>
    </r>
    <r>
      <rPr>
        <sz val="11"/>
        <color theme="1"/>
        <rFont val="Calibri"/>
        <family val="2"/>
      </rPr>
      <t xml:space="preserve">
7900119200581819</t>
    </r>
  </si>
  <si>
    <r>
      <t xml:space="preserve">Request STATUS TRANSAKSI
(PRODUK Tdk Diterima, namun ada bukti TRANSFER)
</t>
    </r>
    <r>
      <rPr>
        <sz val="11"/>
        <color theme="1"/>
        <rFont val="Calibri"/>
        <family val="2"/>
      </rPr>
      <t xml:space="preserve">
8903910125080264 / NACL1391576354 </t>
    </r>
  </si>
  <si>
    <r>
      <t xml:space="preserve">Request STATUS TRANSAKSI
(PRODUK Tdk Diterima, namun ada bukti TRANSFER)
</t>
    </r>
    <r>
      <rPr>
        <sz val="11"/>
        <color theme="1"/>
        <rFont val="Calibri"/>
        <family val="2"/>
      </rPr>
      <t xml:space="preserve">
[O38484af] Indikasi Penipuan: BAYAR2.COM/04032026/040
PT Daya Net Gemilang
7900125000057895	2500000</t>
    </r>
  </si>
  <si>
    <r>
      <t xml:space="preserve">Request BUKTI TRANSAKSI VOA dari BANK
(Customer sanggah transaksi CC atas penerbitan Visa)
</t>
    </r>
    <r>
      <rPr>
        <sz val="11"/>
        <color theme="1"/>
        <rFont val="Calibri"/>
        <family val="2"/>
      </rPr>
      <t>KONFIRMASI CHARGEBACK Prismalink*IND VISAARR 04/03/2026 35 TRX</t>
    </r>
  </si>
  <si>
    <r>
      <t xml:space="preserve">Request REFUND TRANSAKSI
(Product tidak diterima dan Cust request refund)
</t>
    </r>
    <r>
      <rPr>
        <sz val="11"/>
        <color theme="1"/>
        <rFont val="Calibri"/>
        <family val="2"/>
      </rPr>
      <t>Refund 4 Maret 2026
JP-013-260304-211152	04-03-2026	21:11:53	6867
JP-020-260304-162400	04-03-2026	16:24:01	12000
JP-020-260304-081432	04-03-2026	08:14:34	4000
JP-012-260304-043920	04-03-2026	04:39:21	12412
JP-004-260304-023004	04-03-2026	02:30:05	13000
JP-004-260304-022835	04-03-2026	02:28:36	13000
JP-004-260304-022438	04-03-2026	02:24:39	33600</t>
    </r>
  </si>
  <si>
    <r>
      <t xml:space="preserve">Request STATUS TRANSAKSI
(PRODUK Tdk Diterima, namun ada bukti TRANSFER)
</t>
    </r>
    <r>
      <rPr>
        <sz val="11"/>
        <color theme="1"/>
        <rFont val="Calibri"/>
        <family val="2"/>
      </rPr>
      <t xml:space="preserve">
7900117900001760 / T1682931311470D4WK7</t>
    </r>
  </si>
  <si>
    <r>
      <t xml:space="preserve">Request STATUS TRANSAKSI
(PRODUK Tdk Diterima, namun ada bukti TRANSFER)
</t>
    </r>
    <r>
      <rPr>
        <sz val="11"/>
        <color theme="1"/>
        <rFont val="Calibri"/>
        <family val="2"/>
      </rPr>
      <t xml:space="preserve">
4041910117952394</t>
    </r>
  </si>
  <si>
    <r>
      <t xml:space="preserve">Surat FRAUD
(Dana Terpotong, Produk Tdk Diterima)
</t>
    </r>
    <r>
      <rPr>
        <sz val="11"/>
        <color theme="1"/>
        <rFont val="Calibri"/>
        <family val="2"/>
      </rPr>
      <t xml:space="preserve">
[Oc1a9e11] Indikasi Penipuan: BAYAR2.COM/05032026/041
PT Daya Net Gemilang
7900125000062434	20000000</t>
    </r>
  </si>
  <si>
    <r>
      <t xml:space="preserve">Request BUKTI TRANSAKSI VOA dari BANK
(Customer sanggah transaksi CC atas penerbitan Visa)
</t>
    </r>
    <r>
      <rPr>
        <sz val="11"/>
        <color theme="1"/>
        <rFont val="Calibri"/>
        <family val="2"/>
      </rPr>
      <t>PERMOHONAN BUKTI TRANSAKSI PRISMALINK*IND VISAARR #25/03/2026 10 TRX</t>
    </r>
  </si>
  <si>
    <r>
      <t xml:space="preserve">Request BUKTI TRANSAKSI VOA dari BANK
(Customer sanggah transaksi CC atas penerbitan Visa)
</t>
    </r>
    <r>
      <rPr>
        <sz val="11"/>
        <color theme="1"/>
        <rFont val="Calibri"/>
        <family val="2"/>
      </rPr>
      <t>KONFIRMASI CHARGEBACK Prismalink*IND VISAARR 02/03/2026 46 TRX</t>
    </r>
  </si>
  <si>
    <r>
      <t xml:space="preserve">Request REFUND TRANSAKSI
(Product tidak diterima dan Cust request refund)
</t>
    </r>
    <r>
      <rPr>
        <sz val="11"/>
        <color theme="1"/>
        <rFont val="Calibri"/>
        <family val="2"/>
      </rPr>
      <t>Refund 6 Maret 2026
JP-018-260305-221405	05-03-2026	8000
JP-004-260305-175136	05-03-2026	5000
JP-007-260305-141631	05-03-2026	20000
JP-019-260305-111219	05-03-2026	8000</t>
    </r>
  </si>
  <si>
    <r>
      <t xml:space="preserve">Request STATUS TRANSAKSI
(PRODUK Tdk Diterima, namun ada bukti TRANSFER)
</t>
    </r>
    <r>
      <rPr>
        <sz val="11"/>
        <color theme="1"/>
        <rFont val="Calibri"/>
        <family val="2"/>
      </rPr>
      <t xml:space="preserve">
8903910125071840</t>
    </r>
  </si>
  <si>
    <r>
      <t xml:space="preserve">Request STATUS TRANSAKSI
(PRODUK Tdk Diterima, namun ada bukti TRANSFER)
</t>
    </r>
    <r>
      <rPr>
        <sz val="11"/>
        <color theme="1"/>
        <rFont val="Calibri"/>
        <family val="2"/>
      </rPr>
      <t xml:space="preserve">
8903910125050016</t>
    </r>
  </si>
  <si>
    <r>
      <t xml:space="preserve">Request STATUS TRANSAKSI
(PRODUK Tdk Diterima, namun ada bukti TRANSFER)
</t>
    </r>
    <r>
      <rPr>
        <sz val="11"/>
        <color theme="1"/>
        <rFont val="Calibri"/>
        <family val="2"/>
      </rPr>
      <t xml:space="preserve">
4041910125095061</t>
    </r>
  </si>
  <si>
    <r>
      <t xml:space="preserve">Request STATUS TRANSAKSI
(PRODUK Tdk Diterima, namun ada bukti TRANSFER)
</t>
    </r>
    <r>
      <rPr>
        <sz val="11"/>
        <color theme="1"/>
        <rFont val="Calibri"/>
        <family val="2"/>
      </rPr>
      <t xml:space="preserve">
8903910125083996</t>
    </r>
  </si>
  <si>
    <r>
      <t xml:space="preserve">Request STATUS TRANSAKSI
(PRODUK Tdk Diterima, namun ada bukti TRANSFER)
</t>
    </r>
    <r>
      <rPr>
        <sz val="11"/>
        <color theme="1"/>
        <rFont val="Calibri"/>
        <family val="2"/>
      </rPr>
      <t xml:space="preserve">
4041910117931582 /T23076297614912B9IW</t>
    </r>
  </si>
  <si>
    <r>
      <t xml:space="preserve">Request STATUS TRANSAKSI
(PRODUK Tdk Diterima, namun ada bukti TRANSFER)
</t>
    </r>
    <r>
      <rPr>
        <sz val="11"/>
        <color theme="1"/>
        <rFont val="Calibri"/>
        <family val="2"/>
      </rPr>
      <t xml:space="preserve">
4041913210500008</t>
    </r>
  </si>
  <si>
    <r>
      <t xml:space="preserve">Request BUKTI TRANSAKSI VOA dari BANK
(Customer sanggah transaksi CC atas penerbitan Visa)
</t>
    </r>
    <r>
      <rPr>
        <sz val="11"/>
        <color theme="1"/>
        <rFont val="Calibri"/>
        <family val="2"/>
      </rPr>
      <t>***SPAM***  KONFIRMASI CHARGEBACK Prismalink*IND VISAARR 05/03/2026 27 TRX</t>
    </r>
  </si>
  <si>
    <r>
      <t xml:space="preserve">Request BUKTI TRANSAKSI VOA dari BANK
(Customer request payment receipt)
</t>
    </r>
    <r>
      <rPr>
        <sz val="11"/>
        <color theme="1"/>
        <rFont val="Calibri"/>
        <family val="2"/>
      </rPr>
      <t>***SPAM***  Visa on Arrival Payment</t>
    </r>
  </si>
  <si>
    <r>
      <t xml:space="preserve">Surat FRAUD
(Dana Terpotong, Produk Tdk Diterima)
</t>
    </r>
    <r>
      <rPr>
        <sz val="11"/>
        <color theme="1"/>
        <rFont val="Calibri"/>
        <family val="2"/>
      </rPr>
      <t xml:space="preserve">
[Oc12f268] Indikasi Penipuan: BAYAR2.COM/06032026/042
PT Envoiz Digital Indonesia
7900124900044069	1200000</t>
    </r>
  </si>
  <si>
    <r>
      <t xml:space="preserve">Request LIMIT TRANSAKSI
(Permohonan kenaikan limit kartu kredit dr merchant atau pembukaan BIN untuk mendukung transaksi)
</t>
    </r>
    <r>
      <rPr>
        <sz val="11"/>
        <color theme="1"/>
        <rFont val="Calibri"/>
        <family val="2"/>
      </rPr>
      <t xml:space="preserve">
</t>
    </r>
    <r>
      <rPr>
        <sz val="11"/>
        <rFont val="Calibri"/>
        <family val="2"/>
      </rPr>
      <t>Permohonan penghapusan status blacklist atau memasukkan negara Barbados ke dalam daftar whitelist transaksi WCPP</t>
    </r>
  </si>
  <si>
    <r>
      <t xml:space="preserve">Surat FRAUD
(Dana Terpotong, Produk Tdk Diterima)
</t>
    </r>
    <r>
      <rPr>
        <sz val="11"/>
        <color theme="1"/>
        <rFont val="Calibri"/>
        <family val="2"/>
      </rPr>
      <t xml:space="preserve">
[Od4f6f93] Indikasi Penipuan: BAYAR2.COM/06032026/043
PT Daya Net Gemilang
7900125000005836	7000000</t>
    </r>
  </si>
  <si>
    <r>
      <t xml:space="preserve">Request STATUS TRANSAKSI (ACQ NOBU)
(PRODUK Tdk Diterima Customer, 
SWITCHING &amp; ACQ telah credit dana)
</t>
    </r>
    <r>
      <rPr>
        <sz val="11"/>
        <color theme="1"/>
        <rFont val="Calibri"/>
        <family val="2"/>
      </rPr>
      <t>Surat DISPUTE dari NOBU
email : DISPUTE 05032026 PT PRISMALINK INTERNATIONAL
Nominal	Merchant_Name	MTN	Nominal2
1000000	Dayanet  0010813022625177863	1000000
150000	Growcell 0011215022606200177	150000
150000	Growcell 0011215022677813109	150000
1000000	Dayanet  0010913022666978277	1000000
700000	Dayanet  0010413022662719342	700000</t>
    </r>
  </si>
  <si>
    <r>
      <t xml:space="preserve">Request REFUND TRANSAKSI
(Product tidak diterima dan Cust request refund)
</t>
    </r>
    <r>
      <rPr>
        <sz val="11"/>
        <color theme="1"/>
        <rFont val="Calibri"/>
        <family val="2"/>
      </rPr>
      <t>Refund 05 Maret 2026
JP-019-260305-111219 16.000
JP-007-260305-141631 20.000
JP-004-260305-175136 5.000
JP-018-260305-221405 8.000</t>
    </r>
  </si>
  <si>
    <r>
      <t xml:space="preserve">Request REFUND TRANSAKSI
(Product tidak diterima dan Cust request refund)
</t>
    </r>
    <r>
      <rPr>
        <sz val="11"/>
        <color theme="1"/>
        <rFont val="Calibri"/>
        <family val="2"/>
      </rPr>
      <t>salah transfer 
Tripay
4041910117955640 (VA seharusnya) 148550
4041910117900684 (VA salah transfer) 203187</t>
    </r>
  </si>
  <si>
    <r>
      <t xml:space="preserve">Request REFUND TRANSAKSI
(Product tidak diterima dan Cust request refund)
</t>
    </r>
    <r>
      <rPr>
        <sz val="11"/>
        <color theme="1"/>
        <rFont val="Calibri"/>
        <family val="2"/>
      </rPr>
      <t>Refund 6,7,8 Maret 2026
JP-019-260306-231350	06-03-2026	12470
JP-012-260306-213958	06-03-2026	4392
JP-004-260306-211805	06-03-2026	5000
JP-017-260306-204900	06-03-2026	6000
JP-014-260306-200600	06-03-2026	8200
JP-006-260306-190803	06-03-2026	10000
JP-012-260306-182321	06-03-2026	5000
JP-001-260306-175937	06-03-2026	5000
JP-001-260306-175825	06-03-2026	5000
JP-018-260306-175236	06-03-2026	6867
JP-018-260306-175137	06-03-2026	6867
JP-013-260306-114702	06-03-2026	12412
JP-013-260306-072625	06-03-2026	10000
JP-003-260307-200443	07-03-2026	5000
JP-019-260307-185430	07-03-2026	16000
JP-016-260307-160653	07-03-2026	11000
JP-015-260307-154631	07-03-2026	10000
JP-012-260307-142849	07-03-2026	33600
JP-020-260307-114553	07-03-2026	12000
JP-019-260307-110743	07-03-2026	10000
JP-012-260307-000652	07-03-2026	11360
JP-018-260308-220006	08-03-2026	12412
JP-004-260308-213219	08-03-2026	5000
JP-020-260308-155933	08-03-2026	20000
JP-020-260308-154207	08-03-2026	13705
JP-004-260308-152752	08-03-2026	13000
JP-019-260308-140222	08-03-2026	10000
JP-020-260308-134225	08-03-2026	12470
JP-020-260308-133846	08-03-2026	6500
JP-014-260308-120213	08-03-2026	12412
JP-019-260308-102639	08-03-2026	12000</t>
    </r>
  </si>
  <si>
    <r>
      <t xml:space="preserve">Request STATUS TRANSAKSI (ACQ NOBU)
(PRODUK Tdk Diterima Customer, 
SWITCHING &amp; ACQ telah credit dana)
</t>
    </r>
    <r>
      <rPr>
        <sz val="11"/>
        <color theme="1"/>
        <rFont val="Calibri"/>
        <family val="2"/>
      </rPr>
      <t xml:space="preserve">Surat DISPUTE dari NOBU
email : DISPUTE 09032026 PT PRISMALINK INTERNATIONAL
0011122022619192347
0012218022639259398
0011122022627377982
</t>
    </r>
  </si>
  <si>
    <r>
      <t xml:space="preserve">Request BUKTI TRANSAKSI VOA dari BANK
(Customer request payment receipt)
</t>
    </r>
    <r>
      <rPr>
        <sz val="11"/>
        <color theme="1"/>
        <rFont val="Calibri"/>
        <family val="2"/>
      </rPr>
      <t>FW: [Ticket ID: #1348146] FW: Invoice - Visa</t>
    </r>
  </si>
  <si>
    <r>
      <t xml:space="preserve">Request BUKTI TRANSAKSI VOA dari BANK
(Customer request payment receipt)
</t>
    </r>
    <r>
      <rPr>
        <sz val="11"/>
        <color theme="1"/>
        <rFont val="Calibri"/>
        <family val="2"/>
      </rPr>
      <t>Indonesia Arrival card- Payment Invoice</t>
    </r>
  </si>
  <si>
    <r>
      <t xml:space="preserve">Request REFUND TRANSAKSI
(Product tidak diterima dan Cust request refund)
</t>
    </r>
    <r>
      <rPr>
        <sz val="11"/>
        <color theme="1"/>
        <rFont val="Calibri"/>
        <family val="2"/>
      </rPr>
      <t>Refund 9 Mar 2026
JP-017-260309-204030 4392
JP-002-260309-175450 33600
JP-001-260309-142721 12412
JP-012-260309-032639 11084
JP-020-260308-133846	08-03-2026	6500
JP-014-260308-120213	08-03-2026	12412
JP-019-260308-102639	08-03-2026	12000</t>
    </r>
  </si>
  <si>
    <r>
      <t xml:space="preserve">Surat FRAUD
(Dana Terpotong, Produk Tdk Diterima)
</t>
    </r>
    <r>
      <rPr>
        <sz val="11"/>
        <color theme="1"/>
        <rFont val="Calibri"/>
        <family val="2"/>
      </rPr>
      <t xml:space="preserve">
Ingin mengetahui nama penipu yang menerima dana
PT Wahana Pembayaran Digital
2189132130900079 6000000</t>
    </r>
  </si>
  <si>
    <r>
      <t xml:space="preserve">Request BUKTI TRANSAKSI VOA dari BANK
(Customer request payment receipt)
</t>
    </r>
    <r>
      <rPr>
        <sz val="11"/>
        <color theme="1"/>
        <rFont val="Calibri"/>
        <family val="2"/>
      </rPr>
      <t>Invoice for Visa on Arrival Payment</t>
    </r>
  </si>
  <si>
    <r>
      <t xml:space="preserve">Surat FRAUD
(Dana Terpotong, Produk Tdk Diterima)
</t>
    </r>
    <r>
      <rPr>
        <sz val="11"/>
        <color theme="1"/>
        <rFont val="Calibri"/>
        <family val="2"/>
      </rPr>
      <t xml:space="preserve">
[O0661f24] Indikasi Penipuan: BAYAR2.COM/10032026/044
PT Kreasi Kode Kreatif
7900119200588925 977600
</t>
    </r>
  </si>
  <si>
    <r>
      <t xml:space="preserve">Request STATUS TRANSAKSI
(PRODUK Tdk Diterima, namun ada bukti TRANSFER)
</t>
    </r>
    <r>
      <rPr>
        <sz val="11"/>
        <color theme="1"/>
        <rFont val="Calibri"/>
        <family val="2"/>
      </rPr>
      <t xml:space="preserve">
[Ob732862] Rekap : 08/VA ONLINE/BAYAR2.COM
PT Kreasi Kode Kreatif
7900119200605389 3000000
Tripay
7900117900037198 145000
</t>
    </r>
  </si>
  <si>
    <r>
      <t xml:space="preserve">Surat FRAUD
(Dana Terpotong, Produk Tdk Diterima)
</t>
    </r>
    <r>
      <rPr>
        <sz val="11"/>
        <color theme="1"/>
        <rFont val="Calibri"/>
        <family val="2"/>
      </rPr>
      <t xml:space="preserve">
[Oe87e527] Indikasi Penipuan: BAYAR2.COM/10032026/045
PT Kreasi Kode Kreatif
7900119200546144 25218575
7900119200603438 25000000
7900119200571501 25000000
PT TEKNOLOGI AWAN CERAH
7900121700099140 25218575
7900121700063076 25218575
7900121700075609 25000000
7900121700068890 25409850
7900121700043473 25000000
</t>
    </r>
  </si>
  <si>
    <r>
      <t xml:space="preserve">Request BUKTI TRANSAKSI VOA dari BANK
(Customer sanggah transaksi CC atas penerbitan Visa)
</t>
    </r>
    <r>
      <rPr>
        <sz val="11"/>
        <color theme="1"/>
        <rFont val="Calibri"/>
        <family val="2"/>
      </rPr>
      <t>KONFIRMASI CHARGEBACK Prismalink*IND VISAARR 10/03/2026 69 TRX</t>
    </r>
  </si>
  <si>
    <r>
      <t xml:space="preserve">Request STATUS TRANSAKSI
(PRODUK Tdk Diterima, namun ada bukti TRANSFER)
</t>
    </r>
    <r>
      <rPr>
        <sz val="11"/>
        <color theme="1"/>
        <rFont val="Calibri"/>
        <family val="2"/>
      </rPr>
      <t xml:space="preserve">
7900125000054178 / NACL1397534369     </t>
    </r>
  </si>
  <si>
    <r>
      <t xml:space="preserve">Request STATUS TRANSAKSI
(PRODUK Tdk Diterima, namun ada bukti TRANSFER)
</t>
    </r>
    <r>
      <rPr>
        <sz val="11"/>
        <color theme="1"/>
        <rFont val="Calibri"/>
        <family val="2"/>
      </rPr>
      <t xml:space="preserve">
7900121700023089 </t>
    </r>
  </si>
  <si>
    <r>
      <t xml:space="preserve">Request STATUS TRANSAKSI
(PRODUK Tdk Diterima, namun ada bukti TRANSFER)
</t>
    </r>
    <r>
      <rPr>
        <sz val="11"/>
        <color theme="1"/>
        <rFont val="Calibri"/>
        <family val="2"/>
      </rPr>
      <t xml:space="preserve">
9887101218041549</t>
    </r>
  </si>
  <si>
    <r>
      <t xml:space="preserve">Request STATUS TRANSAKSI
(PRODUK Tdk Diterima, namun ada bukti TRANSFER)
</t>
    </r>
    <r>
      <rPr>
        <sz val="11"/>
        <color theme="1"/>
        <rFont val="Calibri"/>
        <family val="2"/>
      </rPr>
      <t xml:space="preserve">
nominal : 158.000 
nominal : 258.000</t>
    </r>
  </si>
  <si>
    <r>
      <t xml:space="preserve">Request STATUS TRANSAKSI
(PRODUK Tdk Diterima, namun ada bukti TRANSFER)
</t>
    </r>
    <r>
      <rPr>
        <sz val="11"/>
        <color theme="1"/>
        <rFont val="Calibri"/>
        <family val="2"/>
      </rPr>
      <t xml:space="preserve">
nominal : 100.000</t>
    </r>
  </si>
  <si>
    <r>
      <t xml:space="preserve">Request STATUS TRANSAKSI
(PRODUK Tdk Diterima, namun ada bukti TRANSFER)
</t>
    </r>
    <r>
      <rPr>
        <sz val="11"/>
        <color theme="1"/>
        <rFont val="Calibri"/>
        <family val="2"/>
      </rPr>
      <t xml:space="preserve">
7900119200605379 </t>
    </r>
  </si>
  <si>
    <r>
      <t xml:space="preserve">Request STATUS TRANSAKSI
(PRODUK Tdk Diterima, namun ada bukti TRANSFER)
</t>
    </r>
    <r>
      <rPr>
        <sz val="11"/>
        <color theme="1"/>
        <rFont val="Calibri"/>
        <family val="2"/>
      </rPr>
      <t xml:space="preserve">
T4839531467706CXBYZ
7900117900012460</t>
    </r>
  </si>
  <si>
    <r>
      <t xml:space="preserve">Request STATUS TRANSAKSI
(PRODUK Tdk Diterima, namun ada bukti TRANSFER)
</t>
    </r>
    <r>
      <rPr>
        <sz val="11"/>
        <color theme="1"/>
        <rFont val="Calibri"/>
        <family val="2"/>
      </rPr>
      <t xml:space="preserve">
7900117900037198 // T2858831468439GA5K</t>
    </r>
  </si>
  <si>
    <r>
      <t xml:space="preserve">Request STATUS TRANSAKSI
(PRODUK Tdk Diterima, namun ada bukti TRANSFER)
</t>
    </r>
    <r>
      <rPr>
        <sz val="11"/>
        <color theme="1"/>
        <rFont val="Calibri"/>
        <family val="2"/>
      </rPr>
      <t xml:space="preserve">
T4566631425772TJJY3 dengan nomor VA 4041910117951353</t>
    </r>
  </si>
  <si>
    <r>
      <t xml:space="preserve">Request STATUS TRANSAKSI
(PRODUK Tdk Diterima, namun ada bukti TRANSFER)
</t>
    </r>
    <r>
      <rPr>
        <sz val="11"/>
        <color theme="1"/>
        <rFont val="Calibri"/>
        <family val="2"/>
      </rPr>
      <t xml:space="preserve">
7900121700023089    </t>
    </r>
  </si>
  <si>
    <r>
      <t xml:space="preserve">Request STATUS TRANSAKSI
(PRODUK Tdk Diterima, namun ada bukti TRANSFER)
</t>
    </r>
    <r>
      <rPr>
        <sz val="11"/>
        <color theme="1"/>
        <rFont val="Calibri"/>
        <family val="2"/>
      </rPr>
      <t xml:space="preserve">
7900125000043195</t>
    </r>
  </si>
  <si>
    <r>
      <t xml:space="preserve">Request STATUS TRANSAKSI
(PRODUK Tdk Diterima, namun ada bukti TRANSFER)
</t>
    </r>
    <r>
      <rPr>
        <sz val="11"/>
        <color theme="1"/>
        <rFont val="Calibri"/>
        <family val="2"/>
      </rPr>
      <t xml:space="preserve">
7900121700068188 2026030939100830826</t>
    </r>
  </si>
  <si>
    <r>
      <t xml:space="preserve">Request STATUS TRANSAKSI
(PRODUK Tdk Diterima, namun ada bukti TRANSFER)
</t>
    </r>
    <r>
      <rPr>
        <sz val="11"/>
        <color theme="1"/>
        <rFont val="Calibri"/>
        <family val="2"/>
      </rPr>
      <t xml:space="preserve">
7900125000061942
NACL1404704766
7900125000077112
NACL1404764501</t>
    </r>
  </si>
  <si>
    <r>
      <t xml:space="preserve">Request STATUS TRANSAKSI
(PRODUK Tdk Diterima, namun ada bukti TRANSFER)
</t>
    </r>
    <r>
      <rPr>
        <sz val="11"/>
        <color theme="1"/>
        <rFont val="Calibri"/>
        <family val="2"/>
      </rPr>
      <t xml:space="preserve">
NACL1404880452
7900125000042728</t>
    </r>
  </si>
  <si>
    <r>
      <t xml:space="preserve">Request STATUS TRANSAKSI
(PRODUK Tdk Diterima, namun ada bukti TRANSFER)
</t>
    </r>
    <r>
      <rPr>
        <sz val="11"/>
        <color theme="1"/>
        <rFont val="Calibri"/>
        <family val="2"/>
      </rPr>
      <t xml:space="preserve">
T4850531413322SRNLL
7900117900095085</t>
    </r>
  </si>
  <si>
    <r>
      <t xml:space="preserve">Request STATUS TRANSAKSI
(PRODUK Tdk Diterima, namun ada bukti TRANSFER)
</t>
    </r>
    <r>
      <rPr>
        <sz val="11"/>
        <color theme="1"/>
        <rFont val="Calibri"/>
        <family val="2"/>
      </rPr>
      <t xml:space="preserve">
7900125000099804 / NACL1404060657 </t>
    </r>
  </si>
  <si>
    <r>
      <t xml:space="preserve">Request STATUS TRANSAKSI
(PRODUK Tdk Diterima, namun ada bukti TRANSFER)
</t>
    </r>
    <r>
      <rPr>
        <sz val="11"/>
        <color theme="1"/>
        <rFont val="Calibri"/>
        <family val="2"/>
      </rPr>
      <t xml:space="preserve">
7900125000064965 / NACL1404062414 </t>
    </r>
  </si>
  <si>
    <r>
      <t xml:space="preserve">Request STATUS TRANSAKSI
(PRODUK Tdk Diterima, namun ada bukti TRANSFER)
</t>
    </r>
    <r>
      <rPr>
        <sz val="11"/>
        <color theme="1"/>
        <rFont val="Calibri"/>
        <family val="2"/>
      </rPr>
      <t xml:space="preserve">
2026030840100980322
7900121700007835
2026031040100097614
8919101217225273</t>
    </r>
  </si>
  <si>
    <r>
      <t xml:space="preserve">Request STATUS TRANSAKSI
(PRODUK Tdk Diterima, namun ada bukti TRANSFER)
</t>
    </r>
    <r>
      <rPr>
        <sz val="11"/>
        <color theme="1"/>
        <rFont val="Calibri"/>
        <family val="2"/>
      </rPr>
      <t xml:space="preserve">
NACL1404060281
8903910125038584
NACL1404063975
4041910125097815
7900125000052354
NACL1404067724
NACL1404083264
7900125000046851</t>
    </r>
  </si>
  <si>
    <r>
      <t xml:space="preserve">Request STATUS TRANSAKSI
(PRODUK Tdk Diterima, namun ada bukti TRANSFER)
</t>
    </r>
    <r>
      <rPr>
        <sz val="11"/>
        <color theme="1"/>
        <rFont val="Calibri"/>
        <family val="2"/>
      </rPr>
      <t xml:space="preserve">
8903910117956828
T2518531487669HAGVD</t>
    </r>
  </si>
  <si>
    <r>
      <t xml:space="preserve">Request STATUS TRANSAKSI dari MERCHANT
(PRODUK diterima, dashboard belum update)
</t>
    </r>
    <r>
      <rPr>
        <sz val="11"/>
        <color theme="1"/>
        <rFont val="Calibri"/>
        <family val="2"/>
      </rPr>
      <t xml:space="preserve">
T1254731487620EMK5X
7900117900081645
T12547314875746D4JV
7900117900084591</t>
    </r>
  </si>
  <si>
    <r>
      <t xml:space="preserve">Request REFUND TRANSAKSI
(Product tidak diterima dan Cust request refund)
</t>
    </r>
    <r>
      <rPr>
        <sz val="11"/>
        <color theme="1"/>
        <rFont val="Calibri"/>
        <family val="2"/>
      </rPr>
      <t xml:space="preserve">Refund 10 Maret 2026
JP-004-260310-131906 10-03-2026 13000
JP-020-260310-123539 10-03-2026 12000
JP-019-260310-105433 10-03-2026 10000
</t>
    </r>
  </si>
  <si>
    <r>
      <t xml:space="preserve">Surat FRAUD
(Dana Terpotong, Produk Tdk Diterima)
</t>
    </r>
    <r>
      <rPr>
        <sz val="11"/>
        <color theme="1"/>
        <rFont val="Calibri"/>
        <family val="2"/>
      </rPr>
      <t xml:space="preserve">
[O3371713] Indikasi Penipuan: BAYAR2.COM/11032026/046
PT Daya Net Gemilang
7900125000074329 99791991
</t>
    </r>
  </si>
  <si>
    <r>
      <t xml:space="preserve">Request REFUND TRANSAKSI
(Product tidak diterima dan Cust request refund)
</t>
    </r>
    <r>
      <rPr>
        <sz val="11"/>
        <color theme="1"/>
        <rFont val="Calibri"/>
        <family val="2"/>
      </rPr>
      <t xml:space="preserve">Refund 11 Maret 2026
JP-017-260311-211945 10000
JP-017-260311-192424 5000
JP-004-260311-123744 12412
</t>
    </r>
  </si>
  <si>
    <r>
      <t xml:space="preserve">Request BUKTI TRANSAKSI VOA dari BANK
(Customer request payment receipt)
</t>
    </r>
    <r>
      <rPr>
        <sz val="11"/>
        <color theme="1"/>
        <rFont val="Calibri"/>
        <family val="2"/>
      </rPr>
      <t>Request for Invoice</t>
    </r>
  </si>
  <si>
    <r>
      <t xml:space="preserve">Surat FRAUD
(Dana Terpotong, Produk Tdk Diterima)
</t>
    </r>
    <r>
      <rPr>
        <sz val="11"/>
        <color theme="1"/>
        <rFont val="Calibri"/>
        <family val="2"/>
      </rPr>
      <t xml:space="preserve">
[Ob2e1c28] Indikasi Penipuan: BAYAR2.COM/12032026/047
PT Daya Net Gemilang
7900125000016079 120000
</t>
    </r>
  </si>
  <si>
    <r>
      <t xml:space="preserve">Request BUKTI TRANSAKSI VOA dari BANK
(Customer sanggah transaksi CC atas penerbitan Visa)
</t>
    </r>
    <r>
      <rPr>
        <sz val="11"/>
        <color theme="1"/>
        <rFont val="Calibri"/>
        <family val="2"/>
      </rPr>
      <t>Permohonan bukti transaksi merchant PRISMALINK #12032026 JCB</t>
    </r>
  </si>
  <si>
    <r>
      <t xml:space="preserve">Request STATUS TRANSAKSI dari MERCHANT
(PRODUK diterima, dashboard belum update)
</t>
    </r>
    <r>
      <rPr>
        <sz val="11"/>
        <color theme="1"/>
        <rFont val="Calibri"/>
        <family val="2"/>
      </rPr>
      <t xml:space="preserve">
7900119200605389        </t>
    </r>
  </si>
  <si>
    <r>
      <t xml:space="preserve">Request STATUS TRANSAKSI dari MERCHANT
(PRODUK diterima, dashboard belum update)
</t>
    </r>
    <r>
      <rPr>
        <sz val="11"/>
        <color theme="1"/>
        <rFont val="Calibri"/>
        <family val="2"/>
      </rPr>
      <t xml:space="preserve">
7900121700077365
7900121700007835  </t>
    </r>
  </si>
  <si>
    <r>
      <t xml:space="preserve">Request STATUS TRANSAKSI dari MERCHANT
(PRODUK diterima, dashboard belum update)
</t>
    </r>
    <r>
      <rPr>
        <sz val="11"/>
        <color theme="1"/>
        <rFont val="Calibri"/>
        <family val="2"/>
      </rPr>
      <t xml:space="preserve">
7900121700057792</t>
    </r>
  </si>
  <si>
    <r>
      <t xml:space="preserve">Request STATUS TRANSAKSI
(PRODUK Tdk Diterima, namun ada bukti TRANSFER)
</t>
    </r>
    <r>
      <rPr>
        <sz val="11"/>
        <color theme="1"/>
        <rFont val="Calibri"/>
        <family val="2"/>
      </rPr>
      <t xml:space="preserve">
7900117900073206 </t>
    </r>
  </si>
  <si>
    <r>
      <t xml:space="preserve">Request STATUS TRANSAKSI
(PRODUK Tdk Diterima, namun ada bukti TRANSFER)
</t>
    </r>
    <r>
      <rPr>
        <sz val="11"/>
        <color theme="1"/>
        <rFont val="Calibri"/>
        <family val="2"/>
      </rPr>
      <t xml:space="preserve">
T370313148439105K7E
7900117900080086 </t>
    </r>
  </si>
  <si>
    <r>
      <t xml:space="preserve">Request STATUS TRANSAKSI dari MERCHANT
(PRODUK diterima, dashboard belum update)
</t>
    </r>
    <r>
      <rPr>
        <sz val="11"/>
        <color theme="1"/>
        <rFont val="Calibri"/>
        <family val="2"/>
      </rPr>
      <t xml:space="preserve">
7900119200608707</t>
    </r>
  </si>
  <si>
    <r>
      <t xml:space="preserve">Request STATUS TRANSAKSI dari MERCHANT
(PRODUK diterima, dashboard belum update)
</t>
    </r>
    <r>
      <rPr>
        <sz val="11"/>
        <color theme="1"/>
        <rFont val="Calibri"/>
        <family val="2"/>
      </rPr>
      <t xml:space="preserve">
7900121700084417 2026031040100494039</t>
    </r>
  </si>
  <si>
    <r>
      <t xml:space="preserve">Request STATUS TRANSAKSI dari MERCHANT
(PRODUK diterima, dashboard belum update)
</t>
    </r>
    <r>
      <rPr>
        <sz val="11"/>
        <color theme="1"/>
        <rFont val="Calibri"/>
        <family val="2"/>
      </rPr>
      <t xml:space="preserve">
T4449031487496GLYBN
8903910117923022</t>
    </r>
  </si>
  <si>
    <r>
      <t xml:space="preserve">Request STATUS TRANSAKSI
(PRODUK Tdk Diterima, namun ada bukti TRANSFER)
</t>
    </r>
    <r>
      <rPr>
        <sz val="11"/>
        <color theme="1"/>
        <rFont val="Calibri"/>
        <family val="2"/>
      </rPr>
      <t xml:space="preserve">
2026031140100218726 // 7900121700020502 </t>
    </r>
  </si>
  <si>
    <r>
      <t xml:space="preserve">Request STATUS TRANSAKSI
(PRODUK Tdk Diterima, namun ada bukti TRANSFER)
</t>
    </r>
    <r>
      <rPr>
        <sz val="11"/>
        <color theme="1"/>
        <rFont val="Calibri"/>
        <family val="2"/>
      </rPr>
      <t xml:space="preserve">
4041910120332515 </t>
    </r>
  </si>
  <si>
    <r>
      <t xml:space="preserve">Request STATUS TRANSAKSI
(PRODUK Tdk Diterima, namun ada bukti TRANSFER)
</t>
    </r>
    <r>
      <rPr>
        <sz val="11"/>
        <color theme="1"/>
        <rFont val="Calibri"/>
        <family val="2"/>
      </rPr>
      <t xml:space="preserve">
8919101065010895  </t>
    </r>
  </si>
  <si>
    <r>
      <t xml:space="preserve">Request STATUS TRANSAKSI
(PRODUK Tdk Diterima, namun ada bukti TRANSFER)
</t>
    </r>
    <r>
      <rPr>
        <sz val="11"/>
        <color theme="1"/>
        <rFont val="Calibri"/>
        <family val="2"/>
      </rPr>
      <t xml:space="preserve">
 8903910125001849 / NACL1408789726</t>
    </r>
  </si>
  <si>
    <r>
      <t xml:space="preserve">Request STATUS TRANSAKSI
(PRODUK Tdk Diterima, namun ada bukti TRANSFER)
</t>
    </r>
    <r>
      <rPr>
        <sz val="11"/>
        <color theme="1"/>
        <rFont val="Calibri"/>
        <family val="2"/>
      </rPr>
      <t xml:space="preserve">
7900121700046919   </t>
    </r>
  </si>
  <si>
    <r>
      <t xml:space="preserve">Request STATUS TRANSAKSI dari MERCHANT
(PRODUK diterima, dashboard belum update)
</t>
    </r>
    <r>
      <rPr>
        <sz val="11"/>
        <color theme="1"/>
        <rFont val="Calibri"/>
        <family val="2"/>
      </rPr>
      <t xml:space="preserve">
8903910125031663 / NACL1402726533 </t>
    </r>
  </si>
  <si>
    <r>
      <t xml:space="preserve">Request STATUS TRANSAKSI dari MERCHANT
(PRODUK diterima, dashboard belum update)
</t>
    </r>
    <r>
      <rPr>
        <sz val="11"/>
        <color theme="1"/>
        <rFont val="Calibri"/>
        <family val="2"/>
      </rPr>
      <t xml:space="preserve">
7900119200608712
7900119200608708
2026030937000642107 (7900119200608710)
2026030940100761198 (7900119200608943)</t>
    </r>
  </si>
  <si>
    <r>
      <t xml:space="preserve">Request STATUS TRANSAKSI dari MERCHANT
(PRODUK diterima, dashboard belum update)
</t>
    </r>
    <r>
      <rPr>
        <sz val="11"/>
        <color theme="1"/>
        <rFont val="Calibri"/>
        <family val="2"/>
      </rPr>
      <t xml:space="preserve">
7900125000046949
NACL1404064651
NACL1404061558
7900125000054663
7900125000099804
NACL1404060657
7900125000060131
NACL1404062827
7900125000064965
NACL1404062414
NACL1399349966
8919101250757697
NACL1404066648
7900125000046851</t>
    </r>
  </si>
  <si>
    <r>
      <t xml:space="preserve">Request STATUS TRANSAKSI dari MERCHANT
(PRODUK diterima, dashboard belum update)
</t>
    </r>
    <r>
      <rPr>
        <sz val="11"/>
        <color theme="1"/>
        <rFont val="Calibri"/>
        <family val="2"/>
      </rPr>
      <t xml:space="preserve">
7900121700024171 2026030840100972432
7900121700097702
7900121700085306 2026030940100643473
7900121700097699 - 2026030640100901017 | Amount 100,000
7900121700079114 - 2026030740100075146 | Amount 50,000</t>
    </r>
  </si>
  <si>
    <r>
      <t xml:space="preserve">Request STATUS TRANSAKSI dari MERCHANT
(PRODUK diterima, dashboard belum update)
</t>
    </r>
    <r>
      <rPr>
        <sz val="11"/>
        <color theme="1"/>
        <rFont val="Calibri"/>
        <family val="2"/>
      </rPr>
      <t xml:space="preserve">
7900117900047439
T1140731487590OFXNK
7900117900039054</t>
    </r>
  </si>
  <si>
    <r>
      <t xml:space="preserve">Request STATUS TRANSAKSI
(PRODUK Tdk Diterima, namun ada bukti TRANSFER)
</t>
    </r>
    <r>
      <rPr>
        <sz val="11"/>
        <color theme="1"/>
        <rFont val="Calibri"/>
        <family val="2"/>
      </rPr>
      <t xml:space="preserve">
900125000050518
7900125000046949
NACL1404064651
NACL1398922821
NACL1399076103
NACL1398618325
NACL1397988934
NACL1399014913
NACL1399349966
NACL1404407147
7900125000066985</t>
    </r>
  </si>
  <si>
    <r>
      <t xml:space="preserve">Request STATUS TRANSAKSI dari MERCHANT
(PRODUK diterima, dashboard belum update)
</t>
    </r>
    <r>
      <rPr>
        <sz val="11"/>
        <color theme="1"/>
        <rFont val="Calibri"/>
        <family val="2"/>
      </rPr>
      <t xml:space="preserve">
7900125000062913
7900125000052354</t>
    </r>
  </si>
  <si>
    <r>
      <t xml:space="preserve">Request STATUS TRANSAKSI dari MERCHANT
(PRODUK diterima, dashboard belum update)
</t>
    </r>
    <r>
      <rPr>
        <sz val="11"/>
        <color theme="1"/>
        <rFont val="Calibri"/>
        <family val="2"/>
      </rPr>
      <t xml:space="preserve">
7900119200605346</t>
    </r>
  </si>
  <si>
    <r>
      <t xml:space="preserve">Request STATUS TRANSAKSI
(PRODUK Tdk Diterima, namun ada bukti TRANSFER)
</t>
    </r>
    <r>
      <rPr>
        <sz val="11"/>
        <color theme="1"/>
        <rFont val="Calibri"/>
        <family val="2"/>
      </rPr>
      <t xml:space="preserve">
[O0140ae3] Rekap : 09/VA ONLINE/BAYAR2.COM
Tripay
7900117900012460 228000</t>
    </r>
  </si>
  <si>
    <r>
      <t xml:space="preserve">Request REFUND TRANSAKSI
(Product tidak diterima dan Cust request refund)
</t>
    </r>
    <r>
      <rPr>
        <sz val="11"/>
        <color theme="1"/>
        <rFont val="Calibri"/>
        <family val="2"/>
      </rPr>
      <t xml:space="preserve">Refund 12 Maret 2026
JP-017-260312-204950 12-03-2026 4392
JP-002-260312-182621 12-03-2026 12412
JP-017-260312-175218 12-03-2026 6600
JP-019-260312-130737 12-03-2026 10000
JP-020-260312-111547 12-03-2026 9900
JP-018-260312-044826 12-03-2026 3500
</t>
    </r>
  </si>
  <si>
    <r>
      <t xml:space="preserve">Request BUKTI TRANSAKSI VOA dari BANK
(Customer sanggah transaksi CC atas penerbitan Visa)
</t>
    </r>
    <r>
      <rPr>
        <sz val="11"/>
        <color theme="1"/>
        <rFont val="Calibri"/>
        <family val="2"/>
      </rPr>
      <t>Permohonan bukti transaksi merchant PRISMALINK #13032026 JCB First Chargeback</t>
    </r>
  </si>
  <si>
    <r>
      <t xml:space="preserve">Request STATUS TRANSAKSI dari MERCHANT
(PRODUK diterima, dashboard belum update)
</t>
    </r>
    <r>
      <rPr>
        <sz val="11"/>
        <color theme="1"/>
        <rFont val="Calibri"/>
        <family val="2"/>
      </rPr>
      <t xml:space="preserve">
7900119200605383</t>
    </r>
  </si>
  <si>
    <r>
      <t xml:space="preserve">Request STATUS TRANSAKSI
(PRODUK Tdk Diterima, namun ada bukti TRANSFER)
</t>
    </r>
    <r>
      <rPr>
        <sz val="11"/>
        <color theme="1"/>
        <rFont val="Calibri"/>
        <family val="2"/>
      </rPr>
      <t xml:space="preserve">
8903910125001849 / NACL1408789726  </t>
    </r>
  </si>
  <si>
    <r>
      <t xml:space="preserve">Request STATUS TRANSAKSI
(PRODUK Tdk Diterima, namun ada bukti TRANSFER)
</t>
    </r>
    <r>
      <rPr>
        <sz val="11"/>
        <color theme="1"/>
        <rFont val="Calibri"/>
        <family val="2"/>
      </rPr>
      <t xml:space="preserve">
7900125000094154     </t>
    </r>
  </si>
  <si>
    <r>
      <t xml:space="preserve">Request BUKTI TRANSAKSI VOA dari BANK
(Pengajuan Pre-Arb oleh Bank)
</t>
    </r>
    <r>
      <rPr>
        <sz val="11"/>
        <color theme="1"/>
        <rFont val="Calibri"/>
        <family val="2"/>
      </rPr>
      <t>Permohonan Konfirmasi Pre-Arbitrasi Prismalink #13032026 JCB</t>
    </r>
  </si>
  <si>
    <r>
      <t xml:space="preserve">Surat FRAUD
(Dana Terpotong, Produk Tdk Diterima)
</t>
    </r>
    <r>
      <rPr>
        <sz val="11"/>
        <color theme="1"/>
        <rFont val="Calibri"/>
        <family val="2"/>
      </rPr>
      <t xml:space="preserve">
FRAUD ALIRAN DANA REK BCA TIFFANY ADORA TJHIN - PRISMALINK PT BAYAR2.COM
PT Kreasi Kode Kreatif
7900119200618263 2700000
</t>
    </r>
  </si>
  <si>
    <r>
      <t xml:space="preserve">Request REFUND TRANSAKSI
(Product tidak diterima dan Cust request refund)
</t>
    </r>
    <r>
      <rPr>
        <sz val="11"/>
        <color theme="1"/>
        <rFont val="Calibri"/>
        <family val="2"/>
      </rPr>
      <t xml:space="preserve">Refund 13,14,15 Maret 2026
JP-001-260315-200133 7920
JP-013-260315-173612 5000
JP-020-260315-134842 15500
JP-020-260315-105734 20000
JP-013-260314-201652 5467
JP-006-260314-155125 16000
JP-020-260314-151026 19528
JP-001-260314-122122 7920
JP-013-260314-115048 18700
JP-001-260313-154202 10000
JP-019-260313-150050 12000
JP-001-260313-145504 12600
JP-018-260313-025657 3500
</t>
    </r>
  </si>
  <si>
    <r>
      <t xml:space="preserve">Surat FRAUD
(Dana Terpotong, Produk Tdk Diterima)
</t>
    </r>
    <r>
      <rPr>
        <sz val="11"/>
        <color theme="1"/>
        <rFont val="Calibri"/>
        <family val="2"/>
      </rPr>
      <t xml:space="preserve">
FRAUD ALIRAN DANA REK BCA JULIAN ARDIANSYAH - BAYAR2.COM
PT Daya Net Gemilang
7900125000087550       29812345
</t>
    </r>
  </si>
  <si>
    <r>
      <t xml:space="preserve">Request STATUS TRANSAKSI
(PRODUK Tdk Diterima, namun ada bukti TRANSFER)
</t>
    </r>
    <r>
      <rPr>
        <sz val="11"/>
        <color theme="1"/>
        <rFont val="Calibri"/>
        <family val="2"/>
      </rPr>
      <t xml:space="preserve">
[O06530bc] Rekap : 10/VA ONLINE/BAYAR2.COM
PT ENVOIZ DIGITAL INDONESIA
7900124900012645 500000
PT Daya Net Gemilang
7900125000078971 160000
</t>
    </r>
  </si>
  <si>
    <r>
      <t xml:space="preserve">Surat FRAUD
(Dana Terpotong, Produk Tdk Diterima)
</t>
    </r>
    <r>
      <rPr>
        <sz val="11"/>
        <color theme="1"/>
        <rFont val="Calibri"/>
        <family val="2"/>
      </rPr>
      <t xml:space="preserve">
Berita Pengaduan Terkait Penipuan yang Saya Alami dengan transfer melalui referensi plink pay berikut.
PT VISI JAYA INDONESI
8903903600032688 6000000
</t>
    </r>
  </si>
  <si>
    <r>
      <t xml:space="preserve">Request REFUND TRANSAKSI
(Product tidak diterima dan Cust request refund)
</t>
    </r>
    <r>
      <rPr>
        <sz val="11"/>
        <color theme="1"/>
        <rFont val="Calibri"/>
        <family val="2"/>
      </rPr>
      <t xml:space="preserve">Refund 16 maret 2026
JP-001-260316-203014 12412
JP-013-260316-161658 12412
JP-020-260316-135619 20700
JP-020-260316-135319 9900
JP-019-260316-102912 11000
JP-019-260316-102632 11000
</t>
    </r>
  </si>
  <si>
    <r>
      <t xml:space="preserve">Request BUKTI TRANSAKSI VOA dari BANK
(Customer sanggah transaksi CC atas penerbitan Visa)
</t>
    </r>
    <r>
      <rPr>
        <sz val="11"/>
        <color theme="1"/>
        <rFont val="Calibri"/>
        <family val="2"/>
      </rPr>
      <t>KONFIRMASI CHARGEBACK Prismalink*IND VISAARR 16/03/2026 34 TRX</t>
    </r>
  </si>
  <si>
    <r>
      <t xml:space="preserve">Request STATUS TRANSAKSI
(PRODUK Tdk Diterima, namun ada bukti TRANSFER)
</t>
    </r>
    <r>
      <rPr>
        <sz val="11"/>
        <color theme="1"/>
        <rFont val="Calibri"/>
        <family val="2"/>
      </rPr>
      <t xml:space="preserve">
7900119200626903 </t>
    </r>
  </si>
  <si>
    <r>
      <t xml:space="preserve">Request STATUS TRANSAKSI
(PRODUK Tdk Diterima, namun ada bukti TRANSFER)
</t>
    </r>
    <r>
      <rPr>
        <sz val="11"/>
        <color theme="1"/>
        <rFont val="Calibri"/>
        <family val="2"/>
      </rPr>
      <t xml:space="preserve">
7900119200627429 // 2026031340100648868</t>
    </r>
  </si>
  <si>
    <r>
      <t xml:space="preserve">Request STATUS TRANSAKSI dari MERCHANT
(PRODUK diterima, dashboard belum update)
</t>
    </r>
    <r>
      <rPr>
        <sz val="11"/>
        <color theme="1"/>
        <rFont val="Calibri"/>
        <family val="2"/>
      </rPr>
      <t xml:space="preserve">
2026030940100643085 - 7900121700093119 | Amount 10,000
2026030840100980892 - 7900121700080340 | Amount 10,000
2026030840100980986 - 7900121700015301 | Amount 32,000
2026030840100972592 - 7900121700029458 | Amount 50,500
2026030940100643407 - 7900121700068295 | Amount 30,000
2026030840100972781 - 7900121700090783 | Amount 30,000
2026030840100972482 - 7900121700043091 | Amount 50,000
2026030940100642982 - 7900121700046919 | Amount 90,000
2026030840100972336 - 7900121700082764 | Amount 100,000
2026030940100642633 - 7900121700076260 | Amount 113,000
2026030840100972623 - 7900121700081452 | Amount 10,000
2026030940100642106 - 7900121700087155 | Amount 25,000
2026030840100972682 - 7900121700087955 | Amount 39,000
2026030840100980823 - 7900121700047052 | Amount 20,000
2026030940100643076 - 7900121700052255 | Amount 247,000
2026030840100981052 - 7900121700004289 | Amount 50,000
2026031040101028453 - 7900121700037492 | Amount 10,000
2026031140100218382 - 8919101217787315 | Amount 10,000
2026031140100218468 - 8919101217817116 | Amount 10,000</t>
    </r>
  </si>
  <si>
    <r>
      <t xml:space="preserve">Request STATUS TRANSAKSI dari MERCHANT
(PRODUK diterima, dashboard belum update)
</t>
    </r>
    <r>
      <rPr>
        <sz val="11"/>
        <color theme="1"/>
        <rFont val="Calibri"/>
        <family val="2"/>
      </rPr>
      <t xml:space="preserve">
2026031340101049118 //
7900119200627706</t>
    </r>
  </si>
  <si>
    <r>
      <t xml:space="preserve">Request STATUS TRANSAKSI
(PRODUK Tdk Diterima, namun ada bukti TRANSFER)
</t>
    </r>
    <r>
      <rPr>
        <sz val="11"/>
        <color theme="1"/>
        <rFont val="Calibri"/>
        <family val="2"/>
      </rPr>
      <t xml:space="preserve">
7900119200627727</t>
    </r>
  </si>
  <si>
    <r>
      <t xml:space="preserve">Request STATUS TRANSAKSI dari MERCHANT
(PRODUK diterima, dashboard belum update)
</t>
    </r>
    <r>
      <rPr>
        <sz val="11"/>
        <color theme="1"/>
        <rFont val="Calibri"/>
        <family val="2"/>
      </rPr>
      <t xml:space="preserve">
7900119200627729 / 2026031340101058709</t>
    </r>
  </si>
  <si>
    <r>
      <t xml:space="preserve">Request STATUS TRANSAKSI dari MERCHANT
(PRODUK diterima, dashboard belum update)
</t>
    </r>
    <r>
      <rPr>
        <sz val="11"/>
        <color theme="1"/>
        <rFont val="Calibri"/>
        <family val="2"/>
      </rPr>
      <t xml:space="preserve">
P87768167 dengan RRN QRIS 1ml368v48830</t>
    </r>
  </si>
  <si>
    <r>
      <t xml:space="preserve">Request STATUS TRANSAKSI dari MERCHANT
(PRODUK diterima, dashboard belum update)
</t>
    </r>
    <r>
      <rPr>
        <sz val="11"/>
        <color theme="1"/>
        <rFont val="Calibri"/>
        <family val="2"/>
      </rPr>
      <t xml:space="preserve">
P87768116 dengan RRN b500eaff6024</t>
    </r>
  </si>
  <si>
    <r>
      <t xml:space="preserve">Request STATUS TRANSAKSI dari MERCHANT
(PRODUK diterima, dashboard belum update)
</t>
    </r>
    <r>
      <rPr>
        <sz val="11"/>
        <color theme="1"/>
        <rFont val="Calibri"/>
        <family val="2"/>
      </rPr>
      <t xml:space="preserve">
P87767224 dengan RRN TNGD03129842 </t>
    </r>
  </si>
  <si>
    <r>
      <t xml:space="preserve">Request STATUS TRANSAKSI dari MERCHANT
(PRODUK diterima, dashboard belum update)
</t>
    </r>
    <r>
      <rPr>
        <sz val="11"/>
        <color theme="1"/>
        <rFont val="Calibri"/>
        <family val="2"/>
      </rPr>
      <t xml:space="preserve">
P87769791 dengan RRN 001060409531</t>
    </r>
  </si>
  <si>
    <r>
      <t xml:space="preserve">Request STATUS TRANSAKSI dari MERCHANT
(PRODUK diterima, dashboard belum update)
</t>
    </r>
    <r>
      <rPr>
        <sz val="11"/>
        <color theme="1"/>
        <rFont val="Calibri"/>
        <family val="2"/>
      </rPr>
      <t xml:space="preserve">
P87767307 dengan RRN 74c68bd5958d</t>
    </r>
  </si>
  <si>
    <r>
      <t xml:space="preserve">Request STATUS TRANSAKSI dari MERCHANT
(PRODUK diterima, dashboard belum update)
</t>
    </r>
    <r>
      <rPr>
        <sz val="11"/>
        <color theme="1"/>
        <rFont val="Calibri"/>
        <family val="2"/>
      </rPr>
      <t xml:space="preserve">
P87770955 dengan RRN 018311727461</t>
    </r>
  </si>
  <si>
    <r>
      <t xml:space="preserve">Request STATUS TRANSAKSI dari MERCHANT
(PRODUK diterima, dashboard belum update)
</t>
    </r>
    <r>
      <rPr>
        <sz val="11"/>
        <color theme="1"/>
        <rFont val="Calibri"/>
        <family val="2"/>
      </rPr>
      <t xml:space="preserve">
P87770952 dengan RRN 018272115124 </t>
    </r>
  </si>
  <si>
    <r>
      <t xml:space="preserve">Request STATUS TRANSAKSI dari MERCHANT
(PRODUK diterima, dashboard belum update)
</t>
    </r>
    <r>
      <rPr>
        <sz val="11"/>
        <color theme="1"/>
        <rFont val="Calibri"/>
        <family val="2"/>
      </rPr>
      <t xml:space="preserve">
P87769795 dengan RRN 1ml3v9036944 </t>
    </r>
  </si>
  <si>
    <r>
      <t xml:space="preserve">Request STATUS TRANSAKSI dari MERCHANT
(PRODUK diterima, dashboard belum update)
</t>
    </r>
    <r>
      <rPr>
        <sz val="11"/>
        <color theme="1"/>
        <rFont val="Calibri"/>
        <family val="2"/>
      </rPr>
      <t xml:space="preserve">
P87767252 dengan RRN 1ml2u8s68399 </t>
    </r>
  </si>
  <si>
    <r>
      <t xml:space="preserve">Request STATUS TRANSAKSI dari MERCHANT
(PRODUK diterima, dashboard belum update)
</t>
    </r>
    <r>
      <rPr>
        <sz val="11"/>
        <color theme="1"/>
        <rFont val="Calibri"/>
        <family val="2"/>
      </rPr>
      <t xml:space="preserve">
P87768126 dengan RRN 018225531984 </t>
    </r>
  </si>
  <si>
    <r>
      <t xml:space="preserve">Request STATUS TRANSAKSI dari MERCHANT
(PRODUK diterima, dashboard belum update)
</t>
    </r>
    <r>
      <rPr>
        <sz val="11"/>
        <color theme="1"/>
        <rFont val="Calibri"/>
        <family val="2"/>
      </rPr>
      <t xml:space="preserve">
P87768155 RRN  001060381456 </t>
    </r>
  </si>
  <si>
    <r>
      <t xml:space="preserve">Request STATUS TRANSAKSI dari MERCHANT
(PRODUK diterima, dashboard belum update)
</t>
    </r>
    <r>
      <rPr>
        <sz val="11"/>
        <color theme="1"/>
        <rFont val="Calibri"/>
        <family val="2"/>
      </rPr>
      <t xml:space="preserve">
P87769153 RRN  c30ae611a0ec </t>
    </r>
  </si>
  <si>
    <r>
      <t xml:space="preserve">Request STATUS TRANSAKSI dari MERCHANT
(PRODUK diterima, dashboard belum update)
</t>
    </r>
    <r>
      <rPr>
        <sz val="11"/>
        <color theme="1"/>
        <rFont val="Calibri"/>
        <family val="2"/>
      </rPr>
      <t xml:space="preserve">
P87770863 RRN  1ml4a9800870</t>
    </r>
  </si>
  <si>
    <r>
      <t xml:space="preserve">Request STATUS TRANSAKSI
(PRODUK Tdk Diterima, namun ada bukti TRANSFER)
</t>
    </r>
    <r>
      <rPr>
        <sz val="11"/>
        <color theme="1"/>
        <rFont val="Calibri"/>
        <family val="2"/>
      </rPr>
      <t xml:space="preserve">
NACL1408619381 / 7900125000099494 </t>
    </r>
  </si>
  <si>
    <r>
      <t xml:space="preserve">Request STATUS TRANSAKSI
(PRODUK Tdk Diterima, namun ada bukti TRANSFER)
</t>
    </r>
    <r>
      <rPr>
        <sz val="11"/>
        <color theme="1"/>
        <rFont val="Calibri"/>
        <family val="2"/>
      </rPr>
      <t xml:space="preserve">
7900119200621104 </t>
    </r>
  </si>
  <si>
    <r>
      <t xml:space="preserve">Request BUKTI TRANSAKSI VOA dari BANK
(Customer sanggah transaksi CC atas penerbitan Visa)
</t>
    </r>
    <r>
      <rPr>
        <sz val="11"/>
        <color theme="1"/>
        <rFont val="Calibri"/>
        <family val="2"/>
      </rPr>
      <t>PERMOHONAN BUKTI TRANSAKSI PRISMALINK*IND VISAARR #25/03/2026 35 TRX</t>
    </r>
  </si>
  <si>
    <r>
      <t xml:space="preserve">Request BUKTI TRANSAKSI VOA dari BANK
(Customer sanggah transaksi CC atas penerbitan Visa)
</t>
    </r>
    <r>
      <rPr>
        <sz val="11"/>
        <color theme="1"/>
        <rFont val="Calibri"/>
        <family val="2"/>
      </rPr>
      <t>KONFIRMASI CHARGEBACK Prismalink*IND VISAARR 17/03/2026 60 TRX</t>
    </r>
  </si>
  <si>
    <r>
      <t xml:space="preserve">Request BUKTI REFUND TRANSAKSI
(Customer request refund transaksi double)
</t>
    </r>
    <r>
      <rPr>
        <sz val="11"/>
        <color theme="1"/>
        <rFont val="Calibri"/>
        <family val="2"/>
      </rPr>
      <t>Refund for duplicate transactions</t>
    </r>
  </si>
  <si>
    <r>
      <t xml:space="preserve">Request BUKTI REFUND TRANSAKSI
(Customer request refund transaksi double)
</t>
    </r>
    <r>
      <rPr>
        <sz val="11"/>
        <color theme="1"/>
        <rFont val="Calibri"/>
        <family val="2"/>
      </rPr>
      <t xml:space="preserve">Request for Refund - Double Charge for Visa on Arrival </t>
    </r>
  </si>
  <si>
    <r>
      <t xml:space="preserve">Request REFUND TRANSAKSI
(Product tidak diterima dan Cust request refund)
</t>
    </r>
    <r>
      <rPr>
        <sz val="11"/>
        <color theme="1"/>
        <rFont val="Calibri"/>
        <family val="2"/>
      </rPr>
      <t xml:space="preserve">Refund 17 Maret 2026
JP-013-260317-203208 5000
JP-004-260317-192345 4392
JP-017-260317-181612 4867
JP-017-260317-181355 3500
JP-019-260317-171210 12000
JP-019-260317-171006 8000
</t>
    </r>
  </si>
  <si>
    <r>
      <t xml:space="preserve">Request BUKTI REFUND TRANSAKSI
(Customer request refund transaksi double)
</t>
    </r>
    <r>
      <rPr>
        <sz val="11"/>
        <color theme="1"/>
        <rFont val="Calibri"/>
        <family val="2"/>
      </rPr>
      <t>Duplicate payment – e-visa Indonesia – Refund request</t>
    </r>
  </si>
  <si>
    <r>
      <t xml:space="preserve">Surat FRAUD
(Dana Terpotong, Produk Tdk Diterima)
</t>
    </r>
    <r>
      <rPr>
        <sz val="11"/>
        <color theme="1"/>
        <rFont val="Calibri"/>
        <family val="2"/>
      </rPr>
      <t xml:space="preserve">
Kronologis Penipuan LP_Muhammad Rivani
PT Envoiz Digital Indonesia
4041910124942485 3960000
</t>
    </r>
  </si>
  <si>
    <r>
      <t xml:space="preserve">Surat FRAUD
(Dana Terpotong, Produk Tdk Diterima)
</t>
    </r>
    <r>
      <rPr>
        <sz val="11"/>
        <color theme="1"/>
        <rFont val="Calibri"/>
        <family val="2"/>
      </rPr>
      <t xml:space="preserve">
[NOBUCRM] Tiket R-620676 Telah Ditugaskan Pada Anda
Digicell
0141319032696803130 3000000
0141319032672353952 1000000
0141219032607013975 700000
</t>
    </r>
  </si>
  <si>
    <r>
      <t xml:space="preserve">Surat FRAUD
(Dana Terpotong, Produk Tdk Diterima)
</t>
    </r>
    <r>
      <rPr>
        <sz val="11"/>
        <color theme="1"/>
        <rFont val="Calibri"/>
        <family val="2"/>
      </rPr>
      <t xml:space="preserve">
MELAPORKAN KASUS PENIPUAN MELALUI BAYAR2.COM
PT Teknologi Awan Cerah
7900121700075614 3500000
</t>
    </r>
  </si>
  <si>
    <r>
      <t xml:space="preserve">Request BUKTI REFUND TRANSAKSI
(Customer request refund transaksi double)
</t>
    </r>
    <r>
      <rPr>
        <sz val="11"/>
        <color theme="1"/>
        <rFont val="Calibri"/>
        <family val="2"/>
      </rPr>
      <t>RE: ***SPAM***  Kartu visa saya ke cas 2 kali mohon untuk merifund</t>
    </r>
  </si>
  <si>
    <r>
      <t xml:space="preserve">Request BUKTI REFUND TRANSAKSI
(Customer request refund transaksi double)
</t>
    </r>
    <r>
      <rPr>
        <sz val="11"/>
        <color theme="1"/>
        <rFont val="Calibri"/>
        <family val="2"/>
      </rPr>
      <t>Visa fee overcharged</t>
    </r>
  </si>
  <si>
    <r>
      <t xml:space="preserve">Request BUKTI REFUND TRANSAKSI
(Customer request refund transaksi double)
</t>
    </r>
    <r>
      <rPr>
        <sz val="11"/>
        <color theme="1"/>
        <rFont val="Calibri"/>
        <family val="2"/>
      </rPr>
      <t>Request for Refund – Duplicate Visa on Arrival Charge (Bali Immigration)</t>
    </r>
  </si>
  <si>
    <r>
      <t xml:space="preserve">Request BUKTI REFUND TRANSAKSI
(Customer request refund transaksi double)
</t>
    </r>
    <r>
      <rPr>
        <sz val="11"/>
        <color theme="1"/>
        <rFont val="Calibri"/>
        <family val="2"/>
      </rPr>
      <t>RE: Request for Refund – Duplicate Payment for Indonesia Visa</t>
    </r>
  </si>
  <si>
    <r>
      <t xml:space="preserve">Request BUKTI REFUND TRANSAKSI
(Customer request refund transaksi double)
</t>
    </r>
    <r>
      <rPr>
        <sz val="11"/>
        <color theme="1"/>
        <rFont val="Calibri"/>
        <family val="2"/>
      </rPr>
      <t>Request Refund transaction #3585889798</t>
    </r>
  </si>
  <si>
    <r>
      <t xml:space="preserve">Request REFUND TRANSAKSI
(Product tidak diterima dan Cust request refund)
</t>
    </r>
    <r>
      <rPr>
        <sz val="11"/>
        <color theme="1"/>
        <rFont val="Calibri"/>
        <family val="2"/>
      </rPr>
      <t xml:space="preserve">Refund 18-24 Maret 2026
</t>
    </r>
  </si>
  <si>
    <r>
      <t xml:space="preserve">Surat FRAUD
(Dana Terpotong, Produk Tdk Diterima)
</t>
    </r>
    <r>
      <rPr>
        <sz val="11"/>
        <color theme="1"/>
        <rFont val="Calibri"/>
        <family val="2"/>
      </rPr>
      <t xml:space="preserve">
[NOBUCRM] Tiket R-620832 Telah Ditugaskan Pada Anda
PT Daya Net Gemilang
1mrjr6m98474 9000000
000351193456 850000
000351186547 6000000
1mrjl6r60168 900000
000351185436 2000000
000351168521 850000
1mrja6h86073 900000
000351128507 850000
000351122549 1000000
000351121435 850000
000351114288 1000000
000000R7DJDP 8000000
000351112861 847321
000351097844 850000
000000R7GKV4 2000000
000000R7FDXN 1750000
000000R7DFHR 2000000
1mriu6x31794 1000000
000351048040 848000
000000R7FTBV 1100000
000350992338 5000000
000350990352 2000000
000350985387 850000
</t>
    </r>
  </si>
  <si>
    <r>
      <t xml:space="preserve">Request BUKTI REFUND TRANSAKSI
(Customer request refund transaksi double)
</t>
    </r>
    <r>
      <rPr>
        <sz val="11"/>
        <color theme="1"/>
        <rFont val="Calibri"/>
        <family val="2"/>
      </rPr>
      <t xml:space="preserve">Return my money back </t>
    </r>
  </si>
  <si>
    <r>
      <t xml:space="preserve">Surat FRAUD
(Dana Terpotong, Produk Tdk Diterima)
</t>
    </r>
    <r>
      <rPr>
        <sz val="11"/>
        <color theme="1"/>
        <rFont val="Calibri"/>
        <family val="2"/>
      </rPr>
      <t xml:space="preserve">
[NOBUCRM] Tiket R-621172 Telah Ditugaskan Pada Anda
Dnd Cell
1ms7g9131588 9871020
1ms7k8x83856 9871020
1ms7k8883123 9871020
1ms7l9135479 9871020
1ms7m9607768 9871020
1ms7o8t81742 9871020
1ms7p9137980 850950
</t>
    </r>
  </si>
  <si>
    <r>
      <t xml:space="preserve">Request BUKTI REFUND TRANSAKSI
(Customer request refund transaksi double)
</t>
    </r>
    <r>
      <rPr>
        <sz val="11"/>
        <color theme="1"/>
        <rFont val="Calibri"/>
        <family val="2"/>
      </rPr>
      <t>Возврат средств</t>
    </r>
  </si>
  <si>
    <r>
      <t xml:space="preserve">Surat FRAUD
(Dana Terpotong, Produk Tdk Diterima)
</t>
    </r>
    <r>
      <rPr>
        <sz val="11"/>
        <color theme="1"/>
        <rFont val="Calibri"/>
        <family val="2"/>
      </rPr>
      <t xml:space="preserve">
[NOBUCRM] Tiket R-622009 Telah Ditugaskan Pada Anda
SAVER CELL
1mwbnnf09249 169800
000444401523 2547000
000444429773 849000
000444443491 1698000
1mwbune29636 169800
000444457592 1698000
000444457800 3396000
000444525867 509400
1mwbxng12397 169800
000444549811 8490000
000444568006 1698000
1mwbzmt86217 169800
000444578120 3396000
1mwbznb41375 339600
000000RN7CMG 339600
000444612995 407520
1mwc1n286657 169800
1mwc1n480100 849000
000444639257 849000
000444724365 849000
000444818798 509400
000444948646 3396000
000444981529 1698000
000445107092 3396000
000445207497 8490000
000445243409 3396000
000445258809 1681020
1mwcymv85940 339600
000445435474 339600
000445513992 849000
</t>
    </r>
  </si>
  <si>
    <r>
      <t xml:space="preserve">Surat FRAUD
(Dana Terpotong, Produk Tdk Diterima)
</t>
    </r>
    <r>
      <rPr>
        <sz val="11"/>
        <color theme="1"/>
        <rFont val="Calibri"/>
        <family val="2"/>
      </rPr>
      <t xml:space="preserve">
[NOBUCRM] Tiket R-622210 Telah Ditugaskan Pada Anda
SAVER CELL
000460622545 1698800
1mx3xph90595 509640
000460583057 509640
000460573625 499447
000460521797 169880
000000RQBN2V 8494000
000460512168 169880
000460502077 849000
000460495189 1443980
000460494464 3397600
000460494076 169880
000460486793 509640
000460464749 339760
000460462743 3397600
000460446376 169880
000000RQCB6Q 3397600
000460433983 3397600
000000RQBK45 3397600
000460415209 1698800
000000RQBTGR 3397600
000460401346 169880
000000RQBQXM 3397600
000000RQBG9P 3397600
000460338315 2548200
000460336597 169880
000460333101 169880
000000RQB5RP 1698800
000460328524 849400
1mwcymv85940 339600
000445435474 339600
000445513992 849000
</t>
    </r>
  </si>
  <si>
    <r>
      <t xml:space="preserve">Request BUKTI REFUND TRANSAKSI
(Customer request refund transaksi double)
</t>
    </r>
    <r>
      <rPr>
        <sz val="11"/>
        <color theme="1"/>
        <rFont val="Calibri"/>
        <family val="2"/>
      </rPr>
      <t>Multiple Payment Charged</t>
    </r>
  </si>
  <si>
    <r>
      <t xml:space="preserve">Surat FRAUD
(Dana Terpotong, Produk Tdk Diterima)
</t>
    </r>
    <r>
      <rPr>
        <sz val="11"/>
        <color theme="1"/>
        <rFont val="Calibri"/>
        <family val="2"/>
      </rPr>
      <t xml:space="preserve">
[O5dc0594] Indikasi Penipuan: BAYAR2.COM/25032026/048
PT Daya Net Gemilang
7900125000078825 23123456
</t>
    </r>
  </si>
  <si>
    <r>
      <t xml:space="preserve">Surat FRAUD
(Dana Terpotong, Produk Tdk Diterima)
</t>
    </r>
    <r>
      <rPr>
        <sz val="11"/>
        <color theme="1"/>
        <rFont val="Calibri"/>
        <family val="2"/>
      </rPr>
      <t xml:space="preserve">
[NOBUCRM] Tiket R-621171 Telah Ditugaskan Pada Anda
Growcell
'000352895038 '10000000
'000352848159 '7000000
'000352824785 '200000
'000352763626 '200000
'000352729253 '200000
'000352706014 '390000
'000352635089 '2000000
'000352609555 '1000000
'000000R7PW0X '200000
'000352527121 '200000
'000352485315 '2000000
'000352379744 '10000000
'000352368391 '200000
'000352366790 '3000000
'000352290216 '8000000
'000352275249 '515000
'000000R7MLV4 '300000
'000352226655 '5000000
'000352219167 '500000
000460328524 849400
1mwcymv85940 339600
000445435474 339600
000445513992 849000
</t>
    </r>
  </si>
  <si>
    <r>
      <t xml:space="preserve">Request STATUS TRANSAKSI
(PRODUK Tdk Diterima, namun ada bukti TRANSFER)
</t>
    </r>
    <r>
      <rPr>
        <sz val="11"/>
        <color theme="1"/>
        <rFont val="Calibri"/>
        <family val="2"/>
      </rPr>
      <t>[O4227576] Rekap : 11/VA ONLINE/BAYAR2.COM
PT Teknologi Awan Cerah
7900121700020955 5082447</t>
    </r>
  </si>
  <si>
    <r>
      <t xml:space="preserve">Request BUKTI REFUND TRANSAKSI
(Customer request refund transaksi double)
</t>
    </r>
    <r>
      <rPr>
        <sz val="11"/>
        <color theme="1"/>
        <rFont val="Calibri"/>
        <family val="2"/>
      </rPr>
      <t>Visa application charged twice on arrival!</t>
    </r>
  </si>
  <si>
    <r>
      <t xml:space="preserve">Request BUKTI TRANSAKSI VOA dari BANK
(Pengajuan Pre-Arb oleh Bank)
</t>
    </r>
    <r>
      <rPr>
        <sz val="11"/>
        <color theme="1"/>
        <rFont val="Calibri"/>
        <family val="2"/>
      </rPr>
      <t>KONFIRMASI PRE ARBITRASI Prismalink*IND VISAARR 26/03/2026 91 TRX</t>
    </r>
  </si>
  <si>
    <r>
      <t xml:space="preserve">Request REFUND TRANSAKSI
(Product tidak diterima dan Cust request refund)
</t>
    </r>
    <r>
      <rPr>
        <sz val="11"/>
        <color theme="1"/>
        <rFont val="Calibri"/>
        <family val="2"/>
      </rPr>
      <t xml:space="preserve">Refund 25 Maret 2026
JP-004-260325-235158 6600
JP-004-260325-225032 5000
JP-018-260325-224115 4392
JP-004-260325-223656 5000
JP-016-260325-200018 19528
JP-004-260325-194450 12412
JP-011-260325-190532 4000
JP-011-260325-190453 11500
JP-011-260325-185144 10000
JP-011-260325-185053 10000
JP-011-260325-184546 11000
JP-011-260325-184603 11000
JP-011-260325-184409 11000
JP-011-260325-184359 11000
JP-011-260325-172717 10000
JP-015-260325-171731 8000
JP-019-260325-145631 14000
JP-020-260325-145214 9500
JP-002-260325-144737 12412
JP-016-260325-144720 12470
JP-016-260325-144404 12470
JP-018-260325-143308 13000
JP-016-260325-131320 19528
JP-020-260325-121850 9500
JP-016-260325-115517 18010
JP-020-260325-114647 9500
JP-004-260325-112813 5000
JP-015-260325-105709 12000
JP-015-260325-103729 16000
JP-007-260325-102223 7360
JP-015-260325-102213 12000
JP-015-260325-101309 9500
JP-006-260325-071919 37800
</t>
    </r>
  </si>
  <si>
    <r>
      <t xml:space="preserve">Request BUKTI TRANSAKSI VOA dari BANK
(Pengajuan Pre-Arb oleh Bank)
</t>
    </r>
    <r>
      <rPr>
        <sz val="11"/>
        <color theme="1"/>
        <rFont val="Calibri"/>
        <family val="2"/>
      </rPr>
      <t>Permohonan Konfirmasi Pre-Arbitrasi Prismalink #25032026 JCB</t>
    </r>
  </si>
  <si>
    <r>
      <t xml:space="preserve">Request BUKTI TRANSAKSI CC dari BANK
(Customer sanggah transaksi CC)
</t>
    </r>
    <r>
      <rPr>
        <sz val="11"/>
        <color theme="1"/>
        <rFont val="Calibri"/>
        <family val="2"/>
      </rPr>
      <t>KONFIRMASI CHARGEBACK Prismalink*IND VISAARR 26/03/2026 63 TRX</t>
    </r>
  </si>
  <si>
    <r>
      <t xml:space="preserve">Request STATUS TRANSAKSI
(PRODUK Tdk Diterima, namun ada bukti TRANSFER)
</t>
    </r>
    <r>
      <rPr>
        <sz val="11"/>
        <color theme="1"/>
        <rFont val="Calibri"/>
        <family val="2"/>
      </rPr>
      <t xml:space="preserve">
7900125000023890 // NACL1419391372</t>
    </r>
  </si>
  <si>
    <r>
      <t xml:space="preserve">Request STATUS TRANSAKSI
(PRODUK Tdk Diterima, namun ada bukti TRANSFER)
</t>
    </r>
    <r>
      <rPr>
        <sz val="11"/>
        <color theme="1"/>
        <rFont val="Calibri"/>
        <family val="2"/>
      </rPr>
      <t xml:space="preserve">
NACL1423407356 / 018162942608</t>
    </r>
  </si>
  <si>
    <r>
      <t xml:space="preserve">Request STATUS TRANSAKSI
(PRODUK Tdk Diterima, namun ada bukti TRANSFER)
</t>
    </r>
    <r>
      <rPr>
        <sz val="11"/>
        <color theme="1"/>
        <rFont val="Calibri"/>
        <family val="2"/>
      </rPr>
      <t xml:space="preserve">
ID NACL1424240335 // RRN 000314104914</t>
    </r>
  </si>
  <si>
    <r>
      <t xml:space="preserve">Request STATUS TRANSAKSI
(PRODUK Tdk Diterima, namun ada bukti TRANSFER)
</t>
    </r>
    <r>
      <rPr>
        <sz val="11"/>
        <color theme="1"/>
        <rFont val="Calibri"/>
        <family val="2"/>
      </rPr>
      <t xml:space="preserve">
NACL1424436502 // RRN 000316650626 </t>
    </r>
  </si>
  <si>
    <r>
      <t xml:space="preserve">Request STATUS TRANSAKSI dari MERCHANT
(PRODUK diterima, dashboard belum update)
</t>
    </r>
    <r>
      <rPr>
        <sz val="11"/>
        <color theme="1"/>
        <rFont val="Calibri"/>
        <family val="2"/>
      </rPr>
      <t xml:space="preserve">
4041910124989996  // NACL1420438634 </t>
    </r>
  </si>
  <si>
    <r>
      <t xml:space="preserve">Request STATUS TRANSAKSI dari MERCHANT
(PRODUK diterima, dashboard belum update)
</t>
    </r>
    <r>
      <rPr>
        <sz val="11"/>
        <color theme="1"/>
        <rFont val="Calibri"/>
        <family val="2"/>
      </rPr>
      <t xml:space="preserve">
018476687715</t>
    </r>
  </si>
  <si>
    <r>
      <t xml:space="preserve">Request STATUS TRANSAKSI dari MERCHANT
(PRODUK diterima, dashboard belum update)
</t>
    </r>
    <r>
      <rPr>
        <sz val="11"/>
        <color theme="1"/>
        <rFont val="Calibri"/>
        <family val="2"/>
      </rPr>
      <t xml:space="preserve">
 018130462932 </t>
    </r>
  </si>
  <si>
    <r>
      <t xml:space="preserve">Request STATUS TRANSAKSI dari MERCHANT
(PRODUK diterima, dashboard belum update)
</t>
    </r>
    <r>
      <rPr>
        <sz val="11"/>
        <color theme="1"/>
        <rFont val="Calibri"/>
        <family val="2"/>
      </rPr>
      <t xml:space="preserve">
NACL1425185497 RRN 603591010917 </t>
    </r>
  </si>
  <si>
    <r>
      <t xml:space="preserve">Request STATUS TRANSAKSI dari MERCHANT
(PRODUK diterima, dashboard belum update)
</t>
    </r>
    <r>
      <rPr>
        <sz val="11"/>
        <color theme="1"/>
        <rFont val="Calibri"/>
        <family val="2"/>
      </rPr>
      <t xml:space="preserve">
NACL1424485309 RRN 000000R2QY0C </t>
    </r>
  </si>
  <si>
    <r>
      <t xml:space="preserve">Request STATUS TRANSAKSI
(PRODUK Tdk Diterima, namun ada bukti TRANSFER)
</t>
    </r>
    <r>
      <rPr>
        <sz val="11"/>
        <color theme="1"/>
        <rFont val="Calibri"/>
        <family val="2"/>
      </rPr>
      <t xml:space="preserve">
NACL1423618331 / 000000R1HDG6</t>
    </r>
  </si>
  <si>
    <r>
      <t xml:space="preserve">Request STATUS TRANSAKSI
(PRODUK Tdk Diterima, namun ada bukti TRANSFER)
</t>
    </r>
    <r>
      <rPr>
        <sz val="11"/>
        <color theme="1"/>
        <rFont val="Calibri"/>
        <family val="2"/>
      </rPr>
      <t xml:space="preserve">
NACL1426837348 / 0000341471982</t>
    </r>
  </si>
  <si>
    <r>
      <t xml:space="preserve">Request STATUS TRANSAKSI dari MERCHANT
(PRODUK diterima, dashboard belum update)
</t>
    </r>
    <r>
      <rPr>
        <sz val="11"/>
        <color theme="1"/>
        <rFont val="Calibri"/>
        <family val="2"/>
      </rPr>
      <t xml:space="preserve">
359910915622 // NACL1427268983 </t>
    </r>
  </si>
  <si>
    <r>
      <t xml:space="preserve">Request STATUS TRANSAKSI dari MERCHANT
(PRODUK diterima, dashboard belum update)
</t>
    </r>
    <r>
      <rPr>
        <sz val="11"/>
        <color theme="1"/>
        <rFont val="Calibri"/>
        <family val="2"/>
      </rPr>
      <t xml:space="preserve">
018358850083</t>
    </r>
  </si>
  <si>
    <r>
      <t xml:space="preserve">Request STATUS TRANSAKSI dari MERCHANT
(PRODUK diterima, dashboard belum update)
</t>
    </r>
    <r>
      <rPr>
        <sz val="11"/>
        <color theme="1"/>
        <rFont val="Calibri"/>
        <family val="2"/>
      </rPr>
      <t xml:space="preserve">
346410723</t>
    </r>
  </si>
  <si>
    <r>
      <t xml:space="preserve">Request STATUS TRANSAKSI dari MERCHANT
(PRODUK diterima, dashboard belum update)
</t>
    </r>
    <r>
      <rPr>
        <sz val="11"/>
        <color theme="1"/>
        <rFont val="Calibri"/>
        <family val="2"/>
      </rPr>
      <t xml:space="preserve">
NACL1427294665 RRN 1mr6n5c35159</t>
    </r>
  </si>
  <si>
    <r>
      <t xml:space="preserve">Request STATUS TRANSAKSI dari MERCHANT
(PRODUK diterima, dashboard belum update)
</t>
    </r>
    <r>
      <rPr>
        <sz val="11"/>
        <color theme="1"/>
        <rFont val="Calibri"/>
        <family val="2"/>
      </rPr>
      <t xml:space="preserve">
NACL1427294524 RRN 018333337939</t>
    </r>
  </si>
  <si>
    <r>
      <t xml:space="preserve">Request STATUS TRANSAKSI dari MERCHANT
(PRODUK diterima, dashboard belum update)
</t>
    </r>
    <r>
      <rPr>
        <sz val="11"/>
        <color theme="1"/>
        <rFont val="Calibri"/>
        <family val="2"/>
      </rPr>
      <t>NACL1427294117 RRN 000000R6CDJF</t>
    </r>
  </si>
  <si>
    <r>
      <t xml:space="preserve">Request STATUS TRANSAKSI dari MERCHANT
(PRODUK diterima, dashboard belum update)
</t>
    </r>
    <r>
      <rPr>
        <sz val="11"/>
        <color theme="1"/>
        <rFont val="Calibri"/>
        <family val="2"/>
      </rPr>
      <t>NACL1427142102 RRN 000345004624</t>
    </r>
  </si>
  <si>
    <r>
      <t xml:space="preserve">Request STATUS TRANSAKSI dari MERCHANT
(PRODUK diterima, dashboard belum update)
</t>
    </r>
    <r>
      <rPr>
        <sz val="11"/>
        <color theme="1"/>
        <rFont val="Calibri"/>
        <family val="2"/>
      </rPr>
      <t>NACL1424327115 RRN/No Ref JQI575514570</t>
    </r>
  </si>
  <si>
    <r>
      <t xml:space="preserve">Request STATUS TRANSAKSI dari MERCHANT
(PRODUK diterima, dashboard belum update)
</t>
    </r>
    <r>
      <rPr>
        <sz val="11"/>
        <color theme="1"/>
        <rFont val="Calibri"/>
        <family val="2"/>
      </rPr>
      <t>NACL1427001732 RRN 603597289429</t>
    </r>
  </si>
  <si>
    <r>
      <t xml:space="preserve">Request STATUS TRANSAKSI dari MERCHANT
(PRODUK diterima, dashboard belum update)
</t>
    </r>
    <r>
      <rPr>
        <sz val="11"/>
        <color theme="1"/>
        <rFont val="Calibri"/>
        <family val="2"/>
      </rPr>
      <t>NACL1426630152 RRN 603596782416</t>
    </r>
  </si>
  <si>
    <r>
      <t xml:space="preserve">Request STATUS TRANSAKSI dari MERCHANT
(PRODUK diterima, dashboard belum update)
</t>
    </r>
    <r>
      <rPr>
        <sz val="11"/>
        <color theme="1"/>
        <rFont val="Calibri"/>
        <family val="2"/>
      </rPr>
      <t>NACL1421276008
NACL1423384005
NACL1424358984
NACL1425189466
NACL1425192007
NACL1427345268
NACL1427346879
NACL1427348094
NACL1427348107
NACL1427348513</t>
    </r>
  </si>
  <si>
    <r>
      <t xml:space="preserve">Request STATUS TRANSAKSI
(PRODUK Tdk Diterima, namun ada bukti TRANSFER)
</t>
    </r>
    <r>
      <rPr>
        <sz val="11"/>
        <color theme="1"/>
        <rFont val="Calibri"/>
        <family val="2"/>
      </rPr>
      <t xml:space="preserve">
018167389919</t>
    </r>
  </si>
  <si>
    <r>
      <t xml:space="preserve">Request STATUS TRANSAKSI dari MERCHANT
(PRODUK diterima, dashboard belum update)
</t>
    </r>
    <r>
      <rPr>
        <sz val="11"/>
        <color theme="1"/>
        <rFont val="Calibri"/>
        <family val="2"/>
      </rPr>
      <t xml:space="preserve">8903910117916006 </t>
    </r>
  </si>
  <si>
    <r>
      <t xml:space="preserve">Request STATUS TRANSAKSI dari MERCHANT
(PRODUK diterima, dashboard belum update)
</t>
    </r>
    <r>
      <rPr>
        <sz val="11"/>
        <color theme="1"/>
        <rFont val="Calibri"/>
        <family val="2"/>
      </rPr>
      <t xml:space="preserve">4041910117980762  </t>
    </r>
  </si>
  <si>
    <r>
      <t xml:space="preserve">Request STATUS TRANSAKSI
(PRODUK Tdk Diterima, namun ada bukti TRANSFER)
</t>
    </r>
    <r>
      <rPr>
        <sz val="11"/>
        <color theme="1"/>
        <rFont val="Calibri"/>
        <family val="2"/>
      </rPr>
      <t xml:space="preserve">
P88595369 dengan RRN  018273003799</t>
    </r>
  </si>
  <si>
    <r>
      <t xml:space="preserve">Request STATUS TRANSAKSI
(PRODUK Tdk Diterima, namun ada bukti TRANSFER)
</t>
    </r>
    <r>
      <rPr>
        <sz val="11"/>
        <color theme="1"/>
        <rFont val="Calibri"/>
        <family val="2"/>
      </rPr>
      <t xml:space="preserve">
7900119200675422  </t>
    </r>
  </si>
  <si>
    <r>
      <t xml:space="preserve">Request STATUS TRANSAKSI
(PRODUK Tdk Diterima, namun ada bukti TRANSFER)
</t>
    </r>
    <r>
      <rPr>
        <sz val="11"/>
        <color theme="1"/>
        <rFont val="Calibri"/>
        <family val="2"/>
      </rPr>
      <t xml:space="preserve">
P88595369 dengan RRN  018273003799  </t>
    </r>
  </si>
  <si>
    <r>
      <t xml:space="preserve">Request STATUS TRANSAKSI
(PRODUK Tdk Diterima, namun ada bukti TRANSFER)
</t>
    </r>
    <r>
      <rPr>
        <sz val="11"/>
        <color theme="1"/>
        <rFont val="Calibri"/>
        <family val="2"/>
      </rPr>
      <t xml:space="preserve">
7900121700014860 </t>
    </r>
  </si>
  <si>
    <r>
      <t xml:space="preserve">Request STATUS TRANSAKSI
(PRODUK Tdk Diterima, namun ada bukti TRANSFER)
</t>
    </r>
    <r>
      <rPr>
        <sz val="11"/>
        <color theme="1"/>
        <rFont val="Calibri"/>
        <family val="2"/>
      </rPr>
      <t xml:space="preserve">
420460567</t>
    </r>
  </si>
  <si>
    <r>
      <t xml:space="preserve">Request STATUS TRANSAKSI
(PRODUK Tdk Diterima, namun ada bukti TRANSFER)
</t>
    </r>
    <r>
      <rPr>
        <sz val="11"/>
        <color theme="1"/>
        <rFont val="Calibri"/>
        <family val="2"/>
      </rPr>
      <t xml:space="preserve">
000000R68JZ3</t>
    </r>
  </si>
  <si>
    <r>
      <t xml:space="preserve">Request STATUS TRANSAKSI
(PRODUK Tdk Diterima, namun ada bukti TRANSFER)
</t>
    </r>
    <r>
      <rPr>
        <sz val="11"/>
        <color theme="1"/>
        <rFont val="Calibri"/>
        <family val="2"/>
      </rPr>
      <t xml:space="preserve">
018381511293</t>
    </r>
  </si>
  <si>
    <r>
      <t xml:space="preserve">Request STATUS TRANSAKSI dari MERCHANT
(PRODUK diterima, dashboard belum update)
</t>
    </r>
    <r>
      <rPr>
        <sz val="11"/>
        <color theme="1"/>
        <rFont val="Calibri"/>
        <family val="2"/>
      </rPr>
      <t>018424502593</t>
    </r>
  </si>
  <si>
    <r>
      <t xml:space="preserve">Request STATUS TRANSAKSI
(PRODUK Tdk Diterima, namun ada bukti TRANSFER)
</t>
    </r>
    <r>
      <rPr>
        <sz val="11"/>
        <color theme="1"/>
        <rFont val="Calibri"/>
        <family val="2"/>
      </rPr>
      <t xml:space="preserve">
7900119200662830 </t>
    </r>
  </si>
  <si>
    <r>
      <t xml:space="preserve">Request STATUS TRANSAKSI
(PRODUK Tdk Diterima, namun ada bukti TRANSFER)
</t>
    </r>
    <r>
      <rPr>
        <sz val="11"/>
        <color theme="1"/>
        <rFont val="Calibri"/>
        <family val="2"/>
      </rPr>
      <t xml:space="preserve">
AX4U1MFJA3LU
AX4U1MFIK45N
AX4UR57UTBHA
000364282469
AX4UR57VK7IR
AX4UEDTOC3ZB</t>
    </r>
  </si>
  <si>
    <r>
      <t xml:space="preserve">Request STATUS TRANSAKSI dari MERCHANT
(PRODUK diterima, dashboard belum update)
</t>
    </r>
    <r>
      <rPr>
        <sz val="11"/>
        <color theme="1"/>
        <rFont val="Calibri"/>
        <family val="2"/>
      </rPr>
      <t>INTERNALCELL
RRN 438689490 // ID NACL1434388282
SITRACELL 
NACL1428346146
INTEGRACELL
NACL1431750502
NACL1432135977
Growcell
NACL1433767104
DND CEll
NACL1431987531
NACL1432655103
NACL1432654628
NACL1432653587
NACL1432621337</t>
    </r>
  </si>
  <si>
    <r>
      <t xml:space="preserve">Request STATUS TRANSAKSI dari MERCHANT
(PRODUK diterima, dashboard belum update)
</t>
    </r>
    <r>
      <rPr>
        <sz val="11"/>
        <color theme="1"/>
        <rFont val="Calibri"/>
        <family val="2"/>
      </rPr>
      <t xml:space="preserve">RRN: 018467618945 </t>
    </r>
  </si>
  <si>
    <r>
      <t xml:space="preserve">Request STATUS TRANSAKSI
(PRODUK Tdk Diterima, namun ada bukti TRANSFER)
</t>
    </r>
    <r>
      <rPr>
        <sz val="11"/>
        <color theme="1"/>
        <rFont val="Calibri"/>
        <family val="2"/>
      </rPr>
      <t xml:space="preserve">
7900125000052304</t>
    </r>
  </si>
  <si>
    <r>
      <t xml:space="preserve">Request STATUS TRANSAKSI dari MERCHANT
(PRODUK diterima, dashboard belum update)
</t>
    </r>
    <r>
      <rPr>
        <sz val="11"/>
        <color theme="1"/>
        <rFont val="Calibri"/>
        <family val="2"/>
      </rPr>
      <t xml:space="preserve">RRN: 018384772839 </t>
    </r>
  </si>
  <si>
    <r>
      <t xml:space="preserve">Request STATUS TRANSAKSI dari MERCHANT
(PRODUK diterima, dashboard belum update)
</t>
    </r>
    <r>
      <rPr>
        <sz val="11"/>
        <color theme="1"/>
        <rFont val="Calibri"/>
        <family val="2"/>
      </rPr>
      <t>RRN: 603647887494</t>
    </r>
  </si>
  <si>
    <r>
      <t xml:space="preserve">Request STATUS TRANSAKSI dari MERCHANT
(PRODUK diterima, dashboard belum update)
</t>
    </r>
    <r>
      <rPr>
        <sz val="11"/>
        <color theme="1"/>
        <rFont val="Calibri"/>
        <family val="2"/>
      </rPr>
      <t>NACL1435771579 /  018284786001</t>
    </r>
  </si>
  <si>
    <r>
      <t xml:space="preserve">Request STATUS TRANSAKSI dari MERCHANT
(PRODUK diterima, dashboard belum update)
</t>
    </r>
    <r>
      <rPr>
        <sz val="11"/>
        <color theme="1"/>
        <rFont val="Calibri"/>
        <family val="2"/>
      </rPr>
      <t>ID NACL1436212771 // dengan RRN 603651408953</t>
    </r>
  </si>
  <si>
    <r>
      <t xml:space="preserve">Request STATUS TRANSAKSI dari MERCHANT
(PRODUK diterima, dashboard belum update)
</t>
    </r>
    <r>
      <rPr>
        <sz val="11"/>
        <color theme="1"/>
        <rFont val="Calibri"/>
        <family val="2"/>
      </rPr>
      <t>NACL1435652848
NACL1435570506
NACL1435613598</t>
    </r>
  </si>
  <si>
    <r>
      <t xml:space="preserve">Request STATUS TRANSAKSI dari MERCHANT
(PRODUK diterima, dashboard belum update)
</t>
    </r>
    <r>
      <rPr>
        <sz val="11"/>
        <color theme="1"/>
        <rFont val="Calibri"/>
        <family val="2"/>
      </rPr>
      <t>NACL1434364483</t>
    </r>
  </si>
  <si>
    <r>
      <t xml:space="preserve">Request STATUS TRANSAKSI dari MERCHANT
(PRODUK diterima, dashboard belum update)
</t>
    </r>
    <r>
      <rPr>
        <sz val="11"/>
        <color theme="1"/>
        <rFont val="Calibri"/>
        <family val="2"/>
      </rPr>
      <t xml:space="preserve">7900121700018278  </t>
    </r>
  </si>
  <si>
    <r>
      <t xml:space="preserve">Request STATUS TRANSAKSI dari MERCHANT
(PRODUK diterima, dashboard belum update)
</t>
    </r>
    <r>
      <rPr>
        <sz val="11"/>
        <color theme="1"/>
        <rFont val="Calibri"/>
        <family val="2"/>
      </rPr>
      <t>2026030840100954245 
7900119200604854 
2026030840100969636 
7900119200605302 
2026030840100969583 
7900119200605301</t>
    </r>
  </si>
  <si>
    <r>
      <t xml:space="preserve">Request STATUS TRANSAKSI dari MERCHANT
(PRODUK diterima, dashboard belum update)
</t>
    </r>
    <r>
      <rPr>
        <sz val="11"/>
        <color theme="1"/>
        <rFont val="Calibri"/>
        <family val="2"/>
      </rPr>
      <t>RRN: 115175846558</t>
    </r>
  </si>
  <si>
    <r>
      <t xml:space="preserve">Request BUKTI REFUND TRANSAKSI
(Customer request refund transaksi double)
</t>
    </r>
    <r>
      <rPr>
        <sz val="11"/>
        <color theme="1"/>
        <rFont val="Calibri"/>
        <family val="2"/>
      </rPr>
      <t>Visa for Koketso Macheru</t>
    </r>
  </si>
  <si>
    <r>
      <t xml:space="preserve">Request STATUS TRANSAKSI
(PRODUK Tdk Diterima, namun ada bukti TRANSFER)
</t>
    </r>
    <r>
      <rPr>
        <sz val="11"/>
        <color theme="1"/>
        <rFont val="Calibri"/>
        <family val="2"/>
      </rPr>
      <t xml:space="preserve">
Tiket CRM - 29020041 - Virtual Account - Rekening Terdebet Tetapi Dana Belum Diterima - AFIF APRILANA MARZUQ 
9887101250555149 852000</t>
    </r>
  </si>
  <si>
    <r>
      <t xml:space="preserve">Request BUKTI TRANSAKSI VOA dari BANK
(Customer sanggah transaksi CC atas penerbitan Visa)
</t>
    </r>
    <r>
      <rPr>
        <sz val="11"/>
        <color theme="1"/>
        <rFont val="Calibri"/>
        <family val="2"/>
      </rPr>
      <t>PERMOHONAN BUKTI TRANSAKSI PRISMALINK*IND VISAARR #26/03/2026 36 RX</t>
    </r>
  </si>
  <si>
    <r>
      <t xml:space="preserve">Surat FRAUD
(Dana Terpotong, Produk Tdk Diterima)
</t>
    </r>
    <r>
      <rPr>
        <sz val="11"/>
        <color theme="1"/>
        <rFont val="Calibri"/>
        <family val="2"/>
      </rPr>
      <t xml:space="preserve">
[O50bcaf6] Indikasi Penipuan: BAYAR2.COM/26032026/049
PT Daya Net Gemilang
7900125000097116 99999999
</t>
    </r>
  </si>
  <si>
    <r>
      <t xml:space="preserve">Request STATUS TRANSAKSI (ACQ NOBU)
(PRODUK Tdk Diterima Customer, 
SWITCHING &amp; ACQ telah credit dana)
</t>
    </r>
    <r>
      <rPr>
        <sz val="11"/>
        <color theme="1"/>
        <rFont val="Calibri"/>
        <family val="2"/>
      </rPr>
      <t xml:space="preserve">DISPUTE 25032026 PT PRISMALINK INTERNATIONAL
Sitracell               0142219032634796838
UNIV SAINS INDONESIA 0010916032613471526
Sitracell    0142219032692417597
Asia Cell    0141419032643017225
Alfacell    0140819032628447792
</t>
    </r>
  </si>
  <si>
    <r>
      <t xml:space="preserve">Request REFUND TRANSAKSI
(Product tidak diterima dan Cust request refund)
</t>
    </r>
    <r>
      <rPr>
        <sz val="11"/>
        <color theme="1"/>
        <rFont val="Calibri"/>
        <family val="2"/>
      </rPr>
      <t xml:space="preserve">Refund 26 Maret 2026
JP-018-260326-225442 5000
JP-004-260326-211300 17359
JP-013-260326-175257 12412
JP-001-260326-172916 10000
JP-001-260326-171038 10000
JP-007-260326-170617 11360
JP-001-260326-170520 13000
JP-019-260326-163816 18010
JP-015-260326-163741 20000
JP-008-260326-160919 10000
JP-006-260326-160211 9500
JP-020-260326-151930 11000
JP-020-260326-140910 9900
JP-008-260326-134238 10000
JP-020-260326-133311 20000
JP-004-260326-131942 13000
JP-004-260326-125245 12412
JP-004-260326-125220 12412
JP-003-260326-122854 12412
JP-020-260326-121139 10000
JP-007-260326-113951 5000
JP-020-260326-105648 6500
JP-015-260326-103610 6000
JP-006-260326-095832 11000
JP-007-260326-084340 8200
JP-019-260326-083708 10000
JP-020-260325-114647 9500
JP-004-260325-112813 5000
JP-015-260325-105709 12000
JP-015-260325-103729 16000
JP-007-260325-102223 7360
JP-015-260325-102213 12000
JP-015-260325-101309 9500
JP-006-260325-071919 37800
</t>
    </r>
  </si>
  <si>
    <r>
      <t>Surat FRAUD dari BANK
(Dana Terpotong, Produk Tdk Diterima)</t>
    </r>
    <r>
      <rPr>
        <sz val="11"/>
        <color theme="1"/>
        <rFont val="Calibri"/>
        <family val="2"/>
      </rPr>
      <t xml:space="preserve">
Surat Bilateral Bank Mandiri nomor OPT.CCG/CHM.5551/2026
PT VISI JAYA INDONESI
8903903600033042 1990000
8903903600033042 1970000</t>
    </r>
  </si>
  <si>
    <r>
      <t xml:space="preserve">Request BUKTI TRANSAKSI VOA dari BANK
(Customer request payment receipt)
</t>
    </r>
    <r>
      <rPr>
        <sz val="11"/>
        <color theme="1"/>
        <rFont val="Calibri"/>
        <family val="2"/>
      </rPr>
      <t>Request for Receipt of Visa on Arrival</t>
    </r>
  </si>
  <si>
    <r>
      <t>Surat FRAUD dari BANK
(Dana Terpotong, Produk Tdk Diterima)</t>
    </r>
    <r>
      <rPr>
        <sz val="11"/>
        <color theme="1"/>
        <rFont val="Calibri"/>
        <family val="2"/>
      </rPr>
      <t xml:space="preserve">
FRAUD ALIRAN DANA REK BCA ALPHA EPSILON - PRISMALINK PT BAYAR2.COM
PT ENVOIZ DIGITAL INDONESIA
7900124900060477 5950000</t>
    </r>
  </si>
  <si>
    <r>
      <t xml:space="preserve">Request STATUS TRANSAKSI
(PRODUK Tdk Diterima, namun ada bukti TRANSFER)
</t>
    </r>
    <r>
      <rPr>
        <sz val="11"/>
        <color theme="1"/>
        <rFont val="Calibri"/>
        <family val="2"/>
      </rPr>
      <t xml:space="preserve">
4041910125009083</t>
    </r>
  </si>
  <si>
    <r>
      <t xml:space="preserve">Request STATUS TRANSAKSI dari MERCHANT
(PRODUK diterima, dashboard belum update)
</t>
    </r>
    <r>
      <rPr>
        <sz val="11"/>
        <color theme="1"/>
        <rFont val="Calibri"/>
        <family val="2"/>
      </rPr>
      <t>8903910125044109</t>
    </r>
  </si>
  <si>
    <r>
      <t xml:space="preserve">Request STATUS TRANSAKSI
(PRODUK Tdk Diterima, namun ada bukti TRANSFER)
</t>
    </r>
    <r>
      <rPr>
        <sz val="11"/>
        <color theme="1"/>
        <rFont val="Calibri"/>
        <family val="2"/>
      </rPr>
      <t xml:space="preserve">
7900121700067092 </t>
    </r>
  </si>
  <si>
    <r>
      <t xml:space="preserve">Request BUKTI REFUND TRANSAKSI
(Customer request refund transaksi double)
</t>
    </r>
    <r>
      <rPr>
        <sz val="11"/>
        <color theme="1"/>
        <rFont val="Calibri"/>
        <family val="2"/>
      </rPr>
      <t>Request for Refund of Duplicate Visa Payment</t>
    </r>
  </si>
  <si>
    <r>
      <t xml:space="preserve">Request BUKTI REFUND TRANSAKSI
(Customer request refund transaksi double)
</t>
    </r>
    <r>
      <rPr>
        <sz val="11"/>
        <color theme="1"/>
        <rFont val="Calibri"/>
        <family val="2"/>
      </rPr>
      <t>I got one extra payment for evisa</t>
    </r>
  </si>
  <si>
    <r>
      <t xml:space="preserve">Request BUKTI TRANSAKSI VOA dari BANK
(Customer sanggah transaksi CC atas penerbitan Visa)
</t>
    </r>
    <r>
      <rPr>
        <sz val="11"/>
        <color theme="1"/>
        <rFont val="Calibri"/>
        <family val="2"/>
      </rPr>
      <t>Permohonan bukti transaksi merchant PRISMALINK #27032026 JCB First Chargeback</t>
    </r>
  </si>
  <si>
    <r>
      <t xml:space="preserve">Surat FRAUD
(Dana Terpotong, Produk Tdk Diterima)
</t>
    </r>
    <r>
      <rPr>
        <sz val="11"/>
        <color theme="1"/>
        <rFont val="Calibri"/>
        <family val="2"/>
      </rPr>
      <t xml:space="preserve">
[Of5b81ff] Indikasi Penipuan: BAYAR2.COM/27032026/050
PT Daya Net Gemilang
7900125000024130 255000
</t>
    </r>
  </si>
  <si>
    <r>
      <t xml:space="preserve">Request STATUS TRANSAKSI dari CUSTOMER
(PRODUK Tdk Diterima, namun ada bukti TRANSFER))
</t>
    </r>
    <r>
      <rPr>
        <sz val="11"/>
        <color theme="1"/>
        <rFont val="Calibri"/>
        <family val="2"/>
      </rPr>
      <t>Konfirmasi Status Pembayaran Visa Turis</t>
    </r>
  </si>
  <si>
    <r>
      <t xml:space="preserve">Request STATUS TRANSAKSI
(PRODUK Tdk Diterima, namun ada bukti TRANSFER)
</t>
    </r>
    <r>
      <rPr>
        <sz val="11"/>
        <color theme="1"/>
        <rFont val="Calibri"/>
        <family val="2"/>
      </rPr>
      <t xml:space="preserve">
[O1123f7b] Rekap : 12/VA ONLINE/BAYAR2.COM
Tripay Sub
7900117900073206 170500</t>
    </r>
  </si>
  <si>
    <r>
      <t xml:space="preserve">Request STATUS TRANSAKSI (ACQ NOBU)
(PRODUK Tdk Diterima Customer, 
SWITCHING &amp; ACQ telah credit dana)
</t>
    </r>
    <r>
      <rPr>
        <sz val="11"/>
        <color theme="1"/>
        <rFont val="Calibri"/>
        <family val="2"/>
      </rPr>
      <t>DISPUTE 26032026 PT PRISMALINK INTERNATIONAL
Asia Cell 0141920032696599182
Saver Cell 0142220032630333620</t>
    </r>
    <r>
      <rPr>
        <b/>
        <sz val="11"/>
        <color theme="1"/>
        <rFont val="Calibri"/>
        <family val="2"/>
      </rPr>
      <t xml:space="preserve">
</t>
    </r>
  </si>
  <si>
    <r>
      <t xml:space="preserve">Request BUKTI REFUND TRANSAKSI
(Customer request refund transaksi double)
</t>
    </r>
    <r>
      <rPr>
        <sz val="11"/>
        <color theme="1"/>
        <rFont val="Calibri"/>
        <family val="2"/>
      </rPr>
      <t>Request for Refund – Duplicate Payment for VOA at Denpasar Airport</t>
    </r>
  </si>
  <si>
    <r>
      <t xml:space="preserve">Request BUKTI REFUND TRANSAKSI
(Customer request refund transaksi double)
</t>
    </r>
    <r>
      <rPr>
        <sz val="11"/>
        <color theme="1"/>
        <rFont val="Calibri"/>
        <family val="2"/>
      </rPr>
      <t>Urgent: Refund Request for Duplicate e-VOA Charges</t>
    </r>
  </si>
  <si>
    <r>
      <t xml:space="preserve">Request BUKTI REFUND TRANSAKSI
(Customer request refund transaksi double)
</t>
    </r>
    <r>
      <rPr>
        <sz val="11"/>
        <color theme="1"/>
        <rFont val="Calibri"/>
        <family val="2"/>
      </rPr>
      <t>Charged twice</t>
    </r>
  </si>
  <si>
    <r>
      <t xml:space="preserve">Request BUKTI REFUND TRANSAKSI
(Customer request refund transaksi double)
</t>
    </r>
    <r>
      <rPr>
        <sz val="11"/>
        <color theme="1"/>
        <rFont val="Calibri"/>
        <family val="2"/>
      </rPr>
      <t>Fwd: Visa card charge claim upon arrival</t>
    </r>
  </si>
  <si>
    <r>
      <t xml:space="preserve">Request BUKTI REFUND TRANSAKSI
(Customer request refund transaksi double)
</t>
    </r>
    <r>
      <rPr>
        <sz val="11"/>
        <color theme="1"/>
        <rFont val="Calibri"/>
        <family val="2"/>
      </rPr>
      <t>Request for Refund of E-VoA payments</t>
    </r>
  </si>
  <si>
    <r>
      <t xml:space="preserve">Request BUKTI REFUND TRANSAKSI
(Customer request refund transaksi double)
</t>
    </r>
    <r>
      <rPr>
        <sz val="11"/>
        <color theme="1"/>
        <rFont val="Calibri"/>
        <family val="2"/>
      </rPr>
      <t>Duplicate Payment Refund Request – eVOA (Ref: 2200326B1936770)</t>
    </r>
  </si>
  <si>
    <r>
      <t xml:space="preserve">Request BUKTI REFUND TRANSAKSI
(Customer request refund transaksi double)
</t>
    </r>
    <r>
      <rPr>
        <sz val="11"/>
        <color theme="1"/>
        <rFont val="Calibri"/>
        <family val="2"/>
      </rPr>
      <t>Refund Request – Unsuccessful e-Visa Payment</t>
    </r>
  </si>
  <si>
    <r>
      <t xml:space="preserve">Request BUKTI REFUND TRANSAKSI
(Customer request refund transaksi double)
</t>
    </r>
    <r>
      <rPr>
        <sz val="11"/>
        <color theme="1"/>
        <rFont val="Calibri"/>
        <family val="2"/>
      </rPr>
      <t>Double charge for my EVOA</t>
    </r>
  </si>
  <si>
    <r>
      <t xml:space="preserve">Request BUKTI REFUND TRANSAKSI
(Customer request refund transaksi double)
</t>
    </r>
    <r>
      <rPr>
        <sz val="11"/>
        <color theme="1"/>
        <rFont val="Calibri"/>
        <family val="2"/>
      </rPr>
      <t>Request for transaction refund</t>
    </r>
  </si>
  <si>
    <r>
      <t xml:space="preserve">Request BUKTI REFUND TRANSAKSI
(Customer request refund transaksi double)
</t>
    </r>
    <r>
      <rPr>
        <sz val="11"/>
        <color theme="1"/>
        <rFont val="Calibri"/>
        <family val="2"/>
      </rPr>
      <t xml:space="preserve">
Refund request</t>
    </r>
  </si>
  <si>
    <r>
      <t xml:space="preserve">Request REFUND TRANSAKSI
(Product tidak diterima dan Cust request refund)
</t>
    </r>
    <r>
      <rPr>
        <sz val="11"/>
        <color theme="1"/>
        <rFont val="Calibri"/>
        <family val="2"/>
      </rPr>
      <t>Refund 27,28,29 Mret 2026
JP-001-260328-214552 12600
JP-004-260328-211621 5000
JP-019-260328-204259 15500
JP-004-260328-193528 18700
JP-004-260328-190335 5000
JP-001-260328-174724 5000
JP-006-260328-170513 8000
JP-004-260328-163716 5000
JP-004-260328-145318 5000
JP-015-260328-132506 15500
JP-015-260328-132152 15500
JP-001-260328-131956 15000
JP-015-260328-130856 8000
JP-012-260328-115441 33600
JP-001-260328-113403 10000
JP-001-260328-113130 10000
JP-001-260328-113013 10000
JP-001-260328-082106 7920
JP-004-260328-002149 11998
JP-009-260329-215318 10000
JP-003-260329-203548 12412
JP-004-260329-202919 12412
JP-004-260329-201543 5000
JP-018-260329-190427 12600
JP-017-260329-160652 3500
JP-003-260329-142649 33600
JP-020-260329-135753 8900
JP-015-260329-135421 9500</t>
    </r>
    <r>
      <rPr>
        <b/>
        <sz val="11"/>
        <color theme="1"/>
        <rFont val="Calibri"/>
        <family val="2"/>
      </rPr>
      <t xml:space="preserve">
JP-020-260329-134850 8900
JP-008-260329-134829 14000
JP-020-260329-123012 15500
JP-006-260329-110424 8000
JP-004-260329-104746 5000
JP-004-260329-104410 5000
JP-015-260329-100902 8000
JP-016-260329-092707 37800
JP-015-260329-082715 12000
JP-006-260329-082611 10000
JP-001-260329-081500 5000
JP-006-260329-063605 14000
JP-001-260327-200025 7920
JP-004-260327-174747 11360
JP-001-260327-132853 3500
JP-019-260327-095641 15500
JP-006-260327-094237 37800
JP-016-260327-093422 11000
JP-006-260327-092814 14000
JP-001-260327-071824 12412
JP-004-260327-034645 4392
</t>
    </r>
    <r>
      <rPr>
        <sz val="11"/>
        <color theme="1"/>
        <rFont val="Calibri"/>
        <family val="2"/>
      </rPr>
      <t xml:space="preserve">
</t>
    </r>
  </si>
  <si>
    <r>
      <t xml:space="preserve">Request BUKTI TRANSAKSI VOA dari BANK
(Pengajuan Pre-Arb oleh Bank)
</t>
    </r>
    <r>
      <rPr>
        <sz val="11"/>
        <color theme="1"/>
        <rFont val="Calibri"/>
        <family val="2"/>
      </rPr>
      <t>Permohonan Konfirmasi Pre-Arbitrasi Prismalink #30032026 JCB</t>
    </r>
  </si>
  <si>
    <r>
      <t xml:space="preserve">Request STATUS TRANSAKSI
(PRODUK Tdk Diterima, namun ada bukti TRANSFER)
</t>
    </r>
    <r>
      <rPr>
        <sz val="11"/>
        <color theme="1"/>
        <rFont val="Calibri"/>
        <family val="2"/>
      </rPr>
      <t xml:space="preserve">
000000R68JZ3 </t>
    </r>
  </si>
  <si>
    <r>
      <t xml:space="preserve">Request STATUS TRANSAKSI dari MERCHANT
(PRODUK diterima, dashboard belum update)
</t>
    </r>
    <r>
      <rPr>
        <sz val="11"/>
        <color theme="1"/>
        <rFont val="Calibri"/>
        <family val="2"/>
      </rPr>
      <t>8919101250538338 / NACL1439894719</t>
    </r>
  </si>
  <si>
    <r>
      <t xml:space="preserve">Request STATUS TRANSAKSI dari MERCHANT
(PRODUK diterima, dashboard belum update)
</t>
    </r>
    <r>
      <rPr>
        <sz val="11"/>
        <color theme="1"/>
        <rFont val="Calibri"/>
        <family val="2"/>
      </rPr>
      <t>8919101250524768 / NACL1440496233</t>
    </r>
  </si>
  <si>
    <r>
      <t xml:space="preserve">Request STATUS TRANSAKSI
(PRODUK Tdk Diterima, namun ada bukti TRANSFER)
</t>
    </r>
    <r>
      <rPr>
        <sz val="11"/>
        <color theme="1"/>
        <rFont val="Calibri"/>
        <family val="2"/>
      </rPr>
      <t xml:space="preserve">
AX4UEDTSIZRK</t>
    </r>
  </si>
  <si>
    <r>
      <t xml:space="preserve">Request BUKTI TRANSAKSI VOA dari BANK
(Customer sanggah transaksi CC atas penerbitan Visa)
</t>
    </r>
    <r>
      <rPr>
        <sz val="11"/>
        <color theme="1"/>
        <rFont val="Calibri"/>
        <family val="2"/>
      </rPr>
      <t>KONFIRMASI CHARGEBACK Prismalink*IND VISAARR 30/03/2026 21 TRX</t>
    </r>
  </si>
  <si>
    <r>
      <t xml:space="preserve">Request BUKTI TRANSAKSI VOA dari BANK
(Pengajuan Pre-Arb oleh Bank)
</t>
    </r>
    <r>
      <rPr>
        <sz val="11"/>
        <color theme="1"/>
        <rFont val="Calibri"/>
        <family val="2"/>
      </rPr>
      <t>KONFIRMASI PRE ARBITRASI Prismalink*IND VISAARR 26/03/2026 127 TRX</t>
    </r>
  </si>
  <si>
    <r>
      <t xml:space="preserve">Request BUKTI TRANSAKSI VOA dari BANK
(Customer sanggah transaksi CC atas penerbitan Visa)
</t>
    </r>
    <r>
      <rPr>
        <sz val="11"/>
        <color theme="1"/>
        <rFont val="Calibri"/>
        <family val="2"/>
      </rPr>
      <t>PERMOHONAN BUKTI TRANSAKSI PRISMALINK*IND VISAARR #30/03/2026 19 TRX</t>
    </r>
  </si>
  <si>
    <r>
      <t xml:space="preserve">Request BUKTI TRANSAKSI VOA dari BANK
(Customer sanggah transaksi CC atas penerbitan Visa)
</t>
    </r>
    <r>
      <rPr>
        <sz val="11"/>
        <color theme="1"/>
        <rFont val="Calibri"/>
        <family val="2"/>
      </rPr>
      <t>RE: VOA</t>
    </r>
  </si>
  <si>
    <r>
      <t xml:space="preserve">Request REFUND TRANSAKSI
(Product tidak diterima dan Cust request refund)
</t>
    </r>
    <r>
      <rPr>
        <sz val="11"/>
        <color theme="1"/>
        <rFont val="Calibri"/>
        <family val="2"/>
      </rPr>
      <t>refund 30 Maret 2026
JP-006-260330-214305 8000
JP-009-260330-202951 10000
JP-001-260330-201822 9900
JP-001-260330-201513 9900
JP-001-260330-200052 18000
JP-003-260330-182728 9000
JP-004-260330-173922 5000
JP-007-260330-161501 6000
JP-004-260330-142232 5000
JP-001-260330-123815 12600
JP-019-260330-094417 15500
JP-001-260330-045256 10000
JP-001-260330-045117 10000</t>
    </r>
    <r>
      <rPr>
        <b/>
        <sz val="11"/>
        <color theme="1"/>
        <rFont val="Calibri"/>
        <family val="2"/>
      </rPr>
      <t xml:space="preserve">
</t>
    </r>
    <r>
      <rPr>
        <sz val="11"/>
        <color theme="1"/>
        <rFont val="Calibri"/>
        <family val="2"/>
      </rPr>
      <t xml:space="preserve">
</t>
    </r>
  </si>
  <si>
    <r>
      <t xml:space="preserve">Request STATUS TRANSAKSI dari MERCHANT
(PRODUK diterima, dashboard belum update)
</t>
    </r>
    <r>
      <rPr>
        <sz val="11"/>
        <color theme="1"/>
        <rFont val="Calibri"/>
        <family val="2"/>
      </rPr>
      <t>NACL1444377895
8919101250044413</t>
    </r>
  </si>
  <si>
    <r>
      <t xml:space="preserve">Surat FRAUD
(Dana Terpotong, Produk Tdk Diterima)
</t>
    </r>
    <r>
      <rPr>
        <sz val="11"/>
        <color theme="1"/>
        <rFont val="Calibri"/>
        <family val="2"/>
      </rPr>
      <t xml:space="preserve">
[O5eda71d] Indikasi Penipuan: BAYAR2.COM/31032026/051
PT Daya Net Gemilang
7900125000000852 18780000
</t>
    </r>
  </si>
  <si>
    <r>
      <t xml:space="preserve">Request BUKTI REFUND TRANSAKSI
(Customer request refund transaksi double)
</t>
    </r>
    <r>
      <rPr>
        <sz val="11"/>
        <color theme="1"/>
        <rFont val="Calibri"/>
        <family val="2"/>
      </rPr>
      <t xml:space="preserve">
Visa charges</t>
    </r>
  </si>
  <si>
    <r>
      <t xml:space="preserve">Request REFUND TRANSAKSI
(Product tidak diterima dan Cust request refund)
</t>
    </r>
    <r>
      <rPr>
        <sz val="11"/>
        <color theme="1"/>
        <rFont val="Calibri"/>
        <family val="2"/>
      </rPr>
      <t xml:space="preserve">Refund 31 Maret 2026
JP-018-260331-200057 12600
JP-018-260331-192325 12412
JP-018-260331-191508 12412
JP-011-260331-182848 16000
JP-001-260331-165836 8960
JP-001-260331-164314 10000
JP-001-260331-151726 10000
JP-014-260331-151725 33600
JP-006-260331-104854 16000
JP-007-260331-104026 17359
JP-006-260331-095804 37800
JP-001-260331-094538 18000
JP-018-260331-084324 12600
JP-001-260331-083012 10000
JP-001-260331-081323 15000
</t>
    </r>
  </si>
  <si>
    <r>
      <t>Surat FRAUD dari BANK
(Dana Terpotong, Produk Tdk Diterima)</t>
    </r>
    <r>
      <rPr>
        <sz val="11"/>
        <color theme="1"/>
        <rFont val="Calibri"/>
        <family val="2"/>
      </rPr>
      <t xml:space="preserve">
Surat Bilateral Bank Mandiri nomor OPT.CCG/CHM.6047/2026
PT Envoiz Digital Indonesia
8903910124904952 30000000
8903910124966802 50000000
PT Daya Net Gemilang
8903910125013957 4250000</t>
    </r>
  </si>
  <si>
    <r>
      <t xml:space="preserve">Request BUKTI TRANSAKSI VOA dari BANK
(Customer sanggah transaksi CC atas penerbitan Visa)
</t>
    </r>
    <r>
      <rPr>
        <sz val="11"/>
        <color theme="1"/>
        <rFont val="Calibri"/>
        <family val="2"/>
      </rPr>
      <t>Permohonan bukti transaksi merchant PRISMALINK #01042026 JCB First Chargeback</t>
    </r>
  </si>
  <si>
    <r>
      <t xml:space="preserve">Request STATUS TRANSAKSI
(PRODUK Tdk Diterima, namun ada bukti TRANSFER)
</t>
    </r>
    <r>
      <rPr>
        <sz val="11"/>
        <color theme="1"/>
        <rFont val="Calibri"/>
        <family val="2"/>
      </rPr>
      <t xml:space="preserve">
RRN 603696616156 
RRN 163780506
RRN 164688451
RRN ESB460500169
RRN 166612822
RRN 001087643405
RRN 167056727
RRN 167177796
RRN 167372844
RRN 167593936
RRN 010000BTGWFJ
RRN 167616211
RRN 167743187
RRN 010000BTGM0H
RRN AX4U1MFNH93G
RRN AX4UEDTSJUR2
RRN AX4UR57ZPLZF
RRN AX4UEDTSJ1XS
RRN AX4UR57ZPXR2
RRN AX4U1MFNGRLQ
RRN c78fd7788a66
RRN AX4UEDTOC3ZB
RRN 11c0ea4ceb41
RRN fe4cd6ce3615
RRN AX4UR57ZQE7U 
RRN AX4UR57ZQHZA
RRN 167748962 
RRN 603696616156
RRN 603696547314
RRN 603696616156
RRN 000029835126
</t>
    </r>
  </si>
  <si>
    <r>
      <t xml:space="preserve">Request STATUS TRANSAKSI
(PRODUK Tdk Diterima, namun ada bukti TRANSFER)
</t>
    </r>
    <r>
      <rPr>
        <sz val="11"/>
        <color theme="1"/>
        <rFont val="Calibri"/>
        <family val="2"/>
      </rPr>
      <t xml:space="preserve">
AX4UEDTSIZRK
RRN 603696616156
RRN 603696547314
RRN 603696616156
RRN 000029835126
</t>
    </r>
  </si>
  <si>
    <r>
      <t xml:space="preserve">Request STATUS TRANSAKSI dari MERCHANT
(PRODUK diterima, dashboard belum update)
</t>
    </r>
    <r>
      <rPr>
        <sz val="11"/>
        <color theme="1"/>
        <rFont val="Calibri"/>
        <family val="2"/>
      </rPr>
      <t>7900125000066483</t>
    </r>
  </si>
  <si>
    <r>
      <t xml:space="preserve">Request STATUS TRANSAKSI dari MERCHANT
(PRODUK diterima, dashboard belum update)
</t>
    </r>
    <r>
      <rPr>
        <sz val="11"/>
        <color theme="1"/>
        <rFont val="Calibri"/>
        <family val="2"/>
      </rPr>
      <t>NACL1444506413 // RRN Qris 1n2pmeq59036</t>
    </r>
  </si>
  <si>
    <r>
      <t xml:space="preserve">Request STATUS TRANSAKSI dari MERCHANT
(PRODUK diterima, dashboard belum update)
</t>
    </r>
    <r>
      <rPr>
        <sz val="11"/>
        <color theme="1"/>
        <rFont val="Calibri"/>
        <family val="2"/>
      </rPr>
      <t>8919101250243932</t>
    </r>
  </si>
  <si>
    <r>
      <t xml:space="preserve">Request STATUS TRANSAKSI dari MERCHANT
(PRODUK diterima, dashboard belum update)
</t>
    </r>
    <r>
      <rPr>
        <sz val="11"/>
        <color theme="1"/>
        <rFont val="Calibri"/>
        <family val="2"/>
      </rPr>
      <t>8919101250044413</t>
    </r>
  </si>
  <si>
    <r>
      <t xml:space="preserve">Request STATUS TRANSAKSI dari MERCHANT
(PRODUK diterima, dashboard belum update)
</t>
    </r>
    <r>
      <rPr>
        <sz val="11"/>
        <color theme="1"/>
        <rFont val="Calibri"/>
        <family val="2"/>
      </rPr>
      <t>7900125000054501 0044413</t>
    </r>
  </si>
  <si>
    <r>
      <t xml:space="preserve">Request STATUS TRANSAKSI dari MERCHANT
(PRODUK diterima, dashboard belum update)
</t>
    </r>
    <r>
      <rPr>
        <sz val="11"/>
        <color theme="1"/>
        <rFont val="Calibri"/>
        <family val="2"/>
      </rPr>
      <t>8919101249407534</t>
    </r>
  </si>
  <si>
    <r>
      <t xml:space="preserve">Request STATUS TRANSAKSI dari MERCHANT
(PRODUK diterima, dashboard belum update)
</t>
    </r>
    <r>
      <rPr>
        <sz val="11"/>
        <color theme="1"/>
        <rFont val="Calibri"/>
        <family val="2"/>
      </rPr>
      <t>000218120072</t>
    </r>
  </si>
  <si>
    <r>
      <t xml:space="preserve">Request STATUS TRANSAKSI dari MERCHANT
(PRODUK diterima, dashboard belum update)
</t>
    </r>
    <r>
      <rPr>
        <sz val="11"/>
        <color theme="1"/>
        <rFont val="Calibri"/>
        <family val="2"/>
      </rPr>
      <t>8919101123045129</t>
    </r>
  </si>
  <si>
    <r>
      <t xml:space="preserve">Request BUKTI TRANSAKSI VOA dari BANK
(Customer request payment receipt)
</t>
    </r>
    <r>
      <rPr>
        <sz val="11"/>
        <color theme="1"/>
        <rFont val="Calibri"/>
        <family val="2"/>
      </rPr>
      <t>kindly request to send the receipt/invoice of my E-visa</t>
    </r>
  </si>
  <si>
    <r>
      <t xml:space="preserve">Request BUKTI REFUND TRANSAKSI
(Customer request refund transaksi double)
</t>
    </r>
    <r>
      <rPr>
        <sz val="11"/>
        <color theme="1"/>
        <rFont val="Calibri"/>
        <family val="2"/>
      </rPr>
      <t xml:space="preserve">
Double payment for visa</t>
    </r>
  </si>
  <si>
    <r>
      <t xml:space="preserve">Request REFUND TRANSAKSI
(Product tidak diterima dan Cust request refund)
</t>
    </r>
    <r>
      <rPr>
        <sz val="11"/>
        <color theme="1"/>
        <rFont val="Calibri"/>
        <family val="2"/>
      </rPr>
      <t xml:space="preserve">Refund 1 April 2026
JP-016-260401-222226 9500
JP-016-260401-221803 9500
JP-001-260401-195901 12412
JP-001-260401-190836 10000
JP-004-260401-171738 5000
JP-017-260401-162654 12183
JP-017-260401-162302 12600
JP-015-260401-133547 4000
JP-001-260401-115230 10000
JP-001-260401-114156 7920
JP-015-260401-113025 16500
JP-006-260401-101046 16000
JP-006-260401-093122 11000
JP-008-260401-092847 14000
JP-015-260401-092032 11000
JP-006-260401-080851 37800
JP-018-260401-053159 12100
JP-001-260401-011534 10000
JP-001-260401-011235 10000
</t>
    </r>
  </si>
  <si>
    <r>
      <t xml:space="preserve">Request STATUS TRANSAKSI
(PRODUK Tdk Diterima, namun ada bukti TRANSFER)
</t>
    </r>
    <r>
      <rPr>
        <sz val="11"/>
        <color theme="1"/>
        <rFont val="Calibri"/>
        <family val="2"/>
      </rPr>
      <t xml:space="preserve">
297503f28943
</t>
    </r>
  </si>
  <si>
    <r>
      <t xml:space="preserve">Request BUKTI REFUND TRANSAKSI
(Customer request refund transaksi double)
</t>
    </r>
    <r>
      <rPr>
        <sz val="11"/>
        <color theme="1"/>
        <rFont val="Calibri"/>
        <family val="2"/>
      </rPr>
      <t xml:space="preserve">
REFUND REQUEST - DOUBLE CHARGE VoA</t>
    </r>
  </si>
  <si>
    <r>
      <t xml:space="preserve">Request BUKTI TRANSAKSI VOA dari BANK
(Customer sanggah transaksi CC atas penerbitan Visa)
</t>
    </r>
    <r>
      <rPr>
        <sz val="11"/>
        <color theme="1"/>
        <rFont val="Calibri"/>
        <family val="2"/>
      </rPr>
      <t>KONFIRMASI CHARGEBACK Prismalink*IND VISAARR 02/04/2026 20 TRX</t>
    </r>
  </si>
  <si>
    <r>
      <t xml:space="preserve">Request BUKTI TRANSAKSI VOA dari BANK
(Customer sanggah transaksi CC atas penerbitan Visa)
</t>
    </r>
    <r>
      <rPr>
        <sz val="11"/>
        <color theme="1"/>
        <rFont val="Calibri"/>
        <family val="2"/>
      </rPr>
      <t>KONFIRMASI CHARGEBACK Prismalink*IND VISAARR 02/04/2026 11 TRX</t>
    </r>
  </si>
  <si>
    <r>
      <t xml:space="preserve">Surat FRAUD
(Dana Terpotong, Produk Tdk Diterima)
</t>
    </r>
    <r>
      <rPr>
        <sz val="11"/>
        <color theme="1"/>
        <rFont val="Calibri"/>
        <family val="2"/>
      </rPr>
      <t xml:space="preserve">
RE: Pengecekan VA 4041910125005166
PT Daya Net Gemilang
4041910125005166 1000000
</t>
    </r>
  </si>
  <si>
    <r>
      <t xml:space="preserve">Surat FRAUD
(Dana Terpotong, Produk Tdk Diterima)
</t>
    </r>
    <r>
      <rPr>
        <sz val="11"/>
        <color theme="1"/>
        <rFont val="Calibri"/>
        <family val="2"/>
      </rPr>
      <t xml:space="preserve">
[O301c8e4] Indikasi Penipuan: BAYAR2.COM/02042026/052
PT Daya Net Gemilang
7900125000087550 29812345
</t>
    </r>
  </si>
  <si>
    <r>
      <t xml:space="preserve">Request BUKTI TRANSAKSI VOA dari BANK
(Pengajuan Pre-Arb oleh Bank)
</t>
    </r>
    <r>
      <rPr>
        <sz val="11"/>
        <color theme="1"/>
        <rFont val="Calibri"/>
        <family val="2"/>
      </rPr>
      <t>KONFIRMASI PRE ARBITRASI Prismalink*IND VISAARR 02/04/2026 34 TRX</t>
    </r>
  </si>
  <si>
    <r>
      <t xml:space="preserve">Request BUKTI TRANSAKSI VOA dari BANK
(Customer sanggah transaksi CC atas penerbitan Visa)
</t>
    </r>
    <r>
      <rPr>
        <sz val="11"/>
        <color theme="1"/>
        <rFont val="Calibri"/>
        <family val="2"/>
      </rPr>
      <t>Permohonan bukti transaksi merchant PRISMALINK #02042026 JCB First Chargeback</t>
    </r>
  </si>
  <si>
    <r>
      <t xml:space="preserve">Request BUKTI REFUND TRANSAKSI
(Customer request refund transaksi double)
</t>
    </r>
    <r>
      <rPr>
        <sz val="11"/>
        <color theme="1"/>
        <rFont val="Calibri"/>
        <family val="2"/>
      </rPr>
      <t xml:space="preserve">
Charged twice for visa </t>
    </r>
  </si>
  <si>
    <r>
      <t xml:space="preserve">Request STATUS TRANSAKSI (ACQ NOBU)
(PRODUK Tdk Diterima Customer, 
SWITCHING &amp; ACQ telah credit dana)
</t>
    </r>
    <r>
      <rPr>
        <sz val="11"/>
        <color theme="1"/>
        <rFont val="Calibri"/>
        <family val="2"/>
      </rPr>
      <t>Surat DISPUTE dari NOBU
email : DISPUTE 31032026 PT PRISMALINK INTERNATIONAL
Dayanet 0010513022669172040
Dela Cell 0141026032659587312</t>
    </r>
  </si>
  <si>
    <r>
      <t xml:space="preserve">Request BUKTI REFUND TRANSAKSI
(Customer request refund transaksi double)
</t>
    </r>
    <r>
      <rPr>
        <sz val="11"/>
        <color theme="1"/>
        <rFont val="Calibri"/>
        <family val="2"/>
      </rPr>
      <t xml:space="preserve">
Request for Refund of Overcharged Visa Fee</t>
    </r>
  </si>
  <si>
    <r>
      <t xml:space="preserve">Request BUKTI REFUND TRANSAKSI
(Customer request refund transaksi double)
</t>
    </r>
    <r>
      <rPr>
        <sz val="11"/>
        <color theme="1"/>
        <rFont val="Calibri"/>
        <family val="2"/>
      </rPr>
      <t xml:space="preserve">
Re: Duplicate payment issue - Indonesia eVoA</t>
    </r>
  </si>
  <si>
    <r>
      <t xml:space="preserve">Surat FRAUD
(Dana Terpotong, Produk Tdk Diterima)
</t>
    </r>
    <r>
      <rPr>
        <sz val="11"/>
        <color theme="1"/>
        <rFont val="Calibri"/>
        <family val="2"/>
      </rPr>
      <t xml:space="preserve">
RE: 4041910125005166
PT Daya Net Gemilang
4041910125005166 1000000
</t>
    </r>
  </si>
  <si>
    <r>
      <t xml:space="preserve">Request BUKTI REFUND TRANSAKSI
(Customer request refund transaksi double)
</t>
    </r>
    <r>
      <rPr>
        <sz val="11"/>
        <color theme="1"/>
        <rFont val="Calibri"/>
        <family val="2"/>
      </rPr>
      <t xml:space="preserve">
Re: Request for Refund of Duplicate Visa Payment</t>
    </r>
  </si>
  <si>
    <r>
      <t xml:space="preserve">Request STATUS TRANSAKSI (ACQ NOBU)
(PRODUK Tdk Diterima Customer, 
SWITCHING &amp; ACQ telah credit dana)
</t>
    </r>
    <r>
      <rPr>
        <sz val="11"/>
        <color theme="1"/>
        <rFont val="Calibri"/>
        <family val="2"/>
      </rPr>
      <t xml:space="preserve">Surat DISPUTE dari NOBU
email : DISPUTE 01042026 PT PRISMALINK INTERNATIONAL
Dayanet      0141030032633956186
Integra Cell 0140623032652496787
Dela Cell 0140726032628559946
</t>
    </r>
  </si>
  <si>
    <r>
      <t xml:space="preserve">Request STATUS TRANSAKSI (ACQ NOBU)
(PRODUK Tdk Diterima Customer, 
SWITCHING &amp; ACQ telah credit dana)
</t>
    </r>
    <r>
      <rPr>
        <sz val="11"/>
        <color theme="1"/>
        <rFont val="Calibri"/>
        <family val="2"/>
      </rPr>
      <t xml:space="preserve">Surat DISPUTE dari NOBU
email : DISPUTE 02042026 PT PRISMALINK INTERNATIONAL
Alomogada 0011211032603162072
</t>
    </r>
  </si>
  <si>
    <r>
      <t xml:space="preserve">Request BUKTI REFUND TRANSAKSI
(Customer request refund transaksi double)
</t>
    </r>
    <r>
      <rPr>
        <sz val="11"/>
        <color theme="1"/>
        <rFont val="Calibri"/>
        <family val="2"/>
      </rPr>
      <t xml:space="preserve">
Bali Airport - Card changed twice for the Visa on Arrival</t>
    </r>
  </si>
  <si>
    <r>
      <t xml:space="preserve">Surat FRAUD
(Dana Terpotong, Produk Tdk Diterima)
</t>
    </r>
    <r>
      <rPr>
        <sz val="11"/>
        <color theme="1"/>
        <rFont val="Calibri"/>
        <family val="2"/>
      </rPr>
      <t xml:space="preserve">
Pengaduan Transaksi &amp; Refund
PT Teknologi Awan Cerah
7900121700029133 4660000
</t>
    </r>
  </si>
  <si>
    <r>
      <t xml:space="preserve">Request BUKTI REFUND TRANSAKSI
(Customer request refund transaksi double)
</t>
    </r>
    <r>
      <rPr>
        <sz val="11"/>
        <color theme="1"/>
        <rFont val="Calibri"/>
        <family val="2"/>
      </rPr>
      <t xml:space="preserve">
Refund Request – Duplicate Visa Payment (Jakarta Arrival)</t>
    </r>
  </si>
  <si>
    <r>
      <t xml:space="preserve">Request BUKTI REFUND TRANSAKSI
(Customer request refund transaksi double)
</t>
    </r>
    <r>
      <rPr>
        <sz val="11"/>
        <color theme="1"/>
        <rFont val="Calibri"/>
        <family val="2"/>
      </rPr>
      <t xml:space="preserve">
Paid for visa twice - Membayar visa dua kali</t>
    </r>
  </si>
  <si>
    <r>
      <t xml:space="preserve">Request REFUND TRANSAKSI
(Product tidak diterima dan Cust request refund)
</t>
    </r>
    <r>
      <rPr>
        <sz val="11"/>
        <color theme="1"/>
        <rFont val="Calibri"/>
        <family val="2"/>
      </rPr>
      <t xml:space="preserve">Refund 2,3,4,5 April 2026
</t>
    </r>
  </si>
  <si>
    <r>
      <t xml:space="preserve">Request BUKTI TRANSAKSI VOA dari BANK
(Customer request payment receipt)
</t>
    </r>
    <r>
      <rPr>
        <sz val="11"/>
        <color theme="1"/>
        <rFont val="Calibri"/>
        <family val="2"/>
      </rPr>
      <t>FW: Konfirmasi Kontak PrismaLink International</t>
    </r>
  </si>
  <si>
    <r>
      <t xml:space="preserve">Request BUKTI TRANSAKSI VOA dari BANK
(Pengajuan Pre-Arb oleh Bank)
</t>
    </r>
    <r>
      <rPr>
        <sz val="11"/>
        <color theme="1"/>
        <rFont val="Calibri"/>
        <family val="2"/>
      </rPr>
      <t>Permohonan Konfirmasi Pre-Arbitrasi Prismalink #060426 JCB</t>
    </r>
  </si>
  <si>
    <r>
      <t xml:space="preserve">Request BUKTI TRANSAKSI VOA dari BANK
(Customer sanggah transaksi CC atas penerbitan Visa)
</t>
    </r>
    <r>
      <rPr>
        <sz val="11"/>
        <color theme="1"/>
        <rFont val="Calibri"/>
        <family val="2"/>
      </rPr>
      <t>Permohonan Bukti Transaksi Merchant PRISMALINK #06042026 JCB First Chargeback</t>
    </r>
  </si>
  <si>
    <r>
      <t xml:space="preserve">Request STATUS TRANSAKSI dari MERCHANT
(PRODUK diterima, dashboard belum update)
</t>
    </r>
    <r>
      <rPr>
        <sz val="11"/>
        <color theme="1"/>
        <rFont val="Calibri"/>
        <family val="2"/>
      </rPr>
      <t>8903910112851953</t>
    </r>
  </si>
  <si>
    <r>
      <t xml:space="preserve">Request STATUS TRANSAKSI dari MERCHANT
(PRODUK diterima, dashboard belum update)
</t>
    </r>
    <r>
      <rPr>
        <sz val="11"/>
        <color theme="1"/>
        <rFont val="Calibri"/>
        <family val="2"/>
      </rPr>
      <t>000282518993 / NACL1449813605</t>
    </r>
  </si>
  <si>
    <r>
      <t xml:space="preserve">Request STATUS TRANSAKSI
(PRODUK Tdk Diterima, namun ada bukti TRANSFER)
</t>
    </r>
    <r>
      <rPr>
        <sz val="11"/>
        <color theme="1"/>
        <rFont val="Calibri"/>
        <family val="2"/>
      </rPr>
      <t xml:space="preserve">
099113371215
</t>
    </r>
  </si>
  <si>
    <r>
      <t xml:space="preserve">Request STATUS TRANSAKSI
(PRODUK Tdk Diterima, namun ada bukti TRANSFER)
</t>
    </r>
    <r>
      <rPr>
        <sz val="11"/>
        <color theme="1"/>
        <rFont val="Calibri"/>
        <family val="2"/>
      </rPr>
      <t xml:space="preserve">
7900117900027356
</t>
    </r>
  </si>
  <si>
    <r>
      <t xml:space="preserve">Request STATUS TRANSAKSI
(PRODUK Tdk Diterima, namun ada bukti TRANSFER)
</t>
    </r>
    <r>
      <rPr>
        <sz val="11"/>
        <color theme="1"/>
        <rFont val="Calibri"/>
        <family val="2"/>
      </rPr>
      <t xml:space="preserve">
7900125000096785
</t>
    </r>
  </si>
  <si>
    <r>
      <t xml:space="preserve">Request STATUS TRANSAKSI
(PRODUK Tdk Diterima, namun ada bukti TRANSFER)
</t>
    </r>
    <r>
      <rPr>
        <sz val="11"/>
        <color theme="1"/>
        <rFont val="Calibri"/>
        <family val="2"/>
      </rPr>
      <t xml:space="preserve">
1n8vx6887563
</t>
    </r>
  </si>
  <si>
    <r>
      <t xml:space="preserve">Request STATUS TRANSAKSI
(PRODUK Tdk Diterima, namun ada bukti TRANSFER)
</t>
    </r>
    <r>
      <rPr>
        <sz val="11"/>
        <color theme="1"/>
        <rFont val="Calibri"/>
        <family val="2"/>
      </rPr>
      <t xml:space="preserve">
41942930f2b5
</t>
    </r>
  </si>
  <si>
    <r>
      <t xml:space="preserve">Request BUKTI REFUND TRANSAKSI
(Customer request refund transaksi double)
</t>
    </r>
    <r>
      <rPr>
        <sz val="11"/>
        <color theme="1"/>
        <rFont val="Calibri"/>
        <family val="2"/>
      </rPr>
      <t xml:space="preserve">
Refund Request: Duplicate Payment for e-VOA - Freya Paige Johnson </t>
    </r>
  </si>
  <si>
    <r>
      <t xml:space="preserve">Request BUKTI REFUND TRANSAKSI
(Customer request refund transaksi double)
</t>
    </r>
    <r>
      <rPr>
        <sz val="11"/>
        <color theme="1"/>
        <rFont val="Calibri"/>
        <family val="2"/>
      </rPr>
      <t xml:space="preserve">
Fwd: Fwd: Request for Refund – Duplicate Visa Payment</t>
    </r>
  </si>
  <si>
    <r>
      <t xml:space="preserve">Surat FRAUD
(Dana Terpotong, Produk Tdk Diterima)
</t>
    </r>
    <r>
      <rPr>
        <sz val="11"/>
        <color theme="1"/>
        <rFont val="Calibri"/>
        <family val="2"/>
      </rPr>
      <t xml:space="preserve">
[O00045a0] Indikasi Penipuan: BAYAR2.COM/06042026/053
PT Daya Net Gemilang
7900125000067223 90000000
7900125000043973 100000000
7900125000094521 100000000
</t>
    </r>
  </si>
  <si>
    <r>
      <t xml:space="preserve">Surat FRAUD
(Dana Terpotong, Produk Tdk Diterima)
</t>
    </r>
    <r>
      <rPr>
        <sz val="11"/>
        <color theme="1"/>
        <rFont val="Calibri"/>
        <family val="2"/>
      </rPr>
      <t xml:space="preserve">
[O8fa05eb] Indikasi Penipuan: BAYAR2.COM/06042026/054
PT Kreasi Kode Kreatif
7900119200715702 1600000
</t>
    </r>
  </si>
  <si>
    <r>
      <t xml:space="preserve">Request BUKTI REFUND TRANSAKSI
(Customer request refund transaksi double)
</t>
    </r>
    <r>
      <rPr>
        <sz val="11"/>
        <color theme="1"/>
        <rFont val="Calibri"/>
        <family val="2"/>
      </rPr>
      <t xml:space="preserve">
Subject: Duplicate Payment Request – eVOA (Prismalink)</t>
    </r>
  </si>
  <si>
    <r>
      <t xml:space="preserve">Request BUKTI REFUND TRANSAKSI
(Customer request refund transaksi double)
</t>
    </r>
    <r>
      <rPr>
        <sz val="11"/>
        <color theme="1"/>
        <rFont val="Calibri"/>
        <family val="2"/>
      </rPr>
      <t xml:space="preserve">
Visa On Arrival</t>
    </r>
  </si>
  <si>
    <r>
      <t xml:space="preserve">Request BUKTI TRANSAKSI VOA dari BANK
(Customer request payment receipt)
</t>
    </r>
    <r>
      <rPr>
        <sz val="11"/>
        <color theme="1"/>
        <rFont val="Calibri"/>
        <family val="2"/>
      </rPr>
      <t xml:space="preserve">
Receipt request for Feb 23 visa payment</t>
    </r>
  </si>
  <si>
    <r>
      <t xml:space="preserve">Request REFUND TRANSAKSI
(Product tidak diterima dan Cust request refund)
</t>
    </r>
    <r>
      <rPr>
        <sz val="11"/>
        <color theme="1"/>
        <rFont val="Calibri"/>
        <family val="2"/>
      </rPr>
      <t xml:space="preserve">Refund 6 April 2026
</t>
    </r>
  </si>
  <si>
    <r>
      <t xml:space="preserve">Request BUKTI TRANSAKSI VOA dari BANK
(Customer request payment receipt)
</t>
    </r>
    <r>
      <rPr>
        <sz val="11"/>
        <color theme="1"/>
        <rFont val="Calibri"/>
        <family val="2"/>
      </rPr>
      <t xml:space="preserve">
I would like to request a refund for the visa payment.</t>
    </r>
  </si>
  <si>
    <r>
      <t xml:space="preserve">Request BUKTI REFUND TRANSAKSI
(Customer request refund transaksi double)
</t>
    </r>
    <r>
      <rPr>
        <sz val="11"/>
        <color theme="1"/>
        <rFont val="Calibri"/>
        <family val="2"/>
      </rPr>
      <t xml:space="preserve">
RE: Visa double charge</t>
    </r>
  </si>
  <si>
    <r>
      <t xml:space="preserve">Request BUKTI TRANSAKSI VOA dari BANK
(Customer sanggah transaksi CC atas penerbitan Visa)
</t>
    </r>
    <r>
      <rPr>
        <sz val="11"/>
        <color theme="1"/>
        <rFont val="Calibri"/>
        <family val="2"/>
      </rPr>
      <t>Permohonan bukti transaksi merchant PRISMALINK #07042026 JCB First Chargeback</t>
    </r>
  </si>
  <si>
    <r>
      <t xml:space="preserve">Surat FRAUD
(Dana Terpotong, Produk Tdk Diterima)
</t>
    </r>
    <r>
      <rPr>
        <sz val="11"/>
        <color theme="1"/>
        <rFont val="Calibri"/>
        <family val="2"/>
      </rPr>
      <t xml:space="preserve">
[O3726b65] Indikasi Penipuan: BAYAR2.COM/07042026/055
PT Kreasi Kode Kreatif
7900119200713479 2370000
</t>
    </r>
  </si>
  <si>
    <r>
      <t xml:space="preserve">Request STATUS TRANSAKSI
(PRODUK Tdk Diterima, namun ada bukti TRANSFER)
</t>
    </r>
    <r>
      <rPr>
        <sz val="11"/>
        <color theme="1"/>
        <rFont val="Calibri"/>
        <family val="2"/>
      </rPr>
      <t>TIKET CRM 29061351 - KELUHAN TRANSFER VA PT PRISMALINK INTERNATIONAL an FABIAN RIZKY TANDIARRANG
PT Daya Net Gemilang
9887101250144159 17020000</t>
    </r>
  </si>
  <si>
    <r>
      <t xml:space="preserve">Surat FRAUD
(Dana Terpotong, Produk Tdk Diterima)
</t>
    </r>
    <r>
      <rPr>
        <sz val="11"/>
        <color theme="1"/>
        <rFont val="Calibri"/>
        <family val="2"/>
      </rPr>
      <t xml:space="preserve">
[O67457bc] Indikasi Penipuan: BAYAR2.COM/07042026/056
PT Teknologi Awan Cerah
7900121700069808 1950000
</t>
    </r>
  </si>
  <si>
    <r>
      <t xml:space="preserve">Surat FRAUD
(Dana Terpotong, Produk Tdk Diterima)
</t>
    </r>
    <r>
      <rPr>
        <sz val="11"/>
        <color theme="1"/>
        <rFont val="Calibri"/>
        <family val="2"/>
      </rPr>
      <t xml:space="preserve">
[O6ded67b] Indikasi Penipuan: BAYAR2.COM/07042026/057
PT Daya Net Gemilang
7900125000050143 2415000
PT ENVOIZ DIGITAL INDONESIA
7900124900002640 2000785
</t>
    </r>
  </si>
  <si>
    <r>
      <t xml:space="preserve">Surat FRAUD
(Dana Terpotong, Produk Tdk Diterima)
</t>
    </r>
    <r>
      <rPr>
        <sz val="11"/>
        <color theme="1"/>
        <rFont val="Calibri"/>
        <family val="2"/>
      </rPr>
      <t xml:space="preserve">
[O22a28f4] Indikasi Penipuan: BAYAR2.COM/07042026/058
PT Teknologi Awan Cerah
7900121700015293 1350000
</t>
    </r>
  </si>
  <si>
    <r>
      <t xml:space="preserve">Request REFUND TRANSAKSI
(Customer request refund transaksi double)
</t>
    </r>
    <r>
      <rPr>
        <sz val="11"/>
        <color theme="1"/>
        <rFont val="Calibri"/>
        <family val="2"/>
      </rPr>
      <t>Fwd: Visa</t>
    </r>
  </si>
  <si>
    <r>
      <t xml:space="preserve">Surat FRAUD
(Dana Terpotong, Produk Tdk Diterima)
</t>
    </r>
    <r>
      <rPr>
        <sz val="11"/>
        <color theme="1"/>
        <rFont val="Calibri"/>
        <family val="2"/>
      </rPr>
      <t xml:space="preserve">
FRAUD ALIRAN DANA REK BCA CHIKA RIZKA RAHMADINNA 1978519997 - PRISMALINK PT BAYAR2.COM
7900121700027517       2700000
</t>
    </r>
  </si>
  <si>
    <r>
      <t xml:space="preserve">Request BUKTI TRANSAKSI VOA dari BANK
(Customer request payment receipt)
</t>
    </r>
    <r>
      <rPr>
        <sz val="11"/>
        <color theme="1"/>
        <rFont val="Calibri"/>
        <family val="2"/>
      </rPr>
      <t>FW: Receipt for Payment</t>
    </r>
  </si>
  <si>
    <r>
      <t xml:space="preserve">Request REFUND TRANSAKSI
(Product tidak diterima dan Cust request refund)
</t>
    </r>
    <r>
      <rPr>
        <sz val="11"/>
        <color theme="1"/>
        <rFont val="Calibri"/>
        <family val="2"/>
      </rPr>
      <t xml:space="preserve">Refund 7 April 2026
</t>
    </r>
  </si>
  <si>
    <r>
      <t xml:space="preserve">Surat FRAUD
(Dana Terpotong, Produk Tdk Diterima)
</t>
    </r>
    <r>
      <rPr>
        <sz val="11"/>
        <color theme="1"/>
        <rFont val="Calibri"/>
        <family val="2"/>
      </rPr>
      <t xml:space="preserve">
[Ob5e9c34] Indikasi Penipuan: BAYAR2.COM/08042026/060
PT Kreasi Kode Kreatif
7900119200723061 1755000
</t>
    </r>
  </si>
  <si>
    <r>
      <t xml:space="preserve">Surat FRAUD
(Dana Terpotong, Produk Tdk Diterima)
</t>
    </r>
    <r>
      <rPr>
        <sz val="11"/>
        <color theme="1"/>
        <rFont val="Calibri"/>
        <family val="2"/>
      </rPr>
      <t xml:space="preserve">
[Oe420498] Indikasi Penipuan: BAYAR2.COM/08042026/061
PT Envoiz Digital Indonesia
7900124900064760 4524500
</t>
    </r>
  </si>
  <si>
    <r>
      <t xml:space="preserve">Request BUKTI TRANSAKSI VOA dari BANK
(Customer request payment receipt)
</t>
    </r>
    <r>
      <rPr>
        <sz val="11"/>
        <color theme="1"/>
        <rFont val="Calibri"/>
        <family val="2"/>
      </rPr>
      <t>The Receipt of e-Visa</t>
    </r>
  </si>
  <si>
    <r>
      <t xml:space="preserve">Request REFUND TRANSAKSI
(Product tidak diterima dan Cust request refund)
</t>
    </r>
    <r>
      <rPr>
        <sz val="11"/>
        <color theme="1"/>
        <rFont val="Calibri"/>
        <family val="2"/>
      </rPr>
      <t xml:space="preserve">Refund 8 April 2026
</t>
    </r>
  </si>
  <si>
    <r>
      <t xml:space="preserve">Request BUKTI TRANSAKSI VOA dari BANK
(Customer sanggah transaksi CC atas penerbitan Visa)
</t>
    </r>
    <r>
      <rPr>
        <sz val="11"/>
        <color theme="1"/>
        <rFont val="Calibri"/>
        <family val="2"/>
      </rPr>
      <t>Permohonan Bukti Transaksi Merchant PRISMALINK #08042026 JCB First Chargeback</t>
    </r>
  </si>
  <si>
    <r>
      <t xml:space="preserve">Request REFUND TRANSAKSI
(Customer request refund transaksi double)
</t>
    </r>
    <r>
      <rPr>
        <sz val="11"/>
        <color theme="1"/>
        <rFont val="Calibri"/>
        <family val="2"/>
      </rPr>
      <t>Double payment</t>
    </r>
  </si>
  <si>
    <r>
      <t xml:space="preserve">Request REFUND TRANSAKSI
(Customer request refund transaksi double)
</t>
    </r>
    <r>
      <rPr>
        <sz val="11"/>
        <color theme="1"/>
        <rFont val="Calibri"/>
        <family val="2"/>
      </rPr>
      <t>Error Payment Refund</t>
    </r>
  </si>
  <si>
    <r>
      <t xml:space="preserve">Surat FRAUD
(Dana Terpotong, Produk Tdk Diterima)
</t>
    </r>
    <r>
      <rPr>
        <sz val="11"/>
        <color theme="1"/>
        <rFont val="Calibri"/>
        <family val="2"/>
      </rPr>
      <t xml:space="preserve">
[O5e1b26f] Indikasi Penipuan: BAYAR2.COM/09042026/062
PT ENVOIZ DIGITAL INDONESIA
7900124900064626 4600000
</t>
    </r>
  </si>
  <si>
    <r>
      <t xml:space="preserve">Surat FRAUD
(Dana Terpotong, Produk Tdk Diterima)
</t>
    </r>
    <r>
      <rPr>
        <sz val="11"/>
        <color theme="1"/>
        <rFont val="Calibri"/>
        <family val="2"/>
      </rPr>
      <t xml:space="preserve">
[O03fc1d7] Indikasi Penipuan: BAYAR2.COM/09042026/063
PT ENVOIZ DIGITAL INDONESIA
7900124900063039 2587500
</t>
    </r>
  </si>
  <si>
    <r>
      <t xml:space="preserve">Request STATUS TRANSAKSI (ACQ NOBU)
(PRODUK Tdk Diterima Customer, 
SWITCHING &amp; ACQ telah credit dana)
</t>
    </r>
    <r>
      <rPr>
        <sz val="11"/>
        <color theme="1"/>
        <rFont val="Calibri"/>
        <family val="2"/>
      </rPr>
      <t>Surat DISPUTE dari NOBU
email : DISPUTE 06042026 PT PRISMALINK INTERNATIONAL</t>
    </r>
  </si>
  <si>
    <r>
      <t xml:space="preserve">Request BUKTI TRANSAKSI VOA dari BANK
(Customer request payment receipt)
</t>
    </r>
    <r>
      <rPr>
        <sz val="11"/>
        <color theme="1"/>
        <rFont val="Calibri"/>
        <family val="2"/>
      </rPr>
      <t>Request for Indonesia visa invoice</t>
    </r>
  </si>
  <si>
    <r>
      <t xml:space="preserve">Request REFUND TRANSAKSI
(Customer request refund transaksi double)
</t>
    </r>
    <r>
      <rPr>
        <sz val="11"/>
        <color theme="1"/>
        <rFont val="Calibri"/>
        <family val="2"/>
      </rPr>
      <t>Fw: Inquiry about refund for duplicate payment of Indonesia entry card</t>
    </r>
  </si>
  <si>
    <r>
      <t xml:space="preserve">Request REFUND TRANSAKSI
(Product tidak diterima dan Cust request refund)
</t>
    </r>
    <r>
      <rPr>
        <sz val="11"/>
        <color theme="1"/>
        <rFont val="Calibri"/>
        <family val="2"/>
      </rPr>
      <t xml:space="preserve">Refund 09 April 2026
</t>
    </r>
  </si>
  <si>
    <r>
      <t xml:space="preserve">Surat FRAUD
(Dana Terpotong, Produk Tdk Diterima)
</t>
    </r>
    <r>
      <rPr>
        <sz val="11"/>
        <color theme="1"/>
        <rFont val="Calibri"/>
        <family val="2"/>
      </rPr>
      <t xml:space="preserve">
[Oeb8570d] Indikasi Penipuan: BAYAR2.COM/10042026/064
PT ENVOIZ DIGITAL INDONESIA
7900124900086555 10000000
</t>
    </r>
  </si>
  <si>
    <r>
      <t xml:space="preserve">Request BUKTI TRANSAKSI VOA
(Customer sanggah transaksi CC atas penerbitan Visa)
</t>
    </r>
    <r>
      <rPr>
        <sz val="11"/>
        <color theme="1"/>
        <rFont val="Calibri"/>
        <family val="2"/>
      </rPr>
      <t>E-Visa On Arrival</t>
    </r>
  </si>
  <si>
    <r>
      <t xml:space="preserve">Request BUKTI TRANSAKSI VOA dari BANK
(Pengajuan Pre-Arb oleh Bank)
</t>
    </r>
    <r>
      <rPr>
        <sz val="11"/>
        <color theme="1"/>
        <rFont val="Calibri"/>
        <family val="2"/>
      </rPr>
      <t>KONFIRMASI PRE ARBITRASI Prismalink*IND VISAARR 10/04/2026 72 TRX</t>
    </r>
  </si>
  <si>
    <r>
      <t xml:space="preserve">Request REFUND TRANSAKSI
(Customer request refund transaksi double)
</t>
    </r>
    <r>
      <rPr>
        <sz val="11"/>
        <color theme="1"/>
        <rFont val="Calibri"/>
        <family val="2"/>
      </rPr>
      <t>Payment Deducted but Visa Not Issued</t>
    </r>
  </si>
  <si>
    <r>
      <t xml:space="preserve">Request REFUND TRANSAKSI
(Customer request refund transaksi double)
</t>
    </r>
    <r>
      <rPr>
        <sz val="11"/>
        <color theme="1"/>
        <rFont val="Calibri"/>
        <family val="2"/>
      </rPr>
      <t>Visa on arrival</t>
    </r>
  </si>
  <si>
    <r>
      <t xml:space="preserve">Surat FRAUD
(Dana Terpotong, Produk Tdk Diterima)
</t>
    </r>
    <r>
      <rPr>
        <sz val="11"/>
        <color theme="1"/>
        <rFont val="Calibri"/>
        <family val="2"/>
      </rPr>
      <t xml:space="preserve">
RE: Pengecekan VA 700701131100675
PT Wahana Pembayaran Digital
700701131100675 4113212
</t>
    </r>
  </si>
  <si>
    <r>
      <t xml:space="preserve">Surat FRAUD
(Dana Terpotong, Produk Tdk Diterima)
</t>
    </r>
    <r>
      <rPr>
        <sz val="11"/>
        <color theme="1"/>
        <rFont val="Calibri"/>
        <family val="2"/>
      </rPr>
      <t xml:space="preserve">
Pemohonan Informasi Indikasi Fraud PT. Prismalink International VA 4041910125034269 dan 4041910124970806
PT Daya Net Gemilang
4041910125034269 12000000
PT ENVOIZ DIGITAL INDONESIA
4041910124970806 12000000
</t>
    </r>
  </si>
  <si>
    <r>
      <t xml:space="preserve">Surat FRAUD
(Dana Terpotong, Produk Tdk Diterima)
</t>
    </r>
    <r>
      <rPr>
        <sz val="11"/>
        <color theme="1"/>
        <rFont val="Calibri"/>
        <family val="2"/>
      </rPr>
      <t xml:space="preserve">
REPORT PENIPUAN VIRTUAL ACCOUNT MANDIRI PRISMA LINK
PT Wahana Pembayaran Digital
700701130100643 4113212
</t>
    </r>
  </si>
  <si>
    <r>
      <t xml:space="preserve">Request BUKTI TRANSAKSI VOA dari BANK
(Customer sanggah transaksi CC atas penerbitan Visa)
</t>
    </r>
    <r>
      <rPr>
        <sz val="11"/>
        <color theme="1"/>
        <rFont val="Calibri"/>
        <family val="2"/>
      </rPr>
      <t>PERMOHONAN BUKTI TRANSAKSI PRISMALINK*IND VISAARR #10/04/2026 50 TRX</t>
    </r>
  </si>
  <si>
    <r>
      <t xml:space="preserve">Request STATUS TRANSAKSI (ACQ NOBU)
(PRODUK Tdk Diterima Customer, 
SWITCHING &amp; ACQ telah credit dana)
</t>
    </r>
    <r>
      <rPr>
        <sz val="11"/>
        <color theme="1"/>
        <rFont val="Calibri"/>
        <family val="2"/>
      </rPr>
      <t>Surat DISPUTE dari NOBU
email : DISPUTE 08042026 PT PRISMALINK INTERNATIONAL11120012625936300</t>
    </r>
  </si>
  <si>
    <r>
      <t xml:space="preserve">Request STATUS TRANSAKSI (ACQ NOBU)
(PRODUK Tdk Diterima Customer, 
SWITCHING &amp; ACQ telah credit dana)
</t>
    </r>
    <r>
      <rPr>
        <sz val="11"/>
        <color theme="1"/>
        <rFont val="Calibri"/>
        <family val="2"/>
      </rPr>
      <t>Surat DISPUTE dari NOBU
email : DISPUTE 09042026 PT PRISMALINK INTERNATIONAL</t>
    </r>
  </si>
  <si>
    <r>
      <t xml:space="preserve">Request REFUND TRANSAKSI
(Product tidak diterima dan Cust request refund)
</t>
    </r>
    <r>
      <rPr>
        <sz val="11"/>
        <color theme="1"/>
        <rFont val="Calibri"/>
        <family val="2"/>
      </rPr>
      <t xml:space="preserve">Refund 10,11,12 April 2026
</t>
    </r>
  </si>
  <si>
    <r>
      <t xml:space="preserve">Request BUKTI TRANSAKSI VOA dari BANK
(Customer sanggah transaksi CC atas penerbitan Visa)
</t>
    </r>
    <r>
      <rPr>
        <sz val="11"/>
        <color theme="1"/>
        <rFont val="Calibri"/>
        <family val="2"/>
      </rPr>
      <t>Permohonan Bukti Transaksi Merchant PRISMALINK #10042026 JCB First Chargeback</t>
    </r>
  </si>
  <si>
    <r>
      <t xml:space="preserve">Request BUKTI TRANSAKSI VOA dari BANK
(Customer sanggah transaksi CC atas penerbitan Visa)
</t>
    </r>
    <r>
      <rPr>
        <sz val="11"/>
        <color theme="1"/>
        <rFont val="Calibri"/>
        <family val="2"/>
      </rPr>
      <t>KONFIRMASI CHARGEBACK Prismalink*IND VISAARR 10/04/2026 57 TRX</t>
    </r>
  </si>
  <si>
    <r>
      <t xml:space="preserve">Request STATUS TRANSAKSI
(PRODUK Tdk Diterima, namun ada bukti TRANSFER)
</t>
    </r>
    <r>
      <rPr>
        <sz val="11"/>
        <color theme="1"/>
        <rFont val="Calibri"/>
        <family val="2"/>
      </rPr>
      <t xml:space="preserve">
4041910117953187
</t>
    </r>
  </si>
  <si>
    <r>
      <t xml:space="preserve">Request STATUS TRANSAKSI
(PRODUK Tdk Diterima, namun ada bukti TRANSFER)
</t>
    </r>
    <r>
      <rPr>
        <sz val="11"/>
        <color theme="1"/>
        <rFont val="Calibri"/>
        <family val="2"/>
      </rPr>
      <t xml:space="preserve">
8919101250782847
</t>
    </r>
  </si>
  <si>
    <r>
      <t xml:space="preserve">Request STATUS TRANSAKSI
(PRODUK Tdk Diterima, namun ada bukti TRANSFER)
</t>
    </r>
    <r>
      <rPr>
        <sz val="11"/>
        <color theme="1"/>
        <rFont val="Calibri"/>
        <family val="2"/>
      </rPr>
      <t xml:space="preserve">
4041913277194067
</t>
    </r>
  </si>
  <si>
    <r>
      <t xml:space="preserve">Request STATUS TRANSAKSI
(PRODUK Tdk Diterima, namun ada bukti TRANSFER)
</t>
    </r>
    <r>
      <rPr>
        <sz val="11"/>
        <color theme="1"/>
        <rFont val="Calibri"/>
        <family val="2"/>
      </rPr>
      <t xml:space="preserve">
000430657368 / NACL1456392222
</t>
    </r>
  </si>
  <si>
    <r>
      <t xml:space="preserve">Request STATUS TRANSAKSI
(PRODUK Tdk Diterima, namun ada bukti TRANSFER)
</t>
    </r>
    <r>
      <rPr>
        <sz val="11"/>
        <color theme="1"/>
        <rFont val="Calibri"/>
        <family val="2"/>
      </rPr>
      <t xml:space="preserve">
000430657368 / NACL1456392222
000430264122 / NACL1456377174
000430915260 / NACL1456401243
000000T1FC71 / NACL1456380849 
000430779435 / NACL1456396402
000430776123 / NACL1456396292
018406537749 / NACL1456417629
018406537749 / NACL1456417629
018854361362 / NACL1456390804 
122090175272 / NACL1456417509
000430921244 / NACL1456401392 
018434368468 / NACL1456422614
122102674572 / NACL1456439859
121720855873 / NACL1455156109
604070590792 / NACL1456318893
</t>
    </r>
  </si>
  <si>
    <r>
      <t xml:space="preserve">Request STATUS TRANSAKSI
(PRODUK Tdk Diterima, namun ada bukti TRANSFER)
</t>
    </r>
    <r>
      <rPr>
        <sz val="11"/>
        <color theme="1"/>
        <rFont val="Calibri"/>
        <family val="2"/>
      </rPr>
      <t xml:space="preserve">
7900117900088248
</t>
    </r>
  </si>
  <si>
    <r>
      <t xml:space="preserve">Request STATUS TRANSAKSI
(PRODUK Tdk Diterima, namun ada bukti TRANSFER)
</t>
    </r>
    <r>
      <rPr>
        <sz val="11"/>
        <color theme="1"/>
        <rFont val="Calibri"/>
        <family val="2"/>
      </rPr>
      <t xml:space="preserve">
7900117900097009
</t>
    </r>
  </si>
  <si>
    <r>
      <t xml:space="preserve">Request STATUS TRANSAKSI
(PRODUK Tdk Diterima, namun ada bukti TRANSFER)
</t>
    </r>
    <r>
      <rPr>
        <sz val="11"/>
        <color theme="1"/>
        <rFont val="Calibri"/>
        <family val="2"/>
      </rPr>
      <t xml:space="preserve">
8919101250411384
</t>
    </r>
  </si>
  <si>
    <r>
      <t xml:space="preserve">Request STATUS TRANSAKSI dari MERCHANT
(PRODUK diterima, dashboard belum update)
</t>
    </r>
    <r>
      <rPr>
        <sz val="11"/>
        <color theme="1"/>
        <rFont val="Calibri"/>
        <family val="2"/>
      </rPr>
      <t xml:space="preserve">8919101250357922 / NACL1457908778  </t>
    </r>
  </si>
  <si>
    <r>
      <t xml:space="preserve">Request STATUS TRANSAKSI dari MERCHANT
(PRODUK diterima, dashboard belum update)
</t>
    </r>
    <r>
      <rPr>
        <sz val="11"/>
        <color theme="1"/>
        <rFont val="Calibri"/>
        <family val="2"/>
      </rPr>
      <t xml:space="preserve">000000T48JX4 / NACL1457980556    </t>
    </r>
  </si>
  <si>
    <r>
      <t xml:space="preserve">Request STATUS TRANSAKSI dari MERCHANT
(PRODUK diterima, dashboard belum update)
</t>
    </r>
    <r>
      <rPr>
        <sz val="11"/>
        <color theme="1"/>
        <rFont val="Calibri"/>
        <family val="2"/>
      </rPr>
      <t>NACL1456317515 with RRN 000428905516</t>
    </r>
  </si>
  <si>
    <r>
      <t xml:space="preserve">Request STATUS TRANSAKSI dari MERCHANT
(PRODUK diterima, dashboard belum update)
</t>
    </r>
    <r>
      <rPr>
        <sz val="11"/>
        <color theme="1"/>
        <rFont val="Calibri"/>
        <family val="2"/>
      </rPr>
      <t>7900121700081614</t>
    </r>
  </si>
  <si>
    <r>
      <t xml:space="preserve">Request STATUS TRANSAKSI dari MERCHANT
(PRODUK diterima, dashboard belum update)
</t>
    </r>
    <r>
      <rPr>
        <sz val="11"/>
        <color theme="1"/>
        <rFont val="Calibri"/>
        <family val="2"/>
      </rPr>
      <t>4041910117919768</t>
    </r>
  </si>
  <si>
    <r>
      <t xml:space="preserve">Request STATUS TRANSAKSI
(PRODUK Tdk Diterima, namun ada bukti TRANSFER)
</t>
    </r>
    <r>
      <rPr>
        <sz val="11"/>
        <color theme="1"/>
        <rFont val="Calibri"/>
        <family val="2"/>
      </rPr>
      <t xml:space="preserve">
8919101250743363
</t>
    </r>
  </si>
  <si>
    <r>
      <t xml:space="preserve">Request STATUS TRANSAKSI
(PRODUK Tdk Diterima, namun ada bukti TRANSFER)
</t>
    </r>
    <r>
      <rPr>
        <sz val="11"/>
        <color theme="1"/>
        <rFont val="Calibri"/>
        <family val="2"/>
      </rPr>
      <t xml:space="preserve">
7900117900032004
</t>
    </r>
  </si>
  <si>
    <r>
      <t xml:space="preserve">Request STATUS TRANSAKSI
(PRODUK Tdk Diterima, namun ada bukti TRANSFER)
</t>
    </r>
    <r>
      <rPr>
        <sz val="11"/>
        <color theme="1"/>
        <rFont val="Calibri"/>
        <family val="2"/>
      </rPr>
      <t xml:space="preserve">
7900125000043019
</t>
    </r>
  </si>
  <si>
    <r>
      <t xml:space="preserve">Request STATUS TRANSAKSI
(PRODUK Tdk Diterima, namun ada bukti TRANSFER)
</t>
    </r>
    <r>
      <rPr>
        <sz val="11"/>
        <color theme="1"/>
        <rFont val="Calibri"/>
        <family val="2"/>
      </rPr>
      <t xml:space="preserve">
4041910125037899
</t>
    </r>
  </si>
  <si>
    <r>
      <t xml:space="preserve">Request STATUS TRANSAKSI dari MERCHANT
(PRODUK diterima, dashboard belum update)
</t>
    </r>
    <r>
      <rPr>
        <sz val="11"/>
        <color theme="1"/>
        <rFont val="Calibri"/>
        <family val="2"/>
      </rPr>
      <t>000000TBKVV4 / 0151210042688533681
000031086602 / 0151310042623097019
000119515562 / 0151310042657439111
1nf721365270 / 0151310042650918142
000119609638 / 0151310042635291250
000119847069 / 0151310042632385186
ESB750008526 / 0151310042641393781
000120097637 / 0151310042683525915
1nf781168744 / 0151310042612178292
000119715994 / 0151310042658440104
943288861976 / 0151310042606396485
000120836588 / 0151410042628132144
000000TBNP2T / 0151210042689097830
000121787560 / 0151410042622159150
000121003267 / 0151410042646568497</t>
    </r>
  </si>
  <si>
    <r>
      <t xml:space="preserve">Request STATUS TRANSAKSI
(PRODUK Tdk Diterima, namun ada bukti TRANSFER)
</t>
    </r>
    <r>
      <rPr>
        <sz val="11"/>
        <color theme="1"/>
        <rFont val="Calibri"/>
        <family val="2"/>
      </rPr>
      <t xml:space="preserve">
7900125000075464
</t>
    </r>
  </si>
  <si>
    <r>
      <t xml:space="preserve">Request STATUS TRANSAKSI dari MERCHANT
(PRODUK diterima, dashboard belum update)
</t>
    </r>
    <r>
      <rPr>
        <sz val="11"/>
        <color theme="1"/>
        <rFont val="Calibri"/>
        <family val="2"/>
      </rPr>
      <t>000000TBKVV4 / 0151210042688533681000129502540
018839770967
000129818448
000134192106</t>
    </r>
  </si>
  <si>
    <r>
      <t xml:space="preserve">Request STATUS TRANSAKSI
(PRODUK Tdk Diterima, namun ada bukti TRANSFER)
</t>
    </r>
    <r>
      <rPr>
        <sz val="11"/>
        <color theme="1"/>
        <rFont val="Calibri"/>
        <family val="2"/>
      </rPr>
      <t xml:space="preserve">
8919101217049421
</t>
    </r>
  </si>
  <si>
    <r>
      <t xml:space="preserve">Request STATUS TRANSAKSI
(PRODUK Tdk Diterima, namun ada bukti TRANSFER)
</t>
    </r>
    <r>
      <rPr>
        <sz val="11"/>
        <color theme="1"/>
        <rFont val="Calibri"/>
        <family val="2"/>
      </rPr>
      <t xml:space="preserve">
8919101217501008
</t>
    </r>
  </si>
  <si>
    <r>
      <t xml:space="preserve">Surat FRAUD
(Dana Terpotong, Produk Tdk Diterima)
</t>
    </r>
    <r>
      <rPr>
        <sz val="11"/>
        <color theme="1"/>
        <rFont val="Calibri"/>
        <family val="2"/>
      </rPr>
      <t xml:space="preserve">
[O00ad3d6] Indikasi Penipuan: BAYAR2.COM/13042026/065
PT Daya Net Gemilang
7900125000066698 10800000
</t>
    </r>
  </si>
  <si>
    <r>
      <t xml:space="preserve">Surat FRAUD
(Dana Terpotong, Produk Tdk Diterima)
</t>
    </r>
    <r>
      <rPr>
        <sz val="11"/>
        <color theme="1"/>
        <rFont val="Calibri"/>
        <family val="2"/>
      </rPr>
      <t xml:space="preserve">
URGENT – Laporan Penipuan Transaksi VA Bayar2.com\
PT Kreasi Kode Kreatif
7900121700061387 4350000
</t>
    </r>
  </si>
  <si>
    <r>
      <t xml:space="preserve">Surat FRAUD
(Dana Terpotong, Produk Tdk Diterima)
</t>
    </r>
    <r>
      <rPr>
        <sz val="11"/>
        <color theme="1"/>
        <rFont val="Calibri"/>
        <family val="2"/>
      </rPr>
      <t xml:space="preserve">
[O5798ec5] Indikasi Penipuan: BAYAR2.COM/13042026/066
PT Envoiz
7900124900034427 4025000
</t>
    </r>
  </si>
  <si>
    <r>
      <t xml:space="preserve">Surat FRAUD
(Dana Terpotong, Produk Tdk Diterima)
</t>
    </r>
    <r>
      <rPr>
        <sz val="11"/>
        <color theme="1"/>
        <rFont val="Calibri"/>
        <family val="2"/>
      </rPr>
      <t xml:space="preserve">
[O704531d] Indikasi Penipuan: BAYAR2.COM/13042026/067
Envoiz
7900124900042281 6000000
</t>
    </r>
  </si>
  <si>
    <r>
      <t xml:space="preserve">Surat FRAUD
(Dana Terpotong, Produk Tdk Diterima)
</t>
    </r>
    <r>
      <rPr>
        <sz val="11"/>
        <color theme="1"/>
        <rFont val="Calibri"/>
        <family val="2"/>
      </rPr>
      <t xml:space="preserve">
[O26fc2fa] Indikasi Penipuan: BAYAR2.COM/13042026/068
KVoucher
7900119200733271 1170000
</t>
    </r>
  </si>
  <si>
    <r>
      <t xml:space="preserve">Surat FRAUD
(Dana Terpotong, Produk Tdk Diterima)
</t>
    </r>
    <r>
      <rPr>
        <sz val="11"/>
        <color theme="1"/>
        <rFont val="Calibri"/>
        <family val="2"/>
      </rPr>
      <t xml:space="preserve">
[Ofe8d600] Indikasi Penipuan: BAYAR2.COM/13042026/069
DNT
7900125000017519 10800000
7900125000038356 10800986
7900125000022816 7560000
</t>
    </r>
  </si>
  <si>
    <r>
      <t xml:space="preserve">Surat FRAUD
(Dana Terpotong, Produk Tdk Diterima)
</t>
    </r>
    <r>
      <rPr>
        <sz val="11"/>
        <color theme="1"/>
        <rFont val="Calibri"/>
        <family val="2"/>
      </rPr>
      <t xml:space="preserve">
[O686ed37] Indikasi Penipuan: BAYAR2.COM/13042026/070
nobecul
7900121700041386 4200000
</t>
    </r>
  </si>
  <si>
    <r>
      <t xml:space="preserve">Request REFUND TRANSAKSI
(Product tidak diterima dan Cust request refund)
</t>
    </r>
    <r>
      <rPr>
        <sz val="11"/>
        <color theme="1"/>
        <rFont val="Calibri"/>
        <family val="2"/>
      </rPr>
      <t xml:space="preserve">Refund 13 April 2026
</t>
    </r>
  </si>
  <si>
    <r>
      <t xml:space="preserve">Request BUKTI TRANSAKSI VOA dari BANK
(Pengajuan Pre-Arb oleh Bank)
</t>
    </r>
    <r>
      <rPr>
        <sz val="11"/>
        <color theme="1"/>
        <rFont val="Calibri"/>
        <family val="2"/>
      </rPr>
      <t>KONFIRMASI PRE ARBITRASI Prismalink*IND VISAARR 14/04/2026 91 TRX</t>
    </r>
  </si>
  <si>
    <r>
      <t xml:space="preserve">Request BUKTI TRANSAKSI VOA dari BANK
(Customer sanggah transaksi CC atas penerbitan Visa)
</t>
    </r>
    <r>
      <rPr>
        <sz val="11"/>
        <color theme="1"/>
        <rFont val="Calibri"/>
        <family val="2"/>
      </rPr>
      <t>PERMOHONAN BUKTI TRANSAKSI PRISMALINK*IND VISAARR #14/04/2026 41 TRX</t>
    </r>
  </si>
  <si>
    <r>
      <t xml:space="preserve">Surat FRAUD
(Dana Terpotong, Produk Tdk Diterima)
</t>
    </r>
    <r>
      <rPr>
        <sz val="11"/>
        <color theme="1"/>
        <rFont val="Calibri"/>
        <family val="2"/>
      </rPr>
      <t xml:space="preserve">
Surat Bilateral Bank Mandiri nomor OPT.CCG/CHM.7113/2026
Paylabs
700701130100643 4113212
700701131100675 4113212
</t>
    </r>
  </si>
  <si>
    <r>
      <t xml:space="preserve">Request BUKTI TRANSAKSI VOA dari BANK
(Pengajuan Pre-Arb oleh Bank)
</t>
    </r>
    <r>
      <rPr>
        <sz val="11"/>
        <color theme="1"/>
        <rFont val="Calibri"/>
        <family val="2"/>
      </rPr>
      <t>KONFIRMASI PRE-ARBRITASI PRISMALINK*PT EIZEM IN #14/04/2026 1 TRX</t>
    </r>
  </si>
  <si>
    <r>
      <t xml:space="preserve">Request BUKTI TRANSAKSI VOA dari BANK
(Customer sanggah transaksi CC atas penerbitan Visa)
</t>
    </r>
    <r>
      <rPr>
        <sz val="11"/>
        <color theme="1"/>
        <rFont val="Calibri"/>
        <family val="2"/>
      </rPr>
      <t>KONFIRMASI CHARGEBACK Prismalink*IND VISAARR 14/04/2026 87 TRX</t>
    </r>
  </si>
  <si>
    <r>
      <t xml:space="preserve">Surat FRAUD
(Dana Terpotong, Produk Tdk Diterima)
</t>
    </r>
    <r>
      <rPr>
        <sz val="11"/>
        <color theme="1"/>
        <rFont val="Calibri"/>
        <family val="2"/>
      </rPr>
      <t xml:space="preserve">
[O5fa2d45] Indikasi Penipuan: BAYAR2.COM/14042026/071
Nobecul
7900121700061387	4350000
</t>
    </r>
  </si>
  <si>
    <r>
      <t xml:space="preserve">Request BUKTI TRANSAKSI VOA dari BANK
(Customer request payment receipt)
</t>
    </r>
    <r>
      <rPr>
        <sz val="11"/>
        <color theme="1"/>
        <rFont val="Calibri"/>
        <family val="2"/>
      </rPr>
      <t>FW:  Invoice request</t>
    </r>
  </si>
  <si>
    <r>
      <t xml:space="preserve">Request REFUND TRANSAKSI
(Customer request refund transaksi double)
</t>
    </r>
    <r>
      <rPr>
        <sz val="11"/>
        <color theme="1"/>
        <rFont val="Calibri"/>
        <family val="2"/>
      </rPr>
      <t>Request for Refund – Transaction Details Provided</t>
    </r>
  </si>
  <si>
    <r>
      <t xml:space="preserve">Request REFUND TRANSAKSI
(Product tidak diterima dan Cust request refund)
</t>
    </r>
    <r>
      <rPr>
        <sz val="11"/>
        <color theme="1"/>
        <rFont val="Calibri"/>
        <family val="2"/>
      </rPr>
      <t xml:space="preserve">Refund 14 April 2026
</t>
    </r>
  </si>
  <si>
    <r>
      <t xml:space="preserve">Request REFUND TRANSAKSI
(Customer request refund transaksi double)
</t>
    </r>
    <r>
      <rPr>
        <sz val="11"/>
        <color theme="1"/>
        <rFont val="Calibri"/>
        <family val="2"/>
      </rPr>
      <t>e-visa pay error</t>
    </r>
  </si>
  <si>
    <r>
      <t xml:space="preserve">Request REFUND TRANSAKSI
(Customer request refund transaksi double)
</t>
    </r>
    <r>
      <rPr>
        <sz val="11"/>
        <color theme="1"/>
        <rFont val="Calibri"/>
        <family val="2"/>
      </rPr>
      <t>REFUND REQUEST: Double Payment for Visa Application - Reg No. 2100426B1593996</t>
    </r>
  </si>
  <si>
    <r>
      <t xml:space="preserve">Surat FRAUD
(Dana Terpotong, Produk Tdk Diterima)
</t>
    </r>
    <r>
      <rPr>
        <sz val="11"/>
        <color theme="1"/>
        <rFont val="Calibri"/>
        <family val="2"/>
      </rPr>
      <t xml:space="preserve">
[Ob50620f] Indikasi Penipuan: BAYAR2.COM/15042026/072
Envoiz
7900124900039448	1202000
7900124900042257	3040000
7900124900097556	1152000
7900124900048403	3820000
7900124900001774	6214000
7900124900094054	1488000
</t>
    </r>
  </si>
  <si>
    <r>
      <t xml:space="preserve">Request BUKTI TRANSAKSI VOA dari BANK
(Customer request payment receipt)
</t>
    </r>
    <r>
      <rPr>
        <sz val="11"/>
        <color theme="1"/>
        <rFont val="Calibri"/>
        <family val="2"/>
      </rPr>
      <t>Request for VISA Application Invoice</t>
    </r>
  </si>
  <si>
    <r>
      <t xml:space="preserve">Surat FRAUD
(Dana Terpotong, Produk Tdk Diterima)
</t>
    </r>
    <r>
      <rPr>
        <sz val="11"/>
        <color theme="1"/>
        <rFont val="Calibri"/>
        <family val="2"/>
      </rPr>
      <t xml:space="preserve">
[Od7c9a22] Indikasi Penipuan: BAYAR2.COM/15042026/073
DNT
7900125000094417	22000000
</t>
    </r>
  </si>
  <si>
    <r>
      <t xml:space="preserve">Surat FRAUD
(Dana Terpotong, Produk Tdk Diterima)
</t>
    </r>
    <r>
      <rPr>
        <sz val="11"/>
        <color theme="1"/>
        <rFont val="Calibri"/>
        <family val="2"/>
      </rPr>
      <t xml:space="preserve">
[Oa710d64] Indikasi Penipuan: BAYAR2.COM/15042026/074
Envoiz
7900124900011576	1810000
</t>
    </r>
  </si>
  <si>
    <r>
      <t xml:space="preserve">Request STATUS TRANSAKSI dari BANK (ACQ NOBU)
(PRODUK Tdk Diterima Customer, 
SWITCHING &amp; ACQ telah credit dana)
</t>
    </r>
    <r>
      <rPr>
        <sz val="11"/>
        <color theme="1"/>
        <rFont val="Calibri"/>
        <family val="2"/>
      </rPr>
      <t>DISPUTE 13042026 PT PRISMALINK INTERNATIONAL</t>
    </r>
  </si>
  <si>
    <r>
      <t xml:space="preserve">Request REFUND TRANSAKSI
(Customer request refund transaksi double)
</t>
    </r>
    <r>
      <rPr>
        <sz val="11"/>
        <color theme="1"/>
        <rFont val="Calibri"/>
        <family val="2"/>
      </rPr>
      <t>Overcharged for visa</t>
    </r>
  </si>
  <si>
    <r>
      <t xml:space="preserve">Request STATUS TRANSAKSI dari BANK (ACQ NOBU)
(PRODUK Tdk Diterima Customer, 
SWITCHING &amp; ACQ telah credit dana)
</t>
    </r>
    <r>
      <rPr>
        <sz val="11"/>
        <color theme="1"/>
        <rFont val="Calibri"/>
        <family val="2"/>
      </rPr>
      <t>DISPUTE 14042026 PT PRISMALINK INTERNATIONAL</t>
    </r>
  </si>
  <si>
    <r>
      <t xml:space="preserve">Request REFUND TRANSAKSI
(Product tidak diterima dan Cust request refund)
</t>
    </r>
    <r>
      <rPr>
        <sz val="11"/>
        <color theme="1"/>
        <rFont val="Calibri"/>
        <family val="2"/>
      </rPr>
      <t xml:space="preserve">Refund 15 April 2026
</t>
    </r>
  </si>
  <si>
    <r>
      <t xml:space="preserve">Request REFUND TRANSAKSI
(Customer request refund transaksi double)
</t>
    </r>
    <r>
      <rPr>
        <sz val="11"/>
        <color theme="1"/>
        <rFont val="Calibri"/>
        <family val="2"/>
      </rPr>
      <t>Visa overpayment</t>
    </r>
  </si>
  <si>
    <r>
      <t xml:space="preserve">Request REFUND TRANSAKSI
(Customer request refund transaksi double)
</t>
    </r>
    <r>
      <rPr>
        <sz val="11"/>
        <color theme="1"/>
        <rFont val="Calibri"/>
        <family val="2"/>
      </rPr>
      <t>Fw: Arrival Card Submission – All Indonesia</t>
    </r>
  </si>
  <si>
    <r>
      <t xml:space="preserve">Surat FRAUD
(Dana Terpotong, Produk Tdk Diterima)
</t>
    </r>
    <r>
      <rPr>
        <sz val="11"/>
        <color theme="1"/>
        <rFont val="Calibri"/>
        <family val="2"/>
      </rPr>
      <t xml:space="preserve">
Surat Bilateral Bank Mandiri nomor OPT.CCG/CHM.7353/2026
700701130140350	4292000
</t>
    </r>
  </si>
  <si>
    <r>
      <t xml:space="preserve">Surat FRAUD
(Dana Terpotong, Produk Tdk Diterima)
</t>
    </r>
    <r>
      <rPr>
        <sz val="11"/>
        <color theme="1"/>
        <rFont val="Calibri"/>
        <family val="2"/>
      </rPr>
      <t xml:space="preserve">
Laporan Kendala Pembayaran Virtual Account - Adila Hasna Andari
700701131150503 16472000
</t>
    </r>
  </si>
  <si>
    <r>
      <t xml:space="preserve">Surat FRAUD
(Dana Terpotong, Produk Tdk Diterima)
</t>
    </r>
    <r>
      <rPr>
        <sz val="11"/>
        <color theme="1"/>
        <rFont val="Calibri"/>
        <family val="2"/>
      </rPr>
      <t xml:space="preserve">
[Od31ef88] Indikasi Penipuan: BAYAR2.COM/08042026/059
7900125000061285	1800000
</t>
    </r>
  </si>
  <si>
    <r>
      <t xml:space="preserve">Request REFUND TRANSAKSI
(Product tidak diterima dan Cust request refund)
</t>
    </r>
    <r>
      <rPr>
        <sz val="11"/>
        <color theme="1"/>
        <rFont val="Calibri"/>
        <family val="2"/>
      </rPr>
      <t xml:space="preserve">Refund 16 April 2026
</t>
    </r>
  </si>
  <si>
    <r>
      <t xml:space="preserve">Request BUKTI TRANSAKSI VOA dari BANK
(Customer request payment receipt)
</t>
    </r>
    <r>
      <rPr>
        <sz val="11"/>
        <color theme="1"/>
        <rFont val="Calibri"/>
        <family val="2"/>
      </rPr>
      <t>Permohonan Bantuan Terkait Bukti Pembayaran eVOA</t>
    </r>
  </si>
  <si>
    <r>
      <t xml:space="preserve">Request REFUND TRANSAKSI
(Customer request refund transaksi double)
</t>
    </r>
    <r>
      <rPr>
        <sz val="11"/>
        <color theme="1"/>
        <rFont val="Calibri"/>
        <family val="2"/>
      </rPr>
      <t>فيزا</t>
    </r>
  </si>
  <si>
    <r>
      <t xml:space="preserve">Request REFUND TRANSAKSI
(Customer request refund transaksi double)
</t>
    </r>
    <r>
      <rPr>
        <sz val="11"/>
        <color theme="1"/>
        <rFont val="Calibri"/>
        <family val="2"/>
      </rPr>
      <t>Subject: Refund Request – Visa Application Ref No. 147273</t>
    </r>
  </si>
  <si>
    <r>
      <t xml:space="preserve">Request REFUND TRANSAKSI
(Customer request refund transaksi double)
</t>
    </r>
    <r>
      <rPr>
        <sz val="11"/>
        <color theme="1"/>
        <rFont val="Calibri"/>
        <family val="2"/>
      </rPr>
      <t>Re: ALL INDONESIA PAYMENT TROUBLE</t>
    </r>
  </si>
  <si>
    <r>
      <t xml:space="preserve">Request REFUND TRANSAKSI
(Customer request refund transaksi double)
</t>
    </r>
    <r>
      <rPr>
        <sz val="11"/>
        <color theme="1"/>
        <rFont val="Calibri"/>
        <family val="2"/>
      </rPr>
      <t>Saya membayar pajak visa dan ternyata pembayarannya gagal (Saya membayar pajak Visa dan ternyata pembayarannya gagal)</t>
    </r>
  </si>
  <si>
    <r>
      <t xml:space="preserve">Request REFUND TRANSAKSI
(Customer request refund transaksi double)
</t>
    </r>
    <r>
      <rPr>
        <sz val="11"/>
        <color theme="1"/>
        <rFont val="Calibri"/>
        <family val="2"/>
      </rPr>
      <t>RE: Pending Transaction</t>
    </r>
  </si>
  <si>
    <r>
      <t xml:space="preserve">Request REFUND TRANSAKSI
(Customer request refund transaksi double)
</t>
    </r>
    <r>
      <rPr>
        <sz val="11"/>
        <color theme="1"/>
        <rFont val="Calibri"/>
        <family val="2"/>
      </rPr>
      <t>VOA Payment refund</t>
    </r>
  </si>
  <si>
    <r>
      <t xml:space="preserve">Request REFUND TRANSAKSI
(Customer request refund transaksi double)
</t>
    </r>
    <r>
      <rPr>
        <sz val="11"/>
        <color theme="1"/>
        <rFont val="Calibri"/>
        <family val="2"/>
      </rPr>
      <t xml:space="preserve">Evisa on arrival </t>
    </r>
  </si>
  <si>
    <r>
      <t xml:space="preserve">Request REFUND TRANSAKSI
(Customer request refund transaksi double)
</t>
    </r>
    <r>
      <rPr>
        <sz val="11"/>
        <color theme="1"/>
        <rFont val="Calibri"/>
        <family val="2"/>
      </rPr>
      <t>James wapshott visa payment</t>
    </r>
  </si>
  <si>
    <r>
      <t xml:space="preserve">Request REFUND TRANSAKSI
(Customer request refund transaksi double)
</t>
    </r>
    <r>
      <rPr>
        <sz val="11"/>
        <color theme="1"/>
        <rFont val="Calibri"/>
        <family val="2"/>
      </rPr>
      <t>Refund of Visa on Arrival Panagiotis Kouvatsos</t>
    </r>
  </si>
  <si>
    <r>
      <t xml:space="preserve">Request REFUND TRANSAKSI
(Product tidak diterima dan Cust request refund)
</t>
    </r>
    <r>
      <rPr>
        <sz val="11"/>
        <color theme="1"/>
        <rFont val="Calibri"/>
        <family val="2"/>
      </rPr>
      <t xml:space="preserve">Refund 17,18,19 April 2026
</t>
    </r>
  </si>
  <si>
    <r>
      <t xml:space="preserve">Request REFUND TRANSAKSI
(Customer request refund transaksi double)
</t>
    </r>
    <r>
      <rPr>
        <sz val="11"/>
        <color theme="1"/>
        <rFont val="Calibri"/>
        <family val="2"/>
      </rPr>
      <t>Fwd: VOA - overcharged</t>
    </r>
  </si>
  <si>
    <r>
      <t xml:space="preserve">Pengajuan Pre-Arb
(Pengajuan Pre-Arb oleh Bank)
</t>
    </r>
    <r>
      <rPr>
        <sz val="11"/>
        <color theme="1"/>
        <rFont val="Calibri"/>
        <family val="2"/>
      </rPr>
      <t>Permohonan bukti transaksi merchant PRISMALINK #16042026 JCB First Chargeback</t>
    </r>
  </si>
  <si>
    <r>
      <t xml:space="preserve">Request BUKTI TRANSAKSI VOA dari BANK
(Customer sanggah transaksi CC atas penerbitan Visa)
</t>
    </r>
    <r>
      <rPr>
        <sz val="11"/>
        <color theme="1"/>
        <rFont val="Calibri"/>
        <family val="2"/>
      </rPr>
      <t>KONFIRMASI CHARGEBACK Prismalink*IND VISAARR 16/04/2026 24 TRX</t>
    </r>
  </si>
  <si>
    <r>
      <t xml:space="preserve">Request STATUS TRANSAKSI
(PRODUK Tdk Diterima, namun ada bukti TRANSFER)
</t>
    </r>
    <r>
      <rPr>
        <sz val="11"/>
        <color theme="1"/>
        <rFont val="Calibri"/>
        <family val="2"/>
      </rPr>
      <t xml:space="preserve">
2189132240800029
</t>
    </r>
  </si>
  <si>
    <r>
      <t xml:space="preserve">Request STATUS TRANSAKSI
(PRODUK Tdk Diterima, namun ada bukti TRANSFER)
</t>
    </r>
    <r>
      <rPr>
        <sz val="11"/>
        <color theme="1"/>
        <rFont val="Calibri"/>
        <family val="2"/>
      </rPr>
      <t xml:space="preserve">
018465954032
</t>
    </r>
  </si>
  <si>
    <r>
      <t xml:space="preserve">Request STATUS TRANSAKSI dari MERCHANT
(PRODUK diterima, dashboard belum update)
</t>
    </r>
    <r>
      <rPr>
        <sz val="11"/>
        <color theme="1"/>
        <rFont val="Calibri"/>
        <family val="2"/>
      </rPr>
      <t>000000TD4M4B 0152210042633488519
000135027761 0152210042694592398
000134649872 0152110042624205556
293e03ef9816 0152110042675689802
124040071733 0151910042665965386
000134288081 0151910042669824652
018648954217 0152110042633516490
604101598368 0152110042616723685
018501538520 0151810042637683885
000129862505 0151910042638272076
000000TCHTS9 0151810042683645082
000129912215 0151910042657191491
604105123301 0151610042688625825
000101911968 0151910042614712941
ESB543904200 0151910042636056496
000031119385 0151910042680456573
000000TCGLTX 0151910042674450919
014095047789 0151910042621203035
123962303835 0151910042608578718
000129319298 0151610042661375560
000137156246 0150011042619575954
000000TDL2RN 0150111042697621409
000139089814 0150311042623067923
000139252292 0150411042680254624
124146659271 0150711042600605590
604112426048 0150811042683048556
000141090238 0150811042636691275
124188784829 0150911042613245285</t>
    </r>
  </si>
  <si>
    <r>
      <t xml:space="preserve">Request STATUS TRANSAKSI dari MERCHANT
(PRODUK diterima, dashboard belum update)
</t>
    </r>
    <r>
      <rPr>
        <sz val="11"/>
        <color theme="1"/>
        <rFont val="Calibri"/>
        <family val="2"/>
      </rPr>
      <t>1551200000006380</t>
    </r>
  </si>
  <si>
    <r>
      <t xml:space="preserve">Request STATUS TRANSAKSI
(PRODUK Tdk Diterima, namun ada bukti TRANSFER)
</t>
    </r>
    <r>
      <rPr>
        <sz val="11"/>
        <color theme="1"/>
        <rFont val="Calibri"/>
        <family val="2"/>
      </rPr>
      <t xml:space="preserve">
7900121700091027
</t>
    </r>
  </si>
  <si>
    <r>
      <t xml:space="preserve">Request STATUS TRANSAKSI
(PRODUK Tdk Diterima, namun ada bukti TRANSFER)
</t>
    </r>
    <r>
      <rPr>
        <sz val="11"/>
        <color theme="1"/>
        <rFont val="Calibri"/>
        <family val="2"/>
      </rPr>
      <t xml:space="preserve">
7900119200763393
</t>
    </r>
  </si>
  <si>
    <r>
      <t xml:space="preserve">Request STATUS TRANSAKSI
(PRODUK Tdk Diterima, namun ada bukti TRANSFER)
</t>
    </r>
    <r>
      <rPr>
        <sz val="11"/>
        <color theme="1"/>
        <rFont val="Calibri"/>
        <family val="2"/>
      </rPr>
      <t xml:space="preserve">
7900125000064115
</t>
    </r>
  </si>
  <si>
    <r>
      <t xml:space="preserve">Request STATUS TRANSAKSI
(PRODUK Tdk Diterima, namun ada bukti TRANSFER)
</t>
    </r>
    <r>
      <rPr>
        <sz val="11"/>
        <color theme="1"/>
        <rFont val="Calibri"/>
        <family val="2"/>
      </rPr>
      <t xml:space="preserve">
1nitwda73851
</t>
    </r>
  </si>
  <si>
    <r>
      <t xml:space="preserve">Request STATUS TRANSAKSI
(PRODUK Tdk Diterima, namun ada bukti TRANSFER)
</t>
    </r>
    <r>
      <rPr>
        <sz val="11"/>
        <color theme="1"/>
        <rFont val="Calibri"/>
        <family val="2"/>
      </rPr>
      <t xml:space="preserve">
0151114042696748152 / 000000TQBBDN
</t>
    </r>
  </si>
  <si>
    <r>
      <t xml:space="preserve">Request STATUS TRANSAKSI
(PRODUK Tdk Diterima, namun ada bukti TRANSFER)
</t>
    </r>
    <r>
      <rPr>
        <sz val="11"/>
        <color theme="1"/>
        <rFont val="Calibri"/>
        <family val="2"/>
      </rPr>
      <t xml:space="preserve">
000244678616
</t>
    </r>
  </si>
  <si>
    <r>
      <t xml:space="preserve">Request STATUS TRANSAKSI
(PRODUK Tdk Diterima, namun ada bukti TRANSFER)
</t>
    </r>
    <r>
      <rPr>
        <sz val="11"/>
        <color theme="1"/>
        <rFont val="Calibri"/>
        <family val="2"/>
      </rPr>
      <t xml:space="preserve">
7900119200765170
</t>
    </r>
  </si>
  <si>
    <r>
      <t xml:space="preserve">Request STATUS TRANSAKSI dari MERCHANT
(PRODUK diterima, dashboard belum update)
</t>
    </r>
    <r>
      <rPr>
        <sz val="11"/>
        <color theme="1"/>
        <rFont val="Calibri"/>
        <family val="2"/>
      </rPr>
      <t>8919101205072269</t>
    </r>
  </si>
  <si>
    <r>
      <t xml:space="preserve">Request STATUS TRANSAKSI dari MERCHANT
(PRODUK diterima, dashboard belum update)
</t>
    </r>
    <r>
      <rPr>
        <sz val="11"/>
        <color theme="1"/>
        <rFont val="Calibri"/>
        <family val="2"/>
      </rPr>
      <t>8919101250910073</t>
    </r>
  </si>
  <si>
    <r>
      <t xml:space="preserve">Request STATUS TRANSAKSI dari MERCHANT
(PRODUK diterima, dashboard belum update)
</t>
    </r>
    <r>
      <rPr>
        <sz val="11"/>
        <color theme="1"/>
        <rFont val="Calibri"/>
        <family val="2"/>
      </rPr>
      <t xml:space="preserve">8919101217845603 / 2026041640100156451  </t>
    </r>
  </si>
  <si>
    <r>
      <t xml:space="preserve">Request STATUS TRANSAKSI dari MERCHANT
(PRODUK diterima, dashboard belum update)
</t>
    </r>
    <r>
      <rPr>
        <sz val="11"/>
        <color theme="1"/>
        <rFont val="Calibri"/>
        <family val="2"/>
      </rPr>
      <t>NACL1468492824
NACL1467856044</t>
    </r>
  </si>
  <si>
    <r>
      <t xml:space="preserve">Request STATUS TRANSAKSI
(PRODUK Tdk Diterima, namun ada bukti TRANSFER)
</t>
    </r>
    <r>
      <rPr>
        <sz val="11"/>
        <color theme="1"/>
        <rFont val="Calibri"/>
        <family val="2"/>
      </rPr>
      <t xml:space="preserve">
7900121700040045
</t>
    </r>
  </si>
  <si>
    <r>
      <t xml:space="preserve">Request STATUS TRANSAKSI
(PRODUK Tdk Diterima, namun ada bukti TRANSFER)
</t>
    </r>
    <r>
      <rPr>
        <sz val="11"/>
        <color theme="1"/>
        <rFont val="Calibri"/>
        <family val="2"/>
      </rPr>
      <t xml:space="preserve">
4041910125059392 // NACL1460304666 
</t>
    </r>
  </si>
  <si>
    <r>
      <t xml:space="preserve">Request STATUS TRANSAKSI
(PRODUK Tdk Diterima, namun ada bukti TRANSFER)
</t>
    </r>
    <r>
      <rPr>
        <sz val="11"/>
        <color theme="1"/>
        <rFont val="Calibri"/>
        <family val="2"/>
      </rPr>
      <t xml:space="preserve">
1nmykq682011 / 2521120080-260417131855 
</t>
    </r>
  </si>
  <si>
    <r>
      <t xml:space="preserve">Request STATUS TRANSAKSI
(PRODUK Tdk Diterima, namun ada bukti TRANSFER)
</t>
    </r>
    <r>
      <rPr>
        <sz val="11"/>
        <color theme="1"/>
        <rFont val="Calibri"/>
        <family val="2"/>
      </rPr>
      <t xml:space="preserve">
7900125000071636
</t>
    </r>
  </si>
  <si>
    <r>
      <t xml:space="preserve">Request STATUS TRANSAKSI
(PRODUK Tdk Diterima, namun ada bukti TRANSFER)
</t>
    </r>
    <r>
      <rPr>
        <sz val="11"/>
        <color theme="1"/>
        <rFont val="Calibri"/>
        <family val="2"/>
      </rPr>
      <t xml:space="preserve">
7900125000049957
7900125000047677</t>
    </r>
  </si>
  <si>
    <r>
      <t xml:space="preserve">Request STATUS TRANSAKSI
(PRODUK Tdk Diterima, namun ada bukti TRANSFER)
</t>
    </r>
    <r>
      <rPr>
        <sz val="11"/>
        <color theme="1"/>
        <rFont val="Calibri"/>
        <family val="2"/>
      </rPr>
      <t xml:space="preserve">
2026041763600871649
7900119200783913</t>
    </r>
  </si>
  <si>
    <r>
      <t xml:space="preserve">Request STATUS TRANSAKSI
(PRODUK Tdk Diterima, namun ada bukti TRANSFER)
</t>
    </r>
    <r>
      <rPr>
        <sz val="11"/>
        <color theme="1"/>
        <rFont val="Calibri"/>
        <family val="2"/>
      </rPr>
      <t xml:space="preserve">
7900119200783898</t>
    </r>
  </si>
  <si>
    <r>
      <t xml:space="preserve">Request STATUS TRANSAKSI
(PRODUK Tdk Diterima, namun ada bukti TRANSFER)
</t>
    </r>
    <r>
      <rPr>
        <sz val="11"/>
        <color theme="1"/>
        <rFont val="Calibri"/>
        <family val="2"/>
      </rPr>
      <t xml:space="preserve">
2026041740100868652 // 7900119200783901 </t>
    </r>
  </si>
  <si>
    <r>
      <t xml:space="preserve">Request STATUS TRANSAKSI
(PRODUK Tdk Diterima, namun ada bukti TRANSFER)
</t>
    </r>
    <r>
      <rPr>
        <sz val="11"/>
        <color theme="1"/>
        <rFont val="Calibri"/>
        <family val="2"/>
      </rPr>
      <t xml:space="preserve">
8903910121294578 </t>
    </r>
  </si>
  <si>
    <r>
      <t xml:space="preserve">Request STATUS TRANSAKSI
(PRODUK Tdk Diterima, namun ada bukti TRANSFER)
</t>
    </r>
    <r>
      <rPr>
        <sz val="11"/>
        <color theme="1"/>
        <rFont val="Calibri"/>
        <family val="2"/>
      </rPr>
      <t xml:space="preserve">
000299153962</t>
    </r>
  </si>
  <si>
    <r>
      <t xml:space="preserve">Request STATUS TRANSAKSI dari MERCHANT
(PRODUK diterima, dashboard belum update)
</t>
    </r>
    <r>
      <rPr>
        <sz val="11"/>
        <color theme="1"/>
        <rFont val="Calibri"/>
        <family val="2"/>
      </rPr>
      <t>NACL1473100029 / 7900125000069529</t>
    </r>
  </si>
  <si>
    <r>
      <t xml:space="preserve">Request STATUS TRANSAKSI dari MERCHANT
(PRODUK diterima, dashboard belum update)
</t>
    </r>
    <r>
      <rPr>
        <sz val="11"/>
        <color theme="1"/>
        <rFont val="Calibri"/>
        <family val="2"/>
      </rPr>
      <t>7900121700059483</t>
    </r>
  </si>
  <si>
    <r>
      <t xml:space="preserve">Request STATUS TRANSAKSI dari MERCHANT
(PRODUK diterima, dashboard belum update)
</t>
    </r>
    <r>
      <rPr>
        <sz val="11"/>
        <color theme="1"/>
        <rFont val="Calibri"/>
        <family val="2"/>
      </rPr>
      <t xml:space="preserve">7900125000027976 / NACL1472679611 </t>
    </r>
  </si>
  <si>
    <r>
      <t xml:space="preserve">Request STATUS TRANSAKSI dari MERCHANT
(PRODUK diterima, dashboard belum update)
</t>
    </r>
    <r>
      <rPr>
        <sz val="11"/>
        <color theme="1"/>
        <rFont val="Calibri"/>
        <family val="2"/>
      </rPr>
      <t>7900125000033028</t>
    </r>
  </si>
  <si>
    <r>
      <t xml:space="preserve">Request STATUS TRANSAKSI dari MERCHANT
(PRODUK diterima, dashboard belum update)
</t>
    </r>
    <r>
      <rPr>
        <sz val="11"/>
        <color theme="1"/>
        <rFont val="Calibri"/>
        <family val="2"/>
      </rPr>
      <t xml:space="preserve">7900125000011365 / NACL1473093465  </t>
    </r>
  </si>
  <si>
    <r>
      <t xml:space="preserve">Request STATUS TRANSAKSI dari MERCHANT
(PRODUK diterima, dashboard belum update)
</t>
    </r>
    <r>
      <rPr>
        <sz val="11"/>
        <color theme="1"/>
        <rFont val="Calibri"/>
        <family val="2"/>
      </rPr>
      <t xml:space="preserve">7900125000024518 / NACL1473115759 </t>
    </r>
  </si>
  <si>
    <r>
      <t xml:space="preserve">Request STATUS TRANSAKSI
(PRODUK Tdk Diterima, namun ada bukti TRANSFER)
</t>
    </r>
    <r>
      <rPr>
        <sz val="11"/>
        <color theme="1"/>
        <rFont val="Calibri"/>
        <family val="2"/>
      </rPr>
      <t xml:space="preserve">
8919101217821964</t>
    </r>
  </si>
  <si>
    <r>
      <t xml:space="preserve">Request STATUS TRANSAKSI
(PRODUK Tdk Diterima, namun ada bukti TRANSFER)
</t>
    </r>
    <r>
      <rPr>
        <sz val="11"/>
        <color theme="1"/>
        <rFont val="Calibri"/>
        <family val="2"/>
      </rPr>
      <t xml:space="preserve">
7900121700052085</t>
    </r>
  </si>
  <si>
    <r>
      <t xml:space="preserve">Request STATUS TRANSAKSI
(PRODUK Tdk Diterima, namun ada bukti TRANSFER)
</t>
    </r>
    <r>
      <rPr>
        <sz val="11"/>
        <color theme="1"/>
        <rFont val="Calibri"/>
        <family val="2"/>
      </rPr>
      <t xml:space="preserve">
7900121700090627</t>
    </r>
  </si>
  <si>
    <r>
      <t xml:space="preserve">Request STATUS TRANSAKSI
(PRODUK Tdk Diterima, namun ada bukti TRANSFER)
</t>
    </r>
    <r>
      <rPr>
        <sz val="11"/>
        <color theme="1"/>
        <rFont val="Calibri"/>
        <family val="2"/>
      </rPr>
      <t xml:space="preserve">
Deposit ke vantage market</t>
    </r>
  </si>
  <si>
    <r>
      <t xml:space="preserve">Request REFUND TRANSAKSI
(Customer request refund transaksi double)
</t>
    </r>
    <r>
      <rPr>
        <sz val="11"/>
        <color theme="1"/>
        <rFont val="Calibri"/>
        <family val="2"/>
      </rPr>
      <t>CRITICAL: System Error Creating Multiple Unpaid Applications and Payment Failure</t>
    </r>
  </si>
  <si>
    <r>
      <t xml:space="preserve">Request BUKTI TRANSAKSI VOA dari BANK
(Customer request payment receipt)
</t>
    </r>
    <r>
      <rPr>
        <sz val="11"/>
        <color theme="1"/>
        <rFont val="Calibri"/>
        <family val="2"/>
      </rPr>
      <t>Receipt request</t>
    </r>
  </si>
  <si>
    <r>
      <t xml:space="preserve">Surat FRAUD
(Dana Terpotong, Produk Tdk Diterima)
</t>
    </r>
    <r>
      <rPr>
        <sz val="11"/>
        <color theme="1"/>
        <rFont val="Calibri"/>
        <family val="2"/>
      </rPr>
      <t xml:space="preserve">
[O68332ad] Indikasi Penipuan: BAYAR2.COM/20042026/075
Nubecul
7900121700084304	1100000
</t>
    </r>
  </si>
  <si>
    <r>
      <t xml:space="preserve">Surat FRAUD
(Dana Terpotong, Produk Tdk Diterima)
</t>
    </r>
    <r>
      <rPr>
        <sz val="11"/>
        <color theme="1"/>
        <rFont val="Calibri"/>
        <family val="2"/>
      </rPr>
      <t xml:space="preserve">
[O68102b9] Indikasi Penipuan: BAYAR2.COM/20042026/076
DNT
7900125000040256	61111111
</t>
    </r>
  </si>
  <si>
    <r>
      <t xml:space="preserve">Request REFUND TRANSAKSI
(Customer request refund transaksi double)
</t>
    </r>
    <r>
      <rPr>
        <sz val="11"/>
        <color theme="1"/>
        <rFont val="Calibri"/>
        <family val="2"/>
      </rPr>
      <t>Additional Case – New Payment Error (Urgent)</t>
    </r>
  </si>
  <si>
    <r>
      <t xml:space="preserve">Surat FRAUD
(Dana Terpotong, Produk Tdk Diterima)
</t>
    </r>
    <r>
      <rPr>
        <sz val="11"/>
        <color theme="1"/>
        <rFont val="Calibri"/>
        <family val="2"/>
      </rPr>
      <t xml:space="preserve">
[NOBUCRM] Tiket R-635182 Telah Ditugaskan Pada Anda
</t>
    </r>
  </si>
  <si>
    <r>
      <t xml:space="preserve">Request STATUS TRANSAKSI
(PRODUK Tdk Diterima, namun ada bukti TRANSFER)
</t>
    </r>
    <r>
      <rPr>
        <sz val="11"/>
        <color theme="1"/>
        <rFont val="Calibri"/>
        <family val="2"/>
      </rPr>
      <t xml:space="preserve">
[Oe39a22a] Rekap : 13/VA ONLINE/BAYAR2.COM</t>
    </r>
  </si>
  <si>
    <r>
      <t xml:space="preserve">Request REFUND TRANSAKSI
(Customer request refund transaksi double)
</t>
    </r>
    <r>
      <rPr>
        <sz val="11"/>
        <color theme="1"/>
        <rFont val="Calibri"/>
        <family val="2"/>
      </rPr>
      <t>No confirmation</t>
    </r>
  </si>
  <si>
    <r>
      <t xml:space="preserve">Request BUKTI TRANSAKSI VOA dari BANK
(Customer request payment receipt)
</t>
    </r>
    <r>
      <rPr>
        <sz val="11"/>
        <color theme="1"/>
        <rFont val="Calibri"/>
        <family val="2"/>
      </rPr>
      <t>Re: Request to Re-send Payment Receipt for eVOA Payment</t>
    </r>
  </si>
  <si>
    <r>
      <t xml:space="preserve">Request REFUND TRANSAKSI
(Customer request refund transaksi double)
</t>
    </r>
    <r>
      <rPr>
        <sz val="11"/>
        <color theme="1"/>
        <rFont val="Calibri"/>
        <family val="2"/>
      </rPr>
      <t>Refund Request – Duplicate Payment for B1 eVOA Visa</t>
    </r>
  </si>
  <si>
    <r>
      <t xml:space="preserve">Request REFUND TRANSAKSI
(Customer request refund transaksi double)
</t>
    </r>
    <r>
      <rPr>
        <sz val="11"/>
        <color theme="1"/>
        <rFont val="Calibri"/>
        <family val="2"/>
      </rPr>
      <t>استرداد أموال فيزه</t>
    </r>
  </si>
  <si>
    <r>
      <t xml:space="preserve">Request BUKTI TRANSAKSI VOA dari BANK
(Customer sanggah transaksi CC atas penerbitan Visa)
</t>
    </r>
    <r>
      <rPr>
        <sz val="11"/>
        <color theme="1"/>
        <rFont val="Calibri"/>
        <family val="2"/>
      </rPr>
      <t>PERMOHONAN BUKTI TRANSAKSI PRISMALINK*IND VISAARR #21/04/2026 90 TRX</t>
    </r>
  </si>
  <si>
    <r>
      <t xml:space="preserve">Request BUKTI TRANSAKSI VOA dari BANK
(Customer sanggah transaksi CC atas penerbitan Visa)
</t>
    </r>
    <r>
      <rPr>
        <sz val="11"/>
        <color theme="1"/>
        <rFont val="Calibri"/>
        <family val="2"/>
      </rPr>
      <t>PERMOHONAN BUKTI TRANSAKSI PRISMALINK*IND VISAARR #21/04/2026 19 TRX</t>
    </r>
  </si>
  <si>
    <r>
      <t xml:space="preserve">Request BUKTI TRANSAKSI VOA dari BANK
(Pengajuan Pre-Arb oleh Bank)
</t>
    </r>
    <r>
      <rPr>
        <sz val="11"/>
        <color theme="1"/>
        <rFont val="Calibri"/>
        <family val="2"/>
      </rPr>
      <t>Re: Permohonan bukti transaksi merchant PRISMALINK #16042026 JCB Second Chargeback</t>
    </r>
  </si>
  <si>
    <r>
      <t xml:space="preserve">Request BUKTI TRANSAKSI VOA dari BANK
(Pengajuan Pre-Arb oleh Bank)
</t>
    </r>
    <r>
      <rPr>
        <sz val="11"/>
        <color theme="1"/>
        <rFont val="Calibri"/>
        <family val="2"/>
      </rPr>
      <t>Permohonan bukti transaksi merchant PRISMALINK #21042026 JCB Second Chargeback</t>
    </r>
  </si>
  <si>
    <r>
      <t xml:space="preserve">Request BUKTI TRANSAKSI VOA dari BANK
(Customer sanggah transaksi CC atas penerbitan Visa)
</t>
    </r>
    <r>
      <rPr>
        <sz val="11"/>
        <color theme="1"/>
        <rFont val="Calibri"/>
        <family val="2"/>
      </rPr>
      <t>Permohonan Bukti Transaksi Merchant PRISMALINK #21042026 JCB First Chargeback</t>
    </r>
  </si>
  <si>
    <r>
      <t xml:space="preserve">Request BUKTI TRANSAKSI VOA dari BANK
(Pengajuan Pre-Arb oleh Bank)
</t>
    </r>
    <r>
      <rPr>
        <sz val="11"/>
        <color theme="1"/>
        <rFont val="Calibri"/>
        <family val="2"/>
      </rPr>
      <t>KONFIRMASI PRE ARBITRASI Prismalink*IND VISAARR 21/04/2026 30 TRX</t>
    </r>
  </si>
  <si>
    <r>
      <t xml:space="preserve">Request BUKTI TRANSAKSI VOA dari BANK
(Customer request payment receipt)
</t>
    </r>
    <r>
      <rPr>
        <sz val="11"/>
        <color theme="1"/>
        <rFont val="Calibri"/>
        <family val="2"/>
      </rPr>
      <t>Payment receipt request</t>
    </r>
  </si>
  <si>
    <r>
      <t xml:space="preserve">Request REFUND TRANSAKSI
(Product tidak diterima dan Cust request refund)
</t>
    </r>
    <r>
      <rPr>
        <sz val="11"/>
        <color theme="1"/>
        <rFont val="Calibri"/>
        <family val="2"/>
      </rPr>
      <t xml:space="preserve">Refund 21 April 2026
</t>
    </r>
  </si>
  <si>
    <r>
      <t xml:space="preserve">Request REFUND TRANSAKSI
(Product tidak diterima dan Cust request refund)
</t>
    </r>
    <r>
      <rPr>
        <sz val="11"/>
        <color theme="1"/>
        <rFont val="Calibri"/>
        <family val="2"/>
      </rPr>
      <t xml:space="preserve">Refund Request - Duplicate Visa Payment Valeria Abatto Salazar
</t>
    </r>
  </si>
  <si>
    <r>
      <t xml:space="preserve">Surat FRAUD
(Dana Terpotong, Produk Tdk Diterima)
</t>
    </r>
    <r>
      <rPr>
        <sz val="11"/>
        <color theme="1"/>
        <rFont val="Calibri"/>
        <family val="2"/>
      </rPr>
      <t xml:space="preserve">
[NOBUCRM] Tiket R-636187 Telah Ditugaskan Pada Anda
</t>
    </r>
  </si>
  <si>
    <r>
      <t xml:space="preserve">Surat FRAUD
(Dana Terpotong, Produk Tdk Diterima)
</t>
    </r>
    <r>
      <rPr>
        <sz val="11"/>
        <color theme="1"/>
        <rFont val="Calibri"/>
        <family val="2"/>
      </rPr>
      <t xml:space="preserve">
RE: Pengecekan transaksi 4041910124956611 / 4041910124950103 / 4041910124961416 / 4041910124910399 / 4041910124908790
4041910124956611	3800000
4041910124950103	500000
4041910124961416	5100000
4041910124910399	2000000
4041910124908790	2600000
</t>
    </r>
  </si>
  <si>
    <r>
      <t xml:space="preserve">Surat FRAUD
(Dana Terpotong, Produk Tdk Diterima)
</t>
    </r>
    <r>
      <rPr>
        <sz val="11"/>
        <color theme="1"/>
        <rFont val="Calibri"/>
        <family val="2"/>
      </rPr>
      <t xml:space="preserve">
Surat Bilateral Bank Mandiri nomor OPT.CCG/CHM.7871/2026
Paylabs
700701131190141	330000
</t>
    </r>
  </si>
  <si>
    <r>
      <t xml:space="preserve">Surat FRAUD
(Dana Terpotong, Produk Tdk Diterima)
</t>
    </r>
    <r>
      <rPr>
        <sz val="11"/>
        <color theme="1"/>
        <rFont val="Calibri"/>
        <family val="2"/>
      </rPr>
      <t xml:space="preserve">
Surat Bilateral Bank Mandiri nomor OPT.CCG/CHM.7899/2026
PT Daya Net Gemilang
8903910125030106	5000000
</t>
    </r>
  </si>
  <si>
    <r>
      <t xml:space="preserve">Request BUKTI TRANSAKSI VOA dari BANK
(Customer request payment receipt)
</t>
    </r>
    <r>
      <rPr>
        <sz val="11"/>
        <color theme="1"/>
        <rFont val="Calibri"/>
        <family val="2"/>
      </rPr>
      <t>eVisa receipt</t>
    </r>
  </si>
  <si>
    <r>
      <t xml:space="preserve">Request REFUND TRANSAKSI
(Product tidak diterima dan Cust request refund)
</t>
    </r>
    <r>
      <rPr>
        <sz val="11"/>
        <color theme="1"/>
        <rFont val="Calibri"/>
        <family val="2"/>
      </rPr>
      <t xml:space="preserve">Refund 22 April 2026
</t>
    </r>
  </si>
  <si>
    <r>
      <t xml:space="preserve">Request BUKTI TRANSAKSI VOA dari BANK
(Customer sanggah transaksi CC atas penerbitan Visa)
</t>
    </r>
    <r>
      <rPr>
        <sz val="11"/>
        <color theme="1"/>
        <rFont val="Calibri"/>
        <family val="2"/>
      </rPr>
      <t>KONFIRMASI CHARGEBACK Prismalink*IND VISAARR 23/04/2026 56 TRX</t>
    </r>
  </si>
  <si>
    <r>
      <t xml:space="preserve">Request STATUS TRANSAKSI
(PRODUK Tdk Diterima, namun ada bukti TRANSFER)
</t>
    </r>
    <r>
      <rPr>
        <sz val="11"/>
        <color theme="1"/>
        <rFont val="Calibri"/>
        <family val="2"/>
      </rPr>
      <t xml:space="preserve">
7900121700068104</t>
    </r>
  </si>
  <si>
    <r>
      <t xml:space="preserve">Request STATUS TRANSAKSI
(PRODUK Tdk Diterima, namun ada bukti TRANSFER)
</t>
    </r>
    <r>
      <rPr>
        <sz val="11"/>
        <color theme="1"/>
        <rFont val="Calibri"/>
        <family val="2"/>
      </rPr>
      <t xml:space="preserve">
8919101217845603</t>
    </r>
  </si>
  <si>
    <r>
      <t xml:space="preserve">Request STATUS TRANSAKSI
(PRODUK Tdk Diterima, namun ada bukti TRANSFER)
</t>
    </r>
    <r>
      <rPr>
        <sz val="11"/>
        <color theme="1"/>
        <rFont val="Calibri"/>
        <family val="2"/>
      </rPr>
      <t xml:space="preserve">
7900121700040045</t>
    </r>
  </si>
  <si>
    <r>
      <t xml:space="preserve">Request STATUS TRANSAKSI
(PRODUK Tdk Diterima, namun ada bukti TRANSFER)
</t>
    </r>
    <r>
      <rPr>
        <sz val="11"/>
        <color theme="1"/>
        <rFont val="Calibri"/>
        <family val="2"/>
      </rPr>
      <t xml:space="preserve">
7900121700026714</t>
    </r>
  </si>
  <si>
    <r>
      <t xml:space="preserve">Request STATUS TRANSAKSI
(PRODUK Tdk Diterima, namun ada bukti TRANSFER)
</t>
    </r>
    <r>
      <rPr>
        <sz val="11"/>
        <color theme="1"/>
        <rFont val="Calibri"/>
        <family val="2"/>
      </rPr>
      <t xml:space="preserve">
7900117900049037</t>
    </r>
  </si>
  <si>
    <r>
      <t xml:space="preserve">Request REFUND TRANSAKSI
(Customer request refund transaksi double)
</t>
    </r>
    <r>
      <rPr>
        <sz val="11"/>
        <color theme="1"/>
        <rFont val="Calibri"/>
        <family val="2"/>
      </rPr>
      <t xml:space="preserve">Double charged for 1 visa on arrival </t>
    </r>
  </si>
  <si>
    <t>PALMER Sara [Willetton Senior High School] &lt;sara.palmer@education.wa.edu.au&gt;</t>
  </si>
  <si>
    <r>
      <t xml:space="preserve">Request REFUND TRANSAKSI
(Customer request refund transaksi double)
</t>
    </r>
    <r>
      <rPr>
        <sz val="11"/>
        <color theme="1"/>
        <rFont val="Calibri"/>
        <family val="2"/>
      </rPr>
      <t>Help with Payment</t>
    </r>
  </si>
  <si>
    <t>이다슬 &lt;dlektmf5@naver.com&gt;</t>
  </si>
  <si>
    <r>
      <t xml:space="preserve">Request REFUND TRANSAKSI
(Customer request refund transaksi double)
</t>
    </r>
    <r>
      <rPr>
        <sz val="11"/>
        <color theme="1"/>
        <rFont val="Calibri"/>
        <family val="2"/>
      </rPr>
      <t>[REFUND REQUEST] Double Payment due to System Error - Passport: M398K5756</t>
    </r>
  </si>
  <si>
    <t>23/04 req masuk + support meminta info cc yg digunakan
23/04 done refund</t>
  </si>
  <si>
    <t>Cheryl Panashe &lt;cheryl.panashe@gmail.com&gt;</t>
  </si>
  <si>
    <r>
      <t xml:space="preserve">Request REFUND TRANSAKSI
(Customer request refund transaksi double)
</t>
    </r>
    <r>
      <rPr>
        <sz val="11"/>
        <color theme="1"/>
        <rFont val="Calibri"/>
        <family val="2"/>
      </rPr>
      <t xml:space="preserve">Visa Refund </t>
    </r>
  </si>
  <si>
    <r>
      <t xml:space="preserve">Request STATUS TRANSAKSI (ACQ NOBU)
(PRODUK Tdk Diterima Customer, 
SWITCHING &amp; ACQ telah credit dana)
</t>
    </r>
    <r>
      <rPr>
        <sz val="11"/>
        <color theme="1"/>
        <rFont val="Calibri"/>
        <family val="2"/>
      </rPr>
      <t>Surat DISPUTE dari NOBU
email : Dispute 23042026 PT PRISMALINK INTERNATIONAL</t>
    </r>
  </si>
  <si>
    <r>
      <t xml:space="preserve">Request REFUND TRANSAKSI
(Customer request refund transaksi double)
</t>
    </r>
    <r>
      <rPr>
        <sz val="11"/>
        <color theme="1"/>
        <rFont val="Calibri"/>
        <family val="2"/>
      </rPr>
      <t>PAID EVOA, didn't receive and charged twice for it. Passport Number RA7515890</t>
    </r>
  </si>
  <si>
    <t>22/04 req masuk
22/04 cust lampirkan kronologis
22/04 support teruskan ke merchant
23/04 support meminta data tambahan ke cust
24/04 belum ada update</t>
  </si>
  <si>
    <t>23/04 req masuk
23/04 support konfirm trx dilakukan melalui channel apa
23/04 mandiri infokan melalui mbanking
23/04 support konfirm apakah dilakukan dgn credential valid
24/04 belum ada update</t>
  </si>
  <si>
    <t>23/04 req masuk
23/04 DONE</t>
  </si>
  <si>
    <t>16/04 req masuk
16/04 support meminta kronologis
16/04 support teruskan ke merchant 'FW: Laporan Kendala Pembayaran Virtual Account - Adila Hasna Andari // VA 700701131150503'
17/04 merchant infokan bisa memotong settelment
17/04 support req hold dana
20/04 merchant menanyakan perihal dana
21/04 finance hold dana
21/04 support meminta bukti chat
21/04 cust infokan hanya memiliki bukti transaksi
23/04 support req approval ke pak laksono
23/04 req finance untuk tf ke rek merchant
23/04 done refund</t>
  </si>
  <si>
    <t>Guillaume Glass &lt;guglass@gmail.com&gt;</t>
  </si>
  <si>
    <r>
      <t xml:space="preserve">Request REFUND TRANSAKSI
(Customer request refund transaksi double)
</t>
    </r>
    <r>
      <rPr>
        <sz val="11"/>
        <color theme="1"/>
        <rFont val="Calibri"/>
        <family val="2"/>
      </rPr>
      <t>Fwd: Double visa payment</t>
    </r>
  </si>
  <si>
    <t>：） &lt;1142450662@qq.com&gt;</t>
  </si>
  <si>
    <r>
      <t xml:space="preserve">Request REFUND TRANSAKSI
(Customer request refund transaksi double)
</t>
    </r>
    <r>
      <rPr>
        <sz val="11"/>
        <color theme="1"/>
        <rFont val="Calibri"/>
        <family val="2"/>
      </rPr>
      <t>Fw: Re: Fw: Please Help Confirm Payment Status And Visa Status</t>
    </r>
  </si>
  <si>
    <t>강병희 &lt;kangbosco@naver.com&gt;</t>
  </si>
  <si>
    <r>
      <t xml:space="preserve">Request REFUND TRANSAKSI
(Customer request refund transaksi double)
</t>
    </r>
    <r>
      <rPr>
        <sz val="11"/>
        <color theme="1"/>
        <rFont val="Calibri"/>
        <family val="2"/>
      </rPr>
      <t>FW: Inquiry about evoa</t>
    </r>
  </si>
  <si>
    <t>Craig Blick &lt;craig.blick@yahoo.com.au&gt;</t>
  </si>
  <si>
    <r>
      <t xml:space="preserve">Request REFUND TRANSAKSI
(Customer request refund transaksi double)
</t>
    </r>
    <r>
      <rPr>
        <sz val="11"/>
        <color theme="1"/>
        <rFont val="Calibri"/>
        <family val="2"/>
      </rPr>
      <t>Evisa</t>
    </r>
  </si>
  <si>
    <t>정대이 &lt;chidoll@icloud.com&gt;</t>
  </si>
  <si>
    <r>
      <t xml:space="preserve">Request REFUND TRANSAKSI
(Customer request refund transaksi double)
</t>
    </r>
    <r>
      <rPr>
        <sz val="11"/>
        <color theme="1"/>
        <rFont val="Calibri"/>
        <family val="2"/>
      </rPr>
      <t xml:space="preserve">Visa application - Payment problem </t>
    </r>
  </si>
  <si>
    <r>
      <t xml:space="preserve">Request REFUND TRANSAKSI
(Product tidak diterima dan Cust request refund)
</t>
    </r>
    <r>
      <rPr>
        <sz val="11"/>
        <color theme="1"/>
        <rFont val="Calibri"/>
        <family val="2"/>
      </rPr>
      <t xml:space="preserve">Refund 23 April 2026
</t>
    </r>
  </si>
  <si>
    <r>
      <t xml:space="preserve">Request REFUND TRANSAKSI
(Customer request refund transaksi double)
</t>
    </r>
    <r>
      <rPr>
        <sz val="11"/>
        <color theme="1"/>
        <rFont val="Calibri"/>
        <family val="2"/>
      </rPr>
      <t>NEW Recurring Payment Errors</t>
    </r>
  </si>
  <si>
    <t>24/04 req masuk
24/04 done</t>
  </si>
  <si>
    <r>
      <t xml:space="preserve">Request REFUND TRANSAKSI
(Customer request refund transaksi double)
</t>
    </r>
    <r>
      <rPr>
        <sz val="11"/>
        <color theme="1"/>
        <rFont val="Calibri"/>
        <family val="2"/>
      </rPr>
      <t>Visa paiement error</t>
    </r>
  </si>
  <si>
    <t>Anne-Laure &lt;anl.dabet@gmail.com&gt;</t>
  </si>
  <si>
    <r>
      <t xml:space="preserve">Request REFUND TRANSAKSI
(Customer request refund transaksi double)
</t>
    </r>
    <r>
      <rPr>
        <sz val="11"/>
        <color theme="1"/>
        <rFont val="Calibri"/>
        <family val="2"/>
      </rPr>
      <t>Recurring Payment Errors</t>
    </r>
  </si>
  <si>
    <r>
      <t xml:space="preserve">Request REFUND TRANSAKSI
(Customer request refund transaksi double)
</t>
    </r>
    <r>
      <rPr>
        <sz val="11"/>
        <color theme="1"/>
        <rFont val="Calibri"/>
        <family val="2"/>
      </rPr>
      <t>Repeated Payment Errors and Refund Request</t>
    </r>
  </si>
  <si>
    <t>24/04 req masuk
24/04 support infokan tdk menemukan trx tersebut</t>
  </si>
  <si>
    <t xml:space="preserve">23/04 req masuk + support meminta info cc yg digunakan
24/04 cust infokan cc yg digunakan
24/04 done </t>
  </si>
  <si>
    <r>
      <t>편은지</t>
    </r>
    <r>
      <rPr>
        <u/>
        <sz val="11"/>
        <color theme="10"/>
        <rFont val="Aptos Narrow"/>
        <family val="2"/>
        <scheme val="minor"/>
      </rPr>
      <t xml:space="preserve"> &lt;adela1570@naver.com&gt; </t>
    </r>
  </si>
  <si>
    <r>
      <t xml:space="preserve">Request REFUND TRANSAKSI
(Customer request refund transaksi double)
</t>
    </r>
    <r>
      <rPr>
        <sz val="11"/>
        <color theme="1"/>
        <rFont val="Calibri"/>
        <family val="2"/>
      </rPr>
      <t>RE: URGENT: Payment failed for my mother's e-VoA application - [KIM SUNYE]</t>
    </r>
  </si>
  <si>
    <r>
      <t xml:space="preserve">Request REFUND TRANSAKSI
(Customer request refund transaksi double)
</t>
    </r>
    <r>
      <rPr>
        <sz val="11"/>
        <color theme="1"/>
        <rFont val="Calibri"/>
        <family val="2"/>
      </rPr>
      <t>Repeated Payment Issue</t>
    </r>
  </si>
  <si>
    <t>23/04 req masuk
24/04 DONE</t>
  </si>
  <si>
    <t>玄水寒风 &lt;xuanshuihanfeng@qq.com&gt;</t>
  </si>
  <si>
    <r>
      <t xml:space="preserve">Request REFUND TRANSAKSI
(Customer request refund transaksi double)
</t>
    </r>
    <r>
      <rPr>
        <sz val="11"/>
        <color theme="1"/>
        <rFont val="Calibri"/>
        <family val="2"/>
      </rPr>
      <t>Multiple payments have been made and funds have been deducted, yet the system shows unpaid status.</t>
    </r>
  </si>
  <si>
    <r>
      <t xml:space="preserve">Request REFUND TRANSAKSI
(Customer request refund transaksi double)
</t>
    </r>
    <r>
      <rPr>
        <sz val="11"/>
        <color theme="1"/>
        <rFont val="Calibri"/>
        <family val="2"/>
      </rPr>
      <t>Repeated Incorrect Charge – Immediate Action Required</t>
    </r>
  </si>
  <si>
    <t>Serena Hamilton &lt;chenserena@hotmail.com&gt;</t>
  </si>
  <si>
    <r>
      <t xml:space="preserve">Request REFUND TRANSAKSI
(Customer request refund transaksi double)
</t>
    </r>
    <r>
      <rPr>
        <sz val="11"/>
        <color theme="1"/>
        <rFont val="Calibri"/>
        <family val="2"/>
      </rPr>
      <t>Refund double payment for visa on arrival</t>
    </r>
  </si>
  <si>
    <t>24/04 req masuk + support meminta info cc yg digunakan
24/04 cust infokan cc yg digunakan
24/04 done refund</t>
  </si>
  <si>
    <t xml:space="preserve">haagengdazs &lt;shinahahaha@gmail.com&gt; </t>
  </si>
  <si>
    <r>
      <t xml:space="preserve">Request REFUND TRANSAKSI
(Customer request refund transaksi double)
</t>
    </r>
    <r>
      <rPr>
        <sz val="11"/>
        <color theme="1"/>
        <rFont val="Calibri"/>
        <family val="2"/>
      </rPr>
      <t>RE: Subject: Payment issue for Indonesian visa application</t>
    </r>
  </si>
  <si>
    <t>23/04 req masuk
24/04 done</t>
  </si>
  <si>
    <t>1.3 DEBITIN-DB</t>
  </si>
  <si>
    <t>Partition Details of the Device (%) for / is 80 Percentage, threshold value for this monitor is 75 Percentage</t>
  </si>
  <si>
    <r>
      <t xml:space="preserve">Request STATUS TRANSAKSI
(PRODUK Tdk Diterima, namun ada bukti TRANSFER)
</t>
    </r>
    <r>
      <rPr>
        <sz val="11"/>
        <color theme="1"/>
        <rFont val="Calibri"/>
        <family val="2"/>
      </rPr>
      <t xml:space="preserve">
7900119200783933</t>
    </r>
  </si>
  <si>
    <t>20/04  kvoucher sains tanyakan trx 7900119200783933 
20/04 Support cek mbasa tidak ada
20/04  Support infokan menunggu rekon
20/04 Support infokan sukses</t>
  </si>
  <si>
    <r>
      <t xml:space="preserve">Request STATUS TRANSAKSI
(PRODUK Tdk Diterima, namun ada bukti TRANSFER)
</t>
    </r>
    <r>
      <rPr>
        <sz val="11"/>
        <color theme="1"/>
        <rFont val="Calibri"/>
        <family val="2"/>
      </rPr>
      <t xml:space="preserve">
7900121700054241</t>
    </r>
  </si>
  <si>
    <t>21/04  nobecul tanyakan trx 7900121700054241 
21/04 Support cek mbasa error reject
21/04  Support infokan trx gagal</t>
  </si>
  <si>
    <t>Jane Tilley &lt;jane@goldkeyinvestments.com.au&gt;</t>
  </si>
  <si>
    <r>
      <t xml:space="preserve">Request STATUS TRANSAKSI dari MERCHANT
(PRODUK diterima, dashboard belum update)
</t>
    </r>
    <r>
      <rPr>
        <sz val="11"/>
        <color theme="1"/>
        <rFont val="Calibri"/>
        <family val="2"/>
      </rPr>
      <t>4041910121205773</t>
    </r>
  </si>
  <si>
    <t>22/04  Univ sains tanyakan trx 4041910121205773 
22/04 Support cek mbase pending, koordinasi dengan tim terkait untuk update status
22/04  Support infokan trx sukses</t>
  </si>
  <si>
    <r>
      <t xml:space="preserve">Request STATUS TRANSAKSI dari MERCHANT
(PRODUK diterima, dashboard belum update)
</t>
    </r>
    <r>
      <rPr>
        <sz val="11"/>
        <color theme="1"/>
        <rFont val="Calibri"/>
        <family val="2"/>
      </rPr>
      <t>8919101212172760</t>
    </r>
  </si>
  <si>
    <t>23/04  Univ sains tanyakan trx 8919101212172760
23/04 Support cek mbase ada dan dashboard cancel 
23/04 Support koordinasi dengan tim terkait untuk update status
23/04 Diinfokan update oleh team terkait
23/04  Support infokan trx sukses</t>
  </si>
  <si>
    <r>
      <t xml:space="preserve">Request STATUS TRANSAKSI dari MERCHANT
(PRODUK diterima, dashboard belum update)
</t>
    </r>
    <r>
      <rPr>
        <sz val="11"/>
        <color theme="1"/>
        <rFont val="Calibri"/>
        <family val="2"/>
      </rPr>
      <t>8919101123052436</t>
    </r>
  </si>
  <si>
    <t>23/04  Undira tanyakan trx 8919101123052436 
23/04 Support cek mbase ada dan dashboard cancel 
23/04 Support koordinasi dengan tim terkait untuk update status
23/04 Diinfokan update oleh team terkait
23/04  Support infokan trx sukses</t>
  </si>
  <si>
    <r>
      <t xml:space="preserve">Request STATUS TRANSAKSI
(PRODUK Tdk Diterima, namun ada bukti TRANSFER)
</t>
    </r>
    <r>
      <rPr>
        <sz val="11"/>
        <color theme="1"/>
        <rFont val="Calibri"/>
        <family val="2"/>
      </rPr>
      <t xml:space="preserve">
7900121700042157</t>
    </r>
  </si>
  <si>
    <t>23/04 Nobecul tanyakan trx 7900121700042157 
23/04 Support cek plink reject dan agregator tidak ada
23/04 Support infokan trx failed</t>
  </si>
  <si>
    <r>
      <t xml:space="preserve">Request STATUS TRANSAKSI
(PRODUK Tdk Diterima, namun ada bukti TRANSFER)
</t>
    </r>
    <r>
      <rPr>
        <sz val="11"/>
        <color theme="1"/>
        <rFont val="Calibri"/>
        <family val="2"/>
      </rPr>
      <t xml:space="preserve">
RRN: 295803FA5637
RRN: 295803fa5637</t>
    </r>
  </si>
  <si>
    <t>23/04 DNT tanyakan trx 
RRN: 295803FA5637
RRN: 295803fa5637
23/04 support dashboard nobu tidak ada dan tanyakan ke group nobu
23/04 Tim nobu infokan gagal 
23/04 Support infokan gagal</t>
  </si>
  <si>
    <r>
      <t xml:space="preserve">Request STATUS TRANSAKSI
(PRODUK Tdk Diterima, namun ada bukti TRANSFER)
</t>
    </r>
    <r>
      <rPr>
        <sz val="11"/>
        <color theme="1"/>
        <rFont val="Calibri"/>
        <family val="2"/>
      </rPr>
      <t xml:space="preserve">
RRN: 294403EF2761</t>
    </r>
  </si>
  <si>
    <t>23/04 DNT tanyakan trx 
RRN: 294403EF2761
23/04 support dashboard nobu tidak ada dan tanyakan ke group nobu
23/04 info dari Nobu untuk RRN Tersebut gagal
23/04 Support infokan trx tersebut gagal</t>
  </si>
  <si>
    <t>24/04  dnt  tanyakan trx 7900125000049300  
24/04 Support cek mbasa error reject
24/04  Support infokan trx gagal</t>
  </si>
  <si>
    <r>
      <t xml:space="preserve">Request STATUS TRANSAKSI
(PRODUK Tdk Diterima, namun ada bukti TRANSFER)
</t>
    </r>
    <r>
      <rPr>
        <sz val="11"/>
        <color theme="1"/>
        <rFont val="Calibri"/>
        <family val="2"/>
      </rPr>
      <t xml:space="preserve">
7900125000049300  // NACL1482769254 </t>
    </r>
  </si>
  <si>
    <r>
      <t xml:space="preserve">Request STATUS TRANSAKSI dari MERCHANT
(PRODUK diterima, dashboard belum update)
</t>
    </r>
    <r>
      <rPr>
        <sz val="11"/>
        <color theme="1"/>
        <rFont val="Calibri"/>
        <family val="2"/>
      </rPr>
      <t xml:space="preserve">7838810112800174
7838810112828103   </t>
    </r>
  </si>
  <si>
    <t>MAYBANK</t>
  </si>
  <si>
    <t>24/04  Undira tanyakan trx 7838810112800174
7838810112828103  
24/04 Support cek mbase ada dan dashboard cancel 
24/04 Support koordinasi dengan tim terkait untuk update status
24/04 Diinfokan update oleh team terkait
24/04  Support infokan trx sukses dan update</t>
  </si>
  <si>
    <r>
      <t xml:space="preserve">Request STATUS TRANSAKSI dari MERCHANT
(PRODUK diterima, dashboard belum update)
</t>
    </r>
    <r>
      <rPr>
        <sz val="11"/>
        <color theme="1"/>
        <rFont val="Calibri"/>
        <family val="2"/>
      </rPr>
      <t>RRN: 018996519464, 018828698083, 124072530898, 131428896222, 018739139541</t>
    </r>
  </si>
  <si>
    <r>
      <t xml:space="preserve">Request STATUS TRANSAKSI dari MERCHANT
(PRODUK diterima, dashboard belum update)
</t>
    </r>
    <r>
      <rPr>
        <sz val="11"/>
        <color theme="1"/>
        <rFont val="Calibri"/>
        <family val="2"/>
      </rPr>
      <t>7900124900024274</t>
    </r>
  </si>
  <si>
    <t>24/04 Envoiz tanyakan trx 7900124900024274 
24/04 Support cek db sukses dan info adri team terkait VA tersebut sudah update
24/04 support infokan sukses</t>
  </si>
  <si>
    <r>
      <t xml:space="preserve">Request STATUS TRANSAKSI dari MERCHANT
(PRODUK diterima, dashboard belum update)
</t>
    </r>
    <r>
      <rPr>
        <sz val="11"/>
        <color theme="1"/>
        <rFont val="Calibri"/>
        <family val="2"/>
      </rPr>
      <t>RRN: 000000VKQDDH</t>
    </r>
  </si>
  <si>
    <t>25/04  pergiyuks tanyakan trx 000000VKQDDH 
25/04 Support cek dashboard cancel, nobu ada, support update
25/04  Support infokan trx sukses</t>
  </si>
  <si>
    <t>PT Milenial Teknologi</t>
  </si>
  <si>
    <r>
      <t xml:space="preserve">Request STATUS TRANSAKSI dari MERCHANT
(PRODUK diterima, dashboard belum update)
</t>
    </r>
    <r>
      <rPr>
        <sz val="11"/>
        <color theme="1"/>
        <rFont val="Calibri"/>
        <family val="2"/>
      </rPr>
      <t>RRN: 131569881762</t>
    </r>
  </si>
  <si>
    <t>25/04  tanis tanyakan trx 131569881762  
25/04 Support cek dashboard cancel, nobu ada, infokan ko daniel utk update
25/04  Support infokan trx sukses</t>
  </si>
  <si>
    <r>
      <t xml:space="preserve">Surat FRAUD
(Dana Terpotong, Produk Tdk Diterima)
</t>
    </r>
    <r>
      <rPr>
        <sz val="11"/>
        <color theme="1"/>
        <rFont val="Calibri"/>
        <family val="2"/>
      </rPr>
      <t xml:space="preserve">
Surat Bilateral Bank Mandiri nomor OPT.CCG/CHM.8013/2026
Envoiz
700701130200476	2352000</t>
    </r>
  </si>
  <si>
    <t>700701130200476</t>
  </si>
  <si>
    <t>24/04 req masuk + support meminta info cc yg digunakan
24/04 done refund</t>
  </si>
  <si>
    <t>24/04 req masuk
24/04 cust infokan cc yg digunakan
24/04 support infokan trx sukses</t>
  </si>
  <si>
    <r>
      <t xml:space="preserve">Request BUKTI TRANSAKSI VOA
(Customer sanggah transaksi CC atas penerbitan Visa)
</t>
    </r>
    <r>
      <rPr>
        <sz val="11"/>
        <color theme="1"/>
        <rFont val="Calibri"/>
        <family val="2"/>
      </rPr>
      <t>FW: Arrival Card Submission – Problem with VOA</t>
    </r>
  </si>
  <si>
    <t>21/04 req masuk
24/04 done</t>
  </si>
  <si>
    <t>22/04 req masuk + support teruskan ke merchant
22/04 merc memberikan jawaban
24/04 done</t>
  </si>
  <si>
    <t>15/04 req masuk + support meminta kronologis
20/04 belum ada update
24/04 bca menanyakan perihal dana
24/04 support infokan jika terbukti maka dan abisa dikembalikan</t>
  </si>
  <si>
    <t>24/04 req masuk + support meminta info cc yg digunakan
24/04 cust infokan cc
24/04 done</t>
  </si>
  <si>
    <t>周侃 &lt;290130232@qq.com&gt;</t>
  </si>
  <si>
    <r>
      <t xml:space="preserve">Request REFUND TRANSAKSI
(Customer request refund transaksi double)
</t>
    </r>
    <r>
      <rPr>
        <sz val="11"/>
        <color theme="1"/>
        <rFont val="Calibri"/>
        <family val="2"/>
      </rPr>
      <t>Fw: Re: URGENT: Payment Successful but e-VoA Not Received - Passport: [EB5801814] - Traveling Tomorrow</t>
    </r>
  </si>
  <si>
    <t>25/04 req masuk</t>
  </si>
  <si>
    <t>AHRAM LEE &lt;ahohwo94@gmail.com&gt;</t>
  </si>
  <si>
    <r>
      <t xml:space="preserve">Request REFUND TRANSAKSI
(Customer request refund transaksi double)
</t>
    </r>
    <r>
      <rPr>
        <sz val="11"/>
        <color theme="1"/>
        <rFont val="Calibri"/>
        <family val="2"/>
      </rPr>
      <t>Visa application error</t>
    </r>
  </si>
  <si>
    <t>18/04 req masuk
23/04 support meminta info cc yg digunakan
24/04 belum ada update
25/04 cust infokan cc yg digunakan
25/04 done refund</t>
  </si>
  <si>
    <r>
      <t xml:space="preserve">Request REFUND TRANSAKSI
(Customer request refund transaksi double)
</t>
    </r>
    <r>
      <rPr>
        <sz val="11"/>
        <color theme="1"/>
        <rFont val="Calibri"/>
        <family val="2"/>
      </rPr>
      <t>Request for Refund of Duplicate Visa Payment</t>
    </r>
  </si>
  <si>
    <t>행복나눔이 &lt;yey1025@hanmail.net&gt;</t>
  </si>
  <si>
    <t>25/04 req masuk + support meminta info cc
25/04 cust infokan cc</t>
  </si>
  <si>
    <t>25/04 req masuk + support meminta info cc
25/04 cust infokan cc
25/04 done refund</t>
  </si>
  <si>
    <r>
      <t xml:space="preserve">Request REFUND TRANSAKSI
(Customer request refund transaksi double)
</t>
    </r>
    <r>
      <rPr>
        <sz val="11"/>
        <color theme="1"/>
        <rFont val="Calibri"/>
        <family val="2"/>
      </rPr>
      <t>Incorrect Payment</t>
    </r>
  </si>
  <si>
    <t>김영빈 &lt;dy_ho@naver.com&gt;</t>
  </si>
  <si>
    <r>
      <t xml:space="preserve">Request REFUND TRANSAKSI
(Customer request refund transaksi double)
</t>
    </r>
    <r>
      <rPr>
        <sz val="11"/>
        <color theme="1"/>
        <rFont val="Calibri"/>
        <family val="2"/>
      </rPr>
      <t>Refund Request: Duplicate Payment for Indonesia eVisa</t>
    </r>
  </si>
  <si>
    <r>
      <t xml:space="preserve">Request REFUND TRANSAKSI
(Customer request refund transaksi double)
</t>
    </r>
    <r>
      <rPr>
        <sz val="11"/>
        <color theme="1"/>
        <rFont val="Calibri"/>
        <family val="2"/>
      </rPr>
      <t xml:space="preserve">refund for visa </t>
    </r>
  </si>
  <si>
    <t>Rosalie Ellis &lt;rosalie_ellis@icloud.com&gt;</t>
  </si>
  <si>
    <r>
      <t xml:space="preserve">Request REFUND TRANSAKSI
(Customer request refund transaksi double)
</t>
    </r>
    <r>
      <rPr>
        <sz val="11"/>
        <color theme="1"/>
        <rFont val="Calibri"/>
        <family val="2"/>
      </rPr>
      <t>Request 2 Payments Cancellation</t>
    </r>
  </si>
  <si>
    <t>심하영 &lt;shy940320@naver.com&gt;</t>
  </si>
  <si>
    <r>
      <t xml:space="preserve">Request REFUND TRANSAKSI
(Customer request refund transaksi double)
</t>
    </r>
    <r>
      <rPr>
        <sz val="11"/>
        <color theme="1"/>
        <rFont val="Calibri"/>
        <family val="2"/>
      </rPr>
      <t>Fw: Masalah Status Expired - Sudah Bayar - 2250426B1066453</t>
    </r>
  </si>
  <si>
    <t>Ari Herman &lt;ari.herman@vallianzholdings.com&gt;</t>
  </si>
  <si>
    <t>25/04 req masuk
25/04 done refune</t>
  </si>
  <si>
    <t>王瑜  &lt;yuyu_527@126.com&gt;</t>
  </si>
  <si>
    <r>
      <t xml:space="preserve">Request REFUND TRANSAKSI
(Customer request refund transaksi double)
</t>
    </r>
    <r>
      <rPr>
        <sz val="11"/>
        <color theme="1"/>
        <rFont val="Calibri"/>
        <family val="2"/>
      </rPr>
      <t>[spam][Bitdefender phishing detection]  Formal Application for Full Refund – Duplicate Visa Payment &amp; Invalid E-Visa</t>
    </r>
  </si>
  <si>
    <t>Shwu &lt;shwu.tong@gmail.com&gt;</t>
  </si>
  <si>
    <r>
      <t xml:space="preserve">Request REFUND TRANSAKSI
(Customer request refund transaksi double)
</t>
    </r>
    <r>
      <rPr>
        <sz val="11"/>
        <color theme="1"/>
        <rFont val="Calibri"/>
        <family val="2"/>
      </rPr>
      <t>Visa not received, payment taken</t>
    </r>
  </si>
  <si>
    <t>25/04 req masuk + support meminta info cc
25/04 cust infokan cc
26/04 done refund</t>
  </si>
  <si>
    <t>Darrell Leeson &lt;dleeson69@gmail.com&gt;</t>
  </si>
  <si>
    <r>
      <t xml:space="preserve">Request REFUND TRANSAKSI
(Customer request refund transaksi double)
</t>
    </r>
    <r>
      <rPr>
        <sz val="11"/>
        <color theme="1"/>
        <rFont val="Calibri"/>
        <family val="2"/>
      </rPr>
      <t>2230426B1993079</t>
    </r>
  </si>
  <si>
    <t>26/04 req masuk + support meminta info cc
26/04 cust infokan cc
26/04 done refund</t>
  </si>
  <si>
    <r>
      <t xml:space="preserve">Request REFUND TRANSAKSI
(Customer request refund transaksi double)
</t>
    </r>
    <r>
      <rPr>
        <sz val="11"/>
        <color theme="1"/>
        <rFont val="Calibri"/>
        <family val="2"/>
      </rPr>
      <t>Visa B1</t>
    </r>
  </si>
  <si>
    <t>Leanne McNamara &lt;hanjac8@outlook.com&gt;</t>
  </si>
  <si>
    <t xml:space="preserve">26/04 req masuk + support meminta info cc
26/04 cust infokan cc
</t>
  </si>
  <si>
    <t>이은수 &lt;esulup@naver.com&gt;</t>
  </si>
  <si>
    <r>
      <t xml:space="preserve">Request REFUND TRANSAKSI
(Customer request refund transaksi double)
</t>
    </r>
    <r>
      <rPr>
        <sz val="11"/>
        <color theme="1"/>
        <rFont val="Calibri"/>
        <family val="2"/>
      </rPr>
      <t>Visa refund</t>
    </r>
  </si>
  <si>
    <r>
      <t xml:space="preserve">Request REFUND TRANSAKSI
(Customer request refund transaksi double)
</t>
    </r>
    <r>
      <rPr>
        <sz val="11"/>
        <color theme="1"/>
        <rFont val="Calibri"/>
        <family val="2"/>
      </rPr>
      <t>중요 메일메일 제목Incorrect Payment</t>
    </r>
  </si>
  <si>
    <r>
      <t xml:space="preserve">Request REFUND TRANSAKSI
(Customer request refund transaksi double)
</t>
    </r>
    <r>
      <rPr>
        <sz val="11"/>
        <color theme="1"/>
        <rFont val="Calibri"/>
        <family val="2"/>
      </rPr>
      <t>Incorrect Charge – Please Refund</t>
    </r>
  </si>
  <si>
    <t>Mel B &lt;melb88116@gmail.com&gt;</t>
  </si>
  <si>
    <r>
      <t xml:space="preserve">Request REFUND TRANSAKSI
(Customer request refund transaksi double)
</t>
    </r>
    <r>
      <rPr>
        <sz val="11"/>
        <color theme="1"/>
        <rFont val="Calibri"/>
        <family val="2"/>
      </rPr>
      <t>Duplicate Visa Payment</t>
    </r>
  </si>
  <si>
    <t>Senggih Sugiharto &lt;senggih@gmail.com&gt;</t>
  </si>
  <si>
    <r>
      <t xml:space="preserve">Request REFUND TRANSAKSI
(Customer request refund transaksi double)
</t>
    </r>
    <r>
      <rPr>
        <sz val="11"/>
        <color theme="1"/>
        <rFont val="Calibri"/>
        <family val="2"/>
      </rPr>
      <t>Permohonan Bantuan: Pembayaran e-VoA Gagal namun Saldo Terpotong</t>
    </r>
  </si>
  <si>
    <t>duongbenoit@gmail.com</t>
  </si>
  <si>
    <r>
      <t xml:space="preserve">Request REFUND TRANSAKSI
(Customer request refund transaksi double)
</t>
    </r>
    <r>
      <rPr>
        <sz val="11"/>
        <color theme="1"/>
        <rFont val="Calibri"/>
        <family val="2"/>
      </rPr>
      <t>Refund Request: Double Payment for Visa on Arrival - Benoit Benjamin Dai Long DUONG</t>
    </r>
  </si>
  <si>
    <t xml:space="preserve">26/04 req masuk + support meminta info cc
</t>
  </si>
  <si>
    <r>
      <t xml:space="preserve">Request REFUND TRANSAKSI
(Customer request refund transaksi double)
</t>
    </r>
    <r>
      <rPr>
        <sz val="11"/>
        <color theme="1"/>
        <rFont val="Calibri"/>
        <family val="2"/>
      </rPr>
      <t>Please resolve the duplicate payment issue</t>
    </r>
  </si>
  <si>
    <t>권태연 &lt;annat_y100@naver.com&gt;</t>
  </si>
  <si>
    <t>26/04 req masuk
26/04 done refund</t>
  </si>
  <si>
    <t>Davide Caccaro &lt;davidecaccaro2701@gmail.com&gt;</t>
  </si>
  <si>
    <r>
      <t xml:space="preserve">Request REFUND TRANSAKSI
(Customer request refund transaksi double)
</t>
    </r>
    <r>
      <rPr>
        <sz val="11"/>
        <color theme="1"/>
        <rFont val="Calibri"/>
        <family val="2"/>
      </rPr>
      <t>Request refound</t>
    </r>
  </si>
  <si>
    <t>26/04 req masuk + support meminta info cc
26/04 cust infokan cc yg digunakan</t>
  </si>
  <si>
    <r>
      <t xml:space="preserve">Request REFUND TRANSAKSI
(Customer request refund transaksi double)
</t>
    </r>
    <r>
      <rPr>
        <sz val="11"/>
        <color theme="1"/>
        <rFont val="Calibri"/>
        <family val="2"/>
      </rPr>
      <t xml:space="preserve">Voa paid but not received </t>
    </r>
  </si>
  <si>
    <t>Emma Kwee &lt;Emmakwee@outlook.com&gt;</t>
  </si>
  <si>
    <t>26/04 req masuk + support meminta info cc
26/04 cust infokan cc yg digunakan
26/04 done refund</t>
  </si>
  <si>
    <t>신민석 &lt;ssindol@naver.com&gt;</t>
  </si>
  <si>
    <r>
      <t xml:space="preserve">Request REFUND TRANSAKSI
(Customer request refund transaksi double)
</t>
    </r>
    <r>
      <rPr>
        <sz val="11"/>
        <color theme="1"/>
        <rFont val="Calibri"/>
        <family val="2"/>
      </rPr>
      <t>[Refund Request] Payment Success but Visa Not Issued - MINSEOK SHIN</t>
    </r>
  </si>
  <si>
    <r>
      <t xml:space="preserve">Request REFUND TRANSAKSI
(Customer request refund transaksi double)
</t>
    </r>
    <r>
      <rPr>
        <sz val="11"/>
        <color theme="1"/>
        <rFont val="Calibri"/>
        <family val="2"/>
      </rPr>
      <t>[URGENT] Visa Payment Confirmed but Application Status Not Updated - [TAESUNG KIM]</t>
    </r>
  </si>
  <si>
    <t>김태성 &lt;moonboyis@naver.com&gt;</t>
  </si>
  <si>
    <t>26/04 req masuk
26/04 support meminta info cc
26/04 cust infokan cc yg digunakan
26/04 done refund</t>
  </si>
  <si>
    <r>
      <t xml:space="preserve">Request REFUND TRANSAKSI
(Customer request refund transaksi double)
</t>
    </r>
    <r>
      <rPr>
        <sz val="11"/>
        <color theme="1"/>
        <rFont val="Calibri"/>
        <family val="2"/>
      </rPr>
      <t>Duplicate Charge Issue</t>
    </r>
  </si>
  <si>
    <t>27/04 req masuk</t>
  </si>
  <si>
    <r>
      <t xml:space="preserve">Request REFUND TRANSAKSI
(Customer request refund transaksi double)
</t>
    </r>
    <r>
      <rPr>
        <sz val="11"/>
        <color theme="1"/>
        <rFont val="Calibri"/>
        <family val="2"/>
      </rPr>
      <t>Refund Request: eVOA Application #2135398</t>
    </r>
  </si>
  <si>
    <t>Kumino Loretta Shiraiwa &lt;kmn.loretta@gmail.com&gt;</t>
  </si>
  <si>
    <t>25/04 req masuk + support meminta info cc
27/04 cust infokan cc</t>
  </si>
  <si>
    <t>오진우 &lt;ojw9485@airteltour.com&gt;</t>
  </si>
  <si>
    <r>
      <t xml:space="preserve">Request REFUND TRANSAKSI
(Customer request refund transaksi double)
</t>
    </r>
    <r>
      <rPr>
        <sz val="11"/>
        <color theme="1"/>
        <rFont val="Calibri"/>
        <family val="2"/>
      </rPr>
      <t>[Urgent] REQUEST REFUND</t>
    </r>
  </si>
  <si>
    <r>
      <t xml:space="preserve">Request REFUND TRANSAKSI
(Product tidak diterima dan Cust request refund)
</t>
    </r>
    <r>
      <rPr>
        <sz val="11"/>
        <color theme="1"/>
        <rFont val="Calibri"/>
        <family val="2"/>
      </rPr>
      <t xml:space="preserve">Refund 24,25,26 April 2026
</t>
    </r>
  </si>
  <si>
    <t>27/04 req masuk
27/04 done</t>
  </si>
  <si>
    <t>27/04 req masuk
27/04 support meminta cc yg digunakan</t>
  </si>
  <si>
    <r>
      <t xml:space="preserve">Request REFUND TRANSAKSI
(Customer request refund transaksi double)
</t>
    </r>
    <r>
      <rPr>
        <sz val="11"/>
        <color theme="1"/>
        <rFont val="Calibri"/>
        <family val="2"/>
      </rPr>
      <t>B1 Visa - Spencer HEGEDUS</t>
    </r>
  </si>
  <si>
    <t>Olivia Boynton &lt;oliviaboynton@gmail.com&gt;</t>
  </si>
  <si>
    <t>김은주 &lt;tksel7@naver.com&gt;</t>
  </si>
  <si>
    <r>
      <t xml:space="preserve">Request REFUND TRANSAKSI
(Customer request refund transaksi double)
</t>
    </r>
    <r>
      <rPr>
        <sz val="11"/>
        <color theme="1"/>
        <rFont val="Calibri"/>
        <family val="2"/>
      </rPr>
      <t>check plz.</t>
    </r>
  </si>
  <si>
    <r>
      <t xml:space="preserve">Request BUKTI TRANSAKSI VOA
(Customer sanggah transaksi CC atas penerbitan Visa)
</t>
    </r>
    <r>
      <rPr>
        <sz val="11"/>
        <color theme="1"/>
        <rFont val="Calibri"/>
        <family val="2"/>
      </rPr>
      <t>Permohonan Bukti Transaksi Merchant PRISMALINK #24042026 JCB First Chargeback</t>
    </r>
  </si>
  <si>
    <t>09/04 req masuk + support meminta kronologis
16/04 bca melampirkan kronologis
16/04 support teruskan ke merchant 'FW: [O5e1b26f] Indikasi Penipuan: BAYAR2.COM/09042026/062 / VA 7900124900064626 '
18/04 merchant infokan senin akan di update
20/04 merchant meminta surat pernyataan tambahan
21/04 merchant meminta data tambahan
23/04 beum ada update
24/04 bca fu
24/04 bca menanyakan perihal dana
24/04 support infokan jika doc terkumpul dan abisa dikembalikan
27/04 belum ada update</t>
  </si>
  <si>
    <t>13/04 req masuk + support meminta kronologis
16/04 bca melampirkan kronologis
16/04 support teruskan ke merchant 'FW: [O5798ec5] Indikasi Penipuan: BAYAR2.COM/13042026/066 / VA 7900124900034427 '
17/04 bca menanyakan perihal dana
20/04 bca fu
21/04 bca fu
23/04 merchant meminta surat pernyataan
27/04 belum ada update</t>
  </si>
  <si>
    <t>24/04 req masuk + support meminta kronologis
27/04 belum ada update</t>
  </si>
  <si>
    <t>27/04 req masuk
27/04 support teruskan ke nobu</t>
  </si>
  <si>
    <t>심상민 &lt;1814sm@naver.com&gt;</t>
  </si>
  <si>
    <r>
      <t xml:space="preserve">Request REFUND TRANSAKSI
(Customer request refund transaksi double)
</t>
    </r>
    <r>
      <rPr>
        <sz val="11"/>
        <color theme="1"/>
        <rFont val="Calibri"/>
        <family val="2"/>
      </rPr>
      <t>I would like to request a refund for an e-voa case that has been wrongly paid</t>
    </r>
  </si>
  <si>
    <r>
      <t xml:space="preserve">Request BUKTI TRANSAKSI VOA
(Customer sanggah transaksi CC atas penerbitan Visa)
</t>
    </r>
    <r>
      <rPr>
        <sz val="11"/>
        <color theme="1"/>
        <rFont val="Calibri"/>
        <family val="2"/>
      </rPr>
      <t>PERMOHONAN BUKTI TRANSAKSI PRISMALINK*IND VISAARR #27/04/2026 31 TRX</t>
    </r>
  </si>
  <si>
    <t>20/04 req masuk + support meminta kronologis
21/04 belum ada update
22/04 bca melampirkan dokumen
22/04 support teruskan ke merchant
23/04 merchant infokan bisa di refund dgn memotong settelment
23/04 support req hold dana ke finance
23/04 bca menanyakan perihal sisa dana
24/04 bca fu
26/04 finance info dana sudah di hold
27/04 support memintaa finance untuk tf ke rek penampung bca</t>
  </si>
  <si>
    <t>08/04 req masuk + support meminta kronologis
22/04 bca melampirkan dokumen
22/04 support teruskan ke merchant
26/04 merchant infokan bisa proses refund
27/04 support req hold dana ke finance</t>
  </si>
  <si>
    <t>27/04 req masuk
27/04 support meminta cc yg digunakan
27/04 cust infokan cc yg digunakan
27/04 done</t>
  </si>
  <si>
    <r>
      <t xml:space="preserve">Request BUKTI TRANSAKSI VOA
(Customer sanggah transaksi CC atas penerbitan Visa)
</t>
    </r>
    <r>
      <rPr>
        <sz val="11"/>
        <color theme="1"/>
        <rFont val="Calibri"/>
        <family val="2"/>
      </rPr>
      <t>Permohonan bukti transaksi merchant PRISMALINK #27042026 JCB Second Chargeback</t>
    </r>
  </si>
  <si>
    <r>
      <t xml:space="preserve">Request BUKTI TRANSAKSI VOA
(Customer sanggah transaksi CC atas penerbitan Visa)
</t>
    </r>
    <r>
      <rPr>
        <sz val="11"/>
        <color theme="1"/>
        <rFont val="Calibri"/>
        <family val="2"/>
      </rPr>
      <t>KONFIRMASI CHARGEBACK Prismalink*IND VISAARR 27/04/2026 54 TRX</t>
    </r>
  </si>
  <si>
    <t>27/04 req masuk
27/04 support meminta data info cc</t>
  </si>
  <si>
    <t>25/04 req masuk + supp meminta cc
25/04 cust infokan cc yg digunakan
25/04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</si>
</sst>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p&quot;* #,##0_-;\-&quot;Rp&quot;* #,##0_-;_-&quot;Rp&quot;* &quot;-&quot;_-;_-@_-"/>
    <numFmt numFmtId="164" formatCode="dd&quot;/&quot;mm&quot;/&quot;yyyy&quot; &quot;hh&quot;:&quot;mm"/>
    <numFmt numFmtId="165" formatCode="d/m"/>
    <numFmt numFmtId="166" formatCode="&quot;Rp&quot;#,##0"/>
  </numFmts>
  <fonts count="33" x14ac:knownFonts="1">
    <font>
      <sz val="11"/>
      <color theme="1"/>
      <name val="Aptos Narrow"/>
      <charset val="134"/>
      <scheme val="minor"/>
    </font>
    <font>
      <sz val="11"/>
      <color theme="1"/>
      <name val="Aptos Narrow"/>
      <family val="2"/>
      <scheme val="minor"/>
    </font>
    <font>
      <sz val="11"/>
      <color theme="1"/>
      <name val="Arial"/>
      <family val="2"/>
    </font>
    <font>
      <sz val="11"/>
      <color theme="1"/>
      <name val="Aptos Narrow"/>
      <family val="2"/>
    </font>
    <font>
      <b/>
      <sz val="11"/>
      <color theme="1"/>
      <name val="Aptos Narrow"/>
      <family val="2"/>
    </font>
    <font>
      <b/>
      <sz val="8"/>
      <color theme="1"/>
      <name val="Calibri"/>
      <family val="2"/>
    </font>
    <font>
      <sz val="8"/>
      <color theme="1"/>
      <name val="Calibri"/>
      <family val="2"/>
    </font>
    <font>
      <u/>
      <sz val="8"/>
      <color theme="1"/>
      <name val="Calibri"/>
      <family val="2"/>
    </font>
    <font>
      <sz val="11"/>
      <color theme="1"/>
      <name val="Calibri"/>
      <family val="2"/>
    </font>
    <font>
      <b/>
      <sz val="11"/>
      <color theme="1"/>
      <name val="Calibri"/>
      <family val="2"/>
    </font>
    <font>
      <sz val="48"/>
      <color theme="1"/>
      <name val="Calibri"/>
      <family val="2"/>
    </font>
    <font>
      <sz val="20"/>
      <color theme="1"/>
      <name val="Calibri"/>
      <family val="2"/>
    </font>
    <font>
      <sz val="11"/>
      <color theme="0"/>
      <name val="Calibri"/>
      <family val="2"/>
    </font>
    <font>
      <sz val="11"/>
      <name val="Calibri"/>
      <family val="2"/>
    </font>
    <font>
      <sz val="24"/>
      <color theme="0"/>
      <name val="Calibri"/>
      <family val="2"/>
    </font>
    <font>
      <sz val="20"/>
      <name val="Calibri"/>
      <family val="2"/>
    </font>
    <font>
      <sz val="11"/>
      <color theme="0"/>
      <name val="Aptos Narrow"/>
      <family val="2"/>
      <scheme val="minor"/>
    </font>
    <font>
      <sz val="11"/>
      <color rgb="FFFF0000"/>
      <name val="Aptos Narrow"/>
      <family val="2"/>
      <scheme val="minor"/>
    </font>
    <font>
      <b/>
      <sz val="11"/>
      <color theme="1"/>
      <name val="Aptos Narrow"/>
      <family val="2"/>
      <scheme val="minor"/>
    </font>
    <font>
      <sz val="11"/>
      <color theme="2"/>
      <name val="Aptos Narrow"/>
      <family val="2"/>
      <scheme val="minor"/>
    </font>
    <font>
      <u/>
      <sz val="11"/>
      <color theme="10"/>
      <name val="Aptos Narrow"/>
      <family val="2"/>
      <scheme val="minor"/>
    </font>
    <font>
      <u/>
      <sz val="8"/>
      <color rgb="FF1155CC"/>
      <name val="Calibri"/>
      <family val="2"/>
    </font>
    <font>
      <sz val="11"/>
      <color rgb="FF000000"/>
      <name val="Aptos Narrow"/>
      <family val="2"/>
      <scheme val="minor"/>
    </font>
    <font>
      <sz val="11"/>
      <color theme="1"/>
      <name val="Aptos Narrow"/>
      <family val="2"/>
      <scheme val="minor"/>
    </font>
    <font>
      <sz val="11"/>
      <color theme="1"/>
      <name val="Calibri"/>
      <family val="2"/>
    </font>
    <font>
      <b/>
      <sz val="11"/>
      <color theme="1"/>
      <name val="Calibri"/>
      <family val="2"/>
    </font>
    <font>
      <u/>
      <sz val="11"/>
      <color theme="10"/>
      <name val="Aptos Narrow"/>
      <family val="2"/>
      <scheme val="minor"/>
    </font>
    <font>
      <sz val="11"/>
      <color rgb="FF312E2E"/>
      <name val="Calibri"/>
      <family val="2"/>
    </font>
    <font>
      <u/>
      <sz val="11"/>
      <color theme="10"/>
      <name val="Calibri"/>
      <family val="2"/>
    </font>
    <font>
      <sz val="11"/>
      <color rgb="FF0070C0"/>
      <name val="Calibri"/>
      <family val="2"/>
    </font>
    <font>
      <sz val="11"/>
      <color rgb="FF000000"/>
      <name val="Calibri"/>
      <family val="2"/>
    </font>
    <font>
      <sz val="12"/>
      <color theme="1"/>
      <name val="Calibri"/>
      <family val="2"/>
    </font>
    <font>
      <sz val="10"/>
      <color rgb="FF434343"/>
      <name val="Calibri"/>
      <family val="2"/>
    </font>
  </fonts>
  <fills count="19">
    <fill>
      <patternFill patternType="none"/>
    </fill>
    <fill>
      <patternFill patternType="gray125"/>
    </fill>
    <fill>
      <patternFill patternType="solid">
        <fgColor rgb="FF92D050"/>
        <bgColor rgb="FF92D050"/>
      </patternFill>
    </fill>
    <fill>
      <patternFill patternType="solid">
        <fgColor rgb="FFFFFF00"/>
        <bgColor rgb="FFFFFF00"/>
      </patternFill>
    </fill>
    <fill>
      <patternFill patternType="solid">
        <fgColor rgb="FFCCCCCC"/>
        <bgColor rgb="FFCCCCCC"/>
      </patternFill>
    </fill>
    <fill>
      <patternFill patternType="solid">
        <fgColor rgb="FFA4C2F4"/>
        <bgColor rgb="FFA4C2F4"/>
      </patternFill>
    </fill>
    <fill>
      <patternFill patternType="solid">
        <fgColor rgb="FFB6D7A8"/>
        <bgColor rgb="FFB6D7A8"/>
      </patternFill>
    </fill>
    <fill>
      <patternFill patternType="solid">
        <fgColor theme="0"/>
        <bgColor theme="0"/>
      </patternFill>
    </fill>
    <fill>
      <patternFill patternType="solid">
        <fgColor rgb="FFFFE599"/>
        <bgColor rgb="FFFFE599"/>
      </patternFill>
    </fill>
    <fill>
      <patternFill patternType="solid">
        <fgColor rgb="FF76A5AF"/>
        <bgColor rgb="FF76A5AF"/>
      </patternFill>
    </fill>
    <fill>
      <patternFill patternType="solid">
        <fgColor rgb="FFFFC000"/>
        <bgColor rgb="FFFFC000"/>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002060"/>
        <bgColor indexed="64"/>
      </patternFill>
    </fill>
    <fill>
      <patternFill patternType="solid">
        <fgColor theme="9" tint="-0.249977111117893"/>
        <bgColor indexed="64"/>
      </patternFill>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47">
    <xf numFmtId="0" fontId="0" fillId="0" borderId="0"/>
    <xf numFmtId="0" fontId="20"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26" fillId="0" borderId="0" applyNumberFormat="0" applyFill="0" applyBorder="0" applyAlignment="0" applyProtection="0"/>
  </cellStyleXfs>
  <cellXfs count="207">
    <xf numFmtId="0" fontId="0" fillId="0" borderId="0" xfId="0"/>
    <xf numFmtId="0" fontId="2" fillId="2" borderId="0" xfId="0" applyFont="1" applyFill="1"/>
    <xf numFmtId="0" fontId="3" fillId="0" borderId="0" xfId="0" applyFont="1"/>
    <xf numFmtId="0" fontId="3"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2" fillId="0" borderId="1" xfId="0" applyFont="1" applyBorder="1" applyAlignment="1">
      <alignment wrapText="1"/>
    </xf>
    <xf numFmtId="0" fontId="2" fillId="0" borderId="0" xfId="0" applyFont="1"/>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164" fontId="5" fillId="4"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0" borderId="1" xfId="0" applyFont="1" applyBorder="1" applyAlignment="1">
      <alignment horizontal="left" vertical="top"/>
    </xf>
    <xf numFmtId="164" fontId="6" fillId="0" borderId="1" xfId="0" applyNumberFormat="1" applyFont="1" applyBorder="1" applyAlignment="1">
      <alignment horizontal="left" vertical="top"/>
    </xf>
    <xf numFmtId="0" fontId="6" fillId="0" borderId="1" xfId="0" applyFont="1" applyBorder="1" applyAlignment="1">
      <alignment horizontal="left" vertical="top" wrapText="1"/>
    </xf>
    <xf numFmtId="0" fontId="5" fillId="7" borderId="1" xfId="0" applyFont="1" applyFill="1" applyBorder="1" applyAlignment="1">
      <alignment horizontal="left" vertical="top" wrapText="1"/>
    </xf>
    <xf numFmtId="49" fontId="6"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164" fontId="6" fillId="0" borderId="1" xfId="0" applyNumberFormat="1" applyFont="1" applyBorder="1" applyAlignment="1">
      <alignment horizontal="left" vertical="top" wrapText="1"/>
    </xf>
    <xf numFmtId="0" fontId="6" fillId="0" borderId="0" xfId="0" applyFont="1" applyAlignment="1">
      <alignment horizontal="left" vertical="top"/>
    </xf>
    <xf numFmtId="164" fontId="6" fillId="0" borderId="0" xfId="0" applyNumberFormat="1" applyFont="1" applyAlignment="1">
      <alignment horizontal="left" vertical="top"/>
    </xf>
    <xf numFmtId="0" fontId="6" fillId="0" borderId="0" xfId="0" applyFont="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20" fontId="5" fillId="10" borderId="1"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20" fontId="6" fillId="0" borderId="1" xfId="0" applyNumberFormat="1" applyFont="1" applyBorder="1" applyAlignment="1">
      <alignment horizontal="left" vertical="top"/>
    </xf>
    <xf numFmtId="165" fontId="6" fillId="0" borderId="1" xfId="0" applyNumberFormat="1" applyFont="1" applyBorder="1" applyAlignment="1">
      <alignment horizontal="left" vertical="top"/>
    </xf>
    <xf numFmtId="20" fontId="6" fillId="0" borderId="1" xfId="0" applyNumberFormat="1" applyFont="1" applyBorder="1" applyAlignment="1">
      <alignment horizontal="left" vertical="top" wrapText="1"/>
    </xf>
    <xf numFmtId="0" fontId="6" fillId="10" borderId="1" xfId="0" applyFont="1" applyFill="1" applyBorder="1" applyAlignment="1">
      <alignment horizontal="left" vertical="top" wrapText="1"/>
    </xf>
    <xf numFmtId="20" fontId="6" fillId="0" borderId="0" xfId="0" applyNumberFormat="1" applyFont="1" applyAlignment="1">
      <alignment horizontal="left" vertical="top"/>
    </xf>
    <xf numFmtId="22" fontId="8" fillId="0" borderId="0" xfId="0" applyNumberFormat="1" applyFont="1"/>
    <xf numFmtId="0" fontId="8" fillId="0" borderId="0" xfId="0" applyFont="1"/>
    <xf numFmtId="0" fontId="8" fillId="0" borderId="2" xfId="0" applyFont="1" applyBorder="1"/>
    <xf numFmtId="0" fontId="8" fillId="2" borderId="2" xfId="0" applyFont="1" applyFill="1" applyBorder="1"/>
    <xf numFmtId="0" fontId="9" fillId="2" borderId="2" xfId="0" applyFont="1" applyFill="1" applyBorder="1" applyAlignment="1">
      <alignment horizontal="center" vertical="center" wrapText="1"/>
    </xf>
    <xf numFmtId="0" fontId="8" fillId="0" borderId="2" xfId="0" applyFont="1" applyBorder="1" applyAlignment="1">
      <alignment wrapText="1"/>
    </xf>
    <xf numFmtId="0" fontId="9" fillId="3" borderId="2" xfId="0" applyFont="1" applyFill="1" applyBorder="1" applyAlignment="1">
      <alignment horizontal="center" vertical="center" wrapText="1"/>
    </xf>
    <xf numFmtId="0" fontId="8" fillId="0" borderId="2" xfId="0" applyFont="1" applyBorder="1" applyAlignment="1">
      <alignment horizontal="left" vertical="top"/>
    </xf>
    <xf numFmtId="0" fontId="8" fillId="0" borderId="2" xfId="0" applyFont="1" applyBorder="1" applyAlignment="1">
      <alignment horizontal="left" vertical="top" wrapText="1"/>
    </xf>
    <xf numFmtId="0" fontId="8" fillId="14" borderId="2" xfId="0" applyFont="1" applyFill="1" applyBorder="1" applyAlignment="1">
      <alignment horizontal="left" vertical="top" wrapText="1"/>
    </xf>
    <xf numFmtId="0" fontId="8" fillId="14" borderId="0" xfId="0" applyFont="1" applyFill="1"/>
    <xf numFmtId="49" fontId="8" fillId="0" borderId="0" xfId="0" applyNumberFormat="1" applyFont="1" applyAlignment="1">
      <alignment horizontal="left"/>
    </xf>
    <xf numFmtId="166" fontId="8" fillId="0" borderId="0" xfId="0" applyNumberFormat="1" applyFont="1" applyAlignment="1">
      <alignment horizontal="right"/>
    </xf>
    <xf numFmtId="49" fontId="8" fillId="0" borderId="0" xfId="0" applyNumberFormat="1" applyFont="1"/>
    <xf numFmtId="166" fontId="8" fillId="0" borderId="0" xfId="0" applyNumberFormat="1" applyFont="1"/>
    <xf numFmtId="42" fontId="8" fillId="0" borderId="0" xfId="0" applyNumberFormat="1" applyFont="1"/>
    <xf numFmtId="0" fontId="10" fillId="0" borderId="0" xfId="0" applyFont="1"/>
    <xf numFmtId="49" fontId="11" fillId="15" borderId="2" xfId="0" applyNumberFormat="1" applyFont="1" applyFill="1" applyBorder="1" applyAlignment="1">
      <alignment horizontal="left"/>
    </xf>
    <xf numFmtId="166" fontId="8" fillId="0" borderId="2" xfId="0" applyNumberFormat="1" applyFont="1" applyBorder="1" applyAlignment="1">
      <alignment horizontal="right"/>
    </xf>
    <xf numFmtId="49" fontId="8" fillId="0" borderId="2" xfId="0" applyNumberFormat="1" applyFont="1" applyBorder="1"/>
    <xf numFmtId="166" fontId="8" fillId="0" borderId="2" xfId="0" applyNumberFormat="1" applyFont="1" applyBorder="1"/>
    <xf numFmtId="49" fontId="12" fillId="16" borderId="2" xfId="0" applyNumberFormat="1" applyFont="1" applyFill="1" applyBorder="1" applyAlignment="1">
      <alignment horizontal="left"/>
    </xf>
    <xf numFmtId="166" fontId="12" fillId="16" borderId="2" xfId="0" applyNumberFormat="1" applyFont="1" applyFill="1" applyBorder="1" applyAlignment="1">
      <alignment horizontal="right"/>
    </xf>
    <xf numFmtId="49" fontId="12" fillId="16" borderId="2" xfId="0" applyNumberFormat="1" applyFont="1" applyFill="1" applyBorder="1"/>
    <xf numFmtId="166" fontId="12" fillId="16" borderId="2" xfId="0" applyNumberFormat="1" applyFont="1" applyFill="1" applyBorder="1"/>
    <xf numFmtId="49" fontId="8" fillId="14" borderId="2" xfId="0" applyNumberFormat="1" applyFont="1" applyFill="1" applyBorder="1" applyAlignment="1">
      <alignment horizontal="left"/>
    </xf>
    <xf numFmtId="166" fontId="8" fillId="14" borderId="2" xfId="0" applyNumberFormat="1" applyFont="1" applyFill="1" applyBorder="1" applyAlignment="1">
      <alignment horizontal="right"/>
    </xf>
    <xf numFmtId="49" fontId="8" fillId="14" borderId="2" xfId="0" applyNumberFormat="1" applyFont="1" applyFill="1" applyBorder="1"/>
    <xf numFmtId="166" fontId="8" fillId="14" borderId="2" xfId="0" applyNumberFormat="1" applyFont="1" applyFill="1" applyBorder="1"/>
    <xf numFmtId="49" fontId="8" fillId="0" borderId="2" xfId="0" applyNumberFormat="1" applyFont="1" applyBorder="1" applyAlignment="1">
      <alignment horizontal="left"/>
    </xf>
    <xf numFmtId="49" fontId="13" fillId="14" borderId="2" xfId="0" applyNumberFormat="1" applyFont="1" applyFill="1" applyBorder="1" applyAlignment="1">
      <alignment horizontal="left"/>
    </xf>
    <xf numFmtId="49" fontId="12" fillId="14" borderId="2" xfId="0" applyNumberFormat="1" applyFont="1" applyFill="1" applyBorder="1" applyAlignment="1">
      <alignment horizontal="center"/>
    </xf>
    <xf numFmtId="49" fontId="13" fillId="14" borderId="2" xfId="0" applyNumberFormat="1" applyFont="1" applyFill="1" applyBorder="1" applyAlignment="1">
      <alignment horizontal="center"/>
    </xf>
    <xf numFmtId="0" fontId="12" fillId="16" borderId="0" xfId="0" applyFont="1" applyFill="1"/>
    <xf numFmtId="0" fontId="14" fillId="16" borderId="2" xfId="0" applyFont="1" applyFill="1" applyBorder="1" applyAlignment="1">
      <alignment horizontal="left"/>
    </xf>
    <xf numFmtId="166" fontId="14" fillId="16" borderId="2" xfId="0" applyNumberFormat="1" applyFont="1" applyFill="1" applyBorder="1" applyAlignment="1">
      <alignment horizontal="right"/>
    </xf>
    <xf numFmtId="0" fontId="14" fillId="16" borderId="2" xfId="0" applyFont="1" applyFill="1" applyBorder="1"/>
    <xf numFmtId="166" fontId="14" fillId="16" borderId="2" xfId="0" applyNumberFormat="1" applyFont="1" applyFill="1" applyBorder="1"/>
    <xf numFmtId="49" fontId="14" fillId="16" borderId="2" xfId="0" applyNumberFormat="1" applyFont="1" applyFill="1" applyBorder="1"/>
    <xf numFmtId="0" fontId="13" fillId="0" borderId="0" xfId="0" applyFont="1"/>
    <xf numFmtId="49" fontId="15" fillId="15" borderId="2" xfId="0" applyNumberFormat="1" applyFont="1" applyFill="1" applyBorder="1" applyAlignment="1">
      <alignment horizontal="left"/>
    </xf>
    <xf numFmtId="166" fontId="13" fillId="0" borderId="0" xfId="0" applyNumberFormat="1" applyFont="1" applyAlignment="1">
      <alignment horizontal="right"/>
    </xf>
    <xf numFmtId="49" fontId="13" fillId="0" borderId="0" xfId="0" applyNumberFormat="1" applyFont="1"/>
    <xf numFmtId="166" fontId="13" fillId="0" borderId="0" xfId="0" applyNumberFormat="1" applyFont="1"/>
    <xf numFmtId="49" fontId="13" fillId="16" borderId="0" xfId="0" applyNumberFormat="1" applyFont="1" applyFill="1" applyAlignment="1">
      <alignment horizontal="left"/>
    </xf>
    <xf numFmtId="166" fontId="13" fillId="16" borderId="0" xfId="0" applyNumberFormat="1" applyFont="1" applyFill="1" applyAlignment="1">
      <alignment horizontal="right"/>
    </xf>
    <xf numFmtId="49" fontId="13" fillId="16" borderId="0" xfId="0" applyNumberFormat="1" applyFont="1" applyFill="1"/>
    <xf numFmtId="166" fontId="13" fillId="16" borderId="0" xfId="0" applyNumberFormat="1" applyFont="1" applyFill="1"/>
    <xf numFmtId="166" fontId="13" fillId="14" borderId="2" xfId="0" applyNumberFormat="1" applyFont="1" applyFill="1" applyBorder="1" applyAlignment="1">
      <alignment horizontal="right"/>
    </xf>
    <xf numFmtId="49" fontId="13" fillId="0" borderId="2" xfId="0" applyNumberFormat="1" applyFont="1" applyBorder="1"/>
    <xf numFmtId="166" fontId="13" fillId="0" borderId="2" xfId="0" applyNumberFormat="1" applyFont="1" applyBorder="1"/>
    <xf numFmtId="49" fontId="13" fillId="14" borderId="2" xfId="0" applyNumberFormat="1" applyFont="1" applyFill="1" applyBorder="1"/>
    <xf numFmtId="166" fontId="13" fillId="14" borderId="2" xfId="0" applyNumberFormat="1" applyFont="1" applyFill="1" applyBorder="1"/>
    <xf numFmtId="49" fontId="13" fillId="0" borderId="2" xfId="0" applyNumberFormat="1" applyFont="1" applyBorder="1" applyAlignment="1">
      <alignment horizontal="left"/>
    </xf>
    <xf numFmtId="166" fontId="13" fillId="0" borderId="2" xfId="0" applyNumberFormat="1" applyFont="1" applyBorder="1" applyAlignment="1">
      <alignment horizontal="right"/>
    </xf>
    <xf numFmtId="0" fontId="13" fillId="14" borderId="0" xfId="0" applyFont="1" applyFill="1"/>
    <xf numFmtId="0" fontId="13" fillId="16" borderId="0" xfId="0" applyFont="1" applyFill="1"/>
    <xf numFmtId="42" fontId="8" fillId="14" borderId="0" xfId="0" applyNumberFormat="1" applyFont="1" applyFill="1"/>
    <xf numFmtId="0" fontId="8" fillId="14" borderId="2" xfId="0" applyFont="1" applyFill="1" applyBorder="1"/>
    <xf numFmtId="0" fontId="12" fillId="16" borderId="2" xfId="0" applyFont="1" applyFill="1" applyBorder="1"/>
    <xf numFmtId="49" fontId="11" fillId="15" borderId="0" xfId="0" applyNumberFormat="1" applyFont="1" applyFill="1" applyAlignment="1">
      <alignment horizontal="left"/>
    </xf>
    <xf numFmtId="49" fontId="12" fillId="16" borderId="0" xfId="0" applyNumberFormat="1" applyFont="1" applyFill="1" applyAlignment="1">
      <alignment horizontal="left"/>
    </xf>
    <xf numFmtId="166" fontId="12" fillId="16" borderId="0" xfId="0" applyNumberFormat="1" applyFont="1" applyFill="1" applyAlignment="1">
      <alignment horizontal="right"/>
    </xf>
    <xf numFmtId="49" fontId="12" fillId="16" borderId="0" xfId="0" applyNumberFormat="1" applyFont="1" applyFill="1"/>
    <xf numFmtId="166" fontId="12" fillId="16" borderId="0" xfId="0" applyNumberFormat="1" applyFont="1" applyFill="1"/>
    <xf numFmtId="49" fontId="8" fillId="14" borderId="2" xfId="0" applyNumberFormat="1" applyFont="1" applyFill="1" applyBorder="1" applyAlignment="1">
      <alignment horizontal="left" vertical="top"/>
    </xf>
    <xf numFmtId="49" fontId="12" fillId="0" borderId="2" xfId="0" applyNumberFormat="1" applyFont="1" applyBorder="1" applyAlignment="1">
      <alignment horizontal="center"/>
    </xf>
    <xf numFmtId="49" fontId="13" fillId="0" borderId="0" xfId="0" applyNumberFormat="1" applyFont="1" applyAlignment="1">
      <alignment horizontal="left"/>
    </xf>
    <xf numFmtId="49" fontId="12" fillId="0" borderId="0" xfId="0" applyNumberFormat="1" applyFont="1" applyAlignment="1">
      <alignment horizontal="center"/>
    </xf>
    <xf numFmtId="0" fontId="8" fillId="14" borderId="0" xfId="0" applyFont="1" applyFill="1" applyAlignment="1">
      <alignment horizontal="left" vertical="top" wrapText="1"/>
    </xf>
    <xf numFmtId="0" fontId="8" fillId="0" borderId="0" xfId="0" applyFont="1" applyAlignment="1">
      <alignment horizontal="left" vertical="top" wrapText="1"/>
    </xf>
    <xf numFmtId="22" fontId="8" fillId="0" borderId="0" xfId="0" applyNumberFormat="1" applyFont="1" applyAlignment="1">
      <alignment horizontal="left" vertical="top" wrapText="1"/>
    </xf>
    <xf numFmtId="49" fontId="8" fillId="0" borderId="0" xfId="0" applyNumberFormat="1" applyFont="1" applyAlignment="1">
      <alignment horizontal="left" vertical="top" wrapText="1"/>
    </xf>
    <xf numFmtId="14" fontId="8" fillId="0" borderId="0" xfId="0" applyNumberFormat="1" applyFont="1" applyAlignment="1">
      <alignment horizontal="left" vertical="top" wrapText="1"/>
    </xf>
    <xf numFmtId="22" fontId="8" fillId="0" borderId="2" xfId="0" applyNumberFormat="1" applyFont="1" applyBorder="1" applyAlignment="1">
      <alignment horizontal="left" vertical="top" wrapText="1"/>
    </xf>
    <xf numFmtId="49" fontId="8" fillId="0" borderId="2" xfId="0" applyNumberFormat="1" applyFont="1" applyBorder="1" applyAlignment="1">
      <alignment horizontal="left" vertical="top" wrapText="1"/>
    </xf>
    <xf numFmtId="14" fontId="8" fillId="0" borderId="2" xfId="0" applyNumberFormat="1" applyFont="1" applyBorder="1" applyAlignment="1">
      <alignment horizontal="left" vertical="top" wrapText="1"/>
    </xf>
    <xf numFmtId="0" fontId="0" fillId="0" borderId="0" xfId="0" applyAlignment="1">
      <alignment wrapText="1"/>
    </xf>
    <xf numFmtId="0" fontId="0" fillId="0" borderId="0" xfId="0" applyAlignment="1">
      <alignment horizontal="center" vertical="center"/>
    </xf>
    <xf numFmtId="14" fontId="0" fillId="0" borderId="0" xfId="0" applyNumberFormat="1"/>
    <xf numFmtId="0" fontId="16" fillId="18" borderId="0" xfId="0" applyFont="1" applyFill="1" applyAlignment="1">
      <alignment wrapText="1"/>
    </xf>
    <xf numFmtId="0" fontId="17" fillId="13" borderId="0" xfId="0" applyFont="1" applyFill="1" applyAlignment="1">
      <alignment horizontal="center" vertical="center"/>
    </xf>
    <xf numFmtId="0" fontId="18" fillId="0" borderId="2" xfId="0" applyFont="1" applyBorder="1" applyAlignment="1">
      <alignment horizontal="center" vertical="center"/>
    </xf>
    <xf numFmtId="0" fontId="0" fillId="0" borderId="2" xfId="0" applyBorder="1" applyAlignment="1">
      <alignment horizontal="center" vertical="center"/>
    </xf>
    <xf numFmtId="0" fontId="19" fillId="17" borderId="2" xfId="0" applyFont="1" applyFill="1" applyBorder="1" applyAlignment="1">
      <alignment horizontal="center" vertical="center"/>
    </xf>
    <xf numFmtId="14" fontId="0" fillId="0" borderId="0" xfId="0" applyNumberFormat="1" applyAlignment="1">
      <alignment horizontal="center" vertical="center"/>
    </xf>
    <xf numFmtId="0" fontId="0" fillId="13" borderId="0" xfId="0" applyFill="1"/>
    <xf numFmtId="0" fontId="6" fillId="0" borderId="1" xfId="0" quotePrefix="1" applyFont="1" applyBorder="1" applyAlignment="1">
      <alignment horizontal="left" vertical="top" wrapText="1"/>
    </xf>
    <xf numFmtId="49" fontId="14" fillId="16" borderId="2" xfId="0" applyNumberFormat="1" applyFont="1" applyFill="1" applyBorder="1" applyAlignment="1">
      <alignment horizontal="left"/>
    </xf>
    <xf numFmtId="0" fontId="25" fillId="14" borderId="2" xfId="0" applyFont="1" applyFill="1" applyBorder="1" applyAlignment="1">
      <alignment horizontal="left" vertical="top" wrapText="1"/>
    </xf>
    <xf numFmtId="164" fontId="24" fillId="0" borderId="2" xfId="45" applyNumberFormat="1" applyFont="1" applyBorder="1" applyAlignment="1">
      <alignment horizontal="left" vertical="top" wrapText="1"/>
    </xf>
    <xf numFmtId="22" fontId="24" fillId="11" borderId="2" xfId="0" applyNumberFormat="1" applyFont="1" applyFill="1" applyBorder="1"/>
    <xf numFmtId="0" fontId="24" fillId="12" borderId="2" xfId="0" applyFont="1" applyFill="1" applyBorder="1"/>
    <xf numFmtId="0" fontId="24" fillId="11" borderId="2" xfId="0" applyFont="1" applyFill="1" applyBorder="1"/>
    <xf numFmtId="0" fontId="24" fillId="0" borderId="2" xfId="0" applyFont="1" applyBorder="1"/>
    <xf numFmtId="22" fontId="27" fillId="0" borderId="2" xfId="0" applyNumberFormat="1" applyFont="1" applyBorder="1"/>
    <xf numFmtId="0" fontId="27" fillId="0" borderId="2" xfId="0" applyFont="1" applyBorder="1"/>
    <xf numFmtId="22" fontId="24" fillId="0" borderId="2" xfId="0" applyNumberFormat="1" applyFont="1" applyBorder="1"/>
    <xf numFmtId="0" fontId="24" fillId="13" borderId="2" xfId="0" applyFont="1" applyFill="1" applyBorder="1"/>
    <xf numFmtId="0" fontId="0" fillId="0" borderId="0" xfId="0" pivotButton="1"/>
    <xf numFmtId="0" fontId="0" fillId="0" borderId="0" xfId="0" pivotButton="1" applyAlignment="1">
      <alignment wrapText="1"/>
    </xf>
    <xf numFmtId="0" fontId="16" fillId="18" borderId="0" xfId="0" applyFont="1" applyFill="1" applyAlignment="1">
      <alignment horizontal="center" vertical="center"/>
    </xf>
    <xf numFmtId="0" fontId="25" fillId="4" borderId="2" xfId="0" applyFont="1" applyFill="1" applyBorder="1" applyAlignment="1">
      <alignment horizontal="left" vertical="top" wrapText="1"/>
    </xf>
    <xf numFmtId="22" fontId="25" fillId="4" borderId="2" xfId="0" applyNumberFormat="1" applyFont="1" applyFill="1" applyBorder="1" applyAlignment="1">
      <alignment horizontal="left" vertical="top" wrapText="1"/>
    </xf>
    <xf numFmtId="49" fontId="25" fillId="5" borderId="2" xfId="0" applyNumberFormat="1" applyFont="1" applyFill="1" applyBorder="1" applyAlignment="1">
      <alignment horizontal="left" vertical="top" wrapText="1"/>
    </xf>
    <xf numFmtId="0" fontId="25" fillId="5" borderId="2" xfId="0" applyFont="1" applyFill="1" applyBorder="1" applyAlignment="1">
      <alignment horizontal="left" vertical="top" wrapText="1"/>
    </xf>
    <xf numFmtId="0" fontId="25" fillId="6" borderId="2" xfId="0" applyFont="1" applyFill="1" applyBorder="1" applyAlignment="1">
      <alignment horizontal="left" vertical="top" wrapText="1"/>
    </xf>
    <xf numFmtId="0" fontId="25" fillId="8" borderId="2" xfId="0" applyFont="1" applyFill="1" applyBorder="1" applyAlignment="1">
      <alignment horizontal="left" vertical="top" wrapText="1"/>
    </xf>
    <xf numFmtId="0" fontId="25" fillId="9" borderId="2" xfId="0" applyFont="1" applyFill="1" applyBorder="1" applyAlignment="1">
      <alignment horizontal="left" vertical="top" wrapText="1"/>
    </xf>
    <xf numFmtId="14" fontId="25" fillId="9" borderId="2" xfId="0" applyNumberFormat="1" applyFont="1" applyFill="1" applyBorder="1" applyAlignment="1">
      <alignment horizontal="left" vertical="top" wrapText="1"/>
    </xf>
    <xf numFmtId="20" fontId="25" fillId="10" borderId="2" xfId="0" applyNumberFormat="1" applyFont="1" applyFill="1" applyBorder="1" applyAlignment="1">
      <alignment horizontal="left" vertical="top" wrapText="1"/>
    </xf>
    <xf numFmtId="0" fontId="25" fillId="15" borderId="2" xfId="0" applyFont="1" applyFill="1" applyBorder="1" applyAlignment="1">
      <alignment horizontal="left" vertical="top" wrapText="1"/>
    </xf>
    <xf numFmtId="0" fontId="28" fillId="0" borderId="2" xfId="1" applyFont="1" applyBorder="1" applyAlignment="1">
      <alignment horizontal="left" vertical="top" wrapText="1"/>
    </xf>
    <xf numFmtId="14" fontId="24" fillId="0" borderId="2" xfId="0" applyNumberFormat="1" applyFont="1" applyBorder="1" applyAlignment="1">
      <alignment horizontal="left" vertical="top" wrapText="1"/>
    </xf>
    <xf numFmtId="0" fontId="24" fillId="17" borderId="2" xfId="0" applyFont="1" applyFill="1" applyBorder="1" applyAlignment="1">
      <alignment horizontal="left" vertical="top" wrapText="1"/>
    </xf>
    <xf numFmtId="164" fontId="24" fillId="0" borderId="2" xfId="12" applyNumberFormat="1" applyFont="1" applyBorder="1" applyAlignment="1">
      <alignment horizontal="left" vertical="top" wrapText="1"/>
    </xf>
    <xf numFmtId="0" fontId="24" fillId="0" borderId="2" xfId="12" applyFont="1" applyBorder="1" applyAlignment="1">
      <alignment horizontal="left" vertical="top" wrapText="1"/>
    </xf>
    <xf numFmtId="164" fontId="24" fillId="0" borderId="2" xfId="12" applyNumberFormat="1" applyFont="1" applyBorder="1" applyAlignment="1">
      <alignment horizontal="left" vertical="top"/>
    </xf>
    <xf numFmtId="164" fontId="24" fillId="0" borderId="2" xfId="13" applyNumberFormat="1" applyFont="1" applyBorder="1" applyAlignment="1">
      <alignment horizontal="left" vertical="top" wrapText="1"/>
    </xf>
    <xf numFmtId="0" fontId="24" fillId="0" borderId="2" xfId="13" applyFont="1" applyBorder="1" applyAlignment="1">
      <alignment horizontal="left" vertical="top" wrapText="1"/>
    </xf>
    <xf numFmtId="164" fontId="24" fillId="0" borderId="2" xfId="13" applyNumberFormat="1" applyFont="1" applyBorder="1" applyAlignment="1">
      <alignment horizontal="left" vertical="top"/>
    </xf>
    <xf numFmtId="164" fontId="24" fillId="0" borderId="2" xfId="18" applyNumberFormat="1" applyFont="1" applyBorder="1" applyAlignment="1">
      <alignment horizontal="left" vertical="top" wrapText="1"/>
    </xf>
    <xf numFmtId="0" fontId="24" fillId="0" borderId="2" xfId="18" applyFont="1" applyBorder="1" applyAlignment="1">
      <alignment horizontal="left" vertical="top" wrapText="1"/>
    </xf>
    <xf numFmtId="164" fontId="24" fillId="0" borderId="2" xfId="18" applyNumberFormat="1" applyFont="1" applyBorder="1" applyAlignment="1">
      <alignment horizontal="left" vertical="top"/>
    </xf>
    <xf numFmtId="22" fontId="24" fillId="14" borderId="2" xfId="0" applyNumberFormat="1" applyFont="1" applyFill="1" applyBorder="1" applyAlignment="1">
      <alignment horizontal="left" vertical="top" wrapText="1"/>
    </xf>
    <xf numFmtId="49" fontId="24" fillId="14" borderId="2" xfId="0" applyNumberFormat="1" applyFont="1" applyFill="1" applyBorder="1" applyAlignment="1">
      <alignment horizontal="left" vertical="top" wrapText="1"/>
    </xf>
    <xf numFmtId="14" fontId="24" fillId="14" borderId="2" xfId="0" applyNumberFormat="1" applyFont="1" applyFill="1" applyBorder="1" applyAlignment="1">
      <alignment horizontal="left" vertical="top" wrapText="1"/>
    </xf>
    <xf numFmtId="164" fontId="24" fillId="0" borderId="2" xfId="19" applyNumberFormat="1" applyFont="1" applyBorder="1" applyAlignment="1">
      <alignment horizontal="left" vertical="top" wrapText="1"/>
    </xf>
    <xf numFmtId="0" fontId="24" fillId="0" borderId="2" xfId="19" applyFont="1" applyBorder="1" applyAlignment="1">
      <alignment horizontal="left" vertical="top" wrapText="1"/>
    </xf>
    <xf numFmtId="164" fontId="24" fillId="0" borderId="2" xfId="19" applyNumberFormat="1" applyFont="1" applyBorder="1" applyAlignment="1">
      <alignment horizontal="left" vertical="top"/>
    </xf>
    <xf numFmtId="164" fontId="24" fillId="0" borderId="2" xfId="20" applyNumberFormat="1" applyFont="1" applyBorder="1" applyAlignment="1">
      <alignment horizontal="left" vertical="top" wrapText="1"/>
    </xf>
    <xf numFmtId="0" fontId="24" fillId="0" borderId="2" xfId="20" applyFont="1" applyBorder="1" applyAlignment="1">
      <alignment horizontal="left" vertical="top" wrapText="1"/>
    </xf>
    <xf numFmtId="164" fontId="24" fillId="0" borderId="2" xfId="21" applyNumberFormat="1" applyFont="1" applyBorder="1" applyAlignment="1">
      <alignment horizontal="left" vertical="top" wrapText="1"/>
    </xf>
    <xf numFmtId="0" fontId="24" fillId="0" borderId="2" xfId="21" applyFont="1" applyBorder="1" applyAlignment="1">
      <alignment horizontal="left" vertical="top" wrapText="1"/>
    </xf>
    <xf numFmtId="164" fontId="24" fillId="0" borderId="2" xfId="21" applyNumberFormat="1" applyFont="1" applyBorder="1" applyAlignment="1">
      <alignment horizontal="left" vertical="top"/>
    </xf>
    <xf numFmtId="164" fontId="24" fillId="0" borderId="2" xfId="22" applyNumberFormat="1" applyFont="1" applyBorder="1" applyAlignment="1">
      <alignment horizontal="left" vertical="top" wrapText="1"/>
    </xf>
    <xf numFmtId="0" fontId="24" fillId="0" borderId="2" xfId="22" applyFont="1" applyBorder="1" applyAlignment="1">
      <alignment horizontal="left" vertical="top" wrapText="1"/>
    </xf>
    <xf numFmtId="164" fontId="24" fillId="0" borderId="2" xfId="22" applyNumberFormat="1" applyFont="1" applyBorder="1" applyAlignment="1">
      <alignment horizontal="left" vertical="top"/>
    </xf>
    <xf numFmtId="0" fontId="24" fillId="14" borderId="2" xfId="22" applyFont="1" applyFill="1" applyBorder="1" applyAlignment="1">
      <alignment horizontal="left" vertical="top" wrapText="1"/>
    </xf>
    <xf numFmtId="164" fontId="24" fillId="0" borderId="2" xfId="23" applyNumberFormat="1" applyFont="1" applyBorder="1" applyAlignment="1">
      <alignment horizontal="left" vertical="top" wrapText="1"/>
    </xf>
    <xf numFmtId="0" fontId="24" fillId="0" borderId="2" xfId="23" applyFont="1" applyBorder="1" applyAlignment="1">
      <alignment horizontal="left" vertical="top" wrapText="1"/>
    </xf>
    <xf numFmtId="164" fontId="24" fillId="0" borderId="2" xfId="23" applyNumberFormat="1" applyFont="1" applyBorder="1" applyAlignment="1">
      <alignment horizontal="left" vertical="top"/>
    </xf>
    <xf numFmtId="49" fontId="24" fillId="0" borderId="2" xfId="0" quotePrefix="1" applyNumberFormat="1" applyFont="1" applyBorder="1" applyAlignment="1">
      <alignment horizontal="left" vertical="top" wrapText="1"/>
    </xf>
    <xf numFmtId="164" fontId="24" fillId="0" borderId="2" xfId="24" applyNumberFormat="1" applyFont="1" applyBorder="1" applyAlignment="1">
      <alignment horizontal="left" vertical="top" wrapText="1"/>
    </xf>
    <xf numFmtId="0" fontId="24" fillId="0" borderId="2" xfId="24" applyFont="1" applyBorder="1" applyAlignment="1">
      <alignment horizontal="left" vertical="top" wrapText="1"/>
    </xf>
    <xf numFmtId="164" fontId="24" fillId="0" borderId="2" xfId="24" applyNumberFormat="1" applyFont="1" applyBorder="1" applyAlignment="1">
      <alignment horizontal="left" vertical="top"/>
    </xf>
    <xf numFmtId="164" fontId="24" fillId="14" borderId="2" xfId="24" applyNumberFormat="1" applyFont="1" applyFill="1" applyBorder="1" applyAlignment="1">
      <alignment horizontal="left" vertical="top" wrapText="1"/>
    </xf>
    <xf numFmtId="0" fontId="24" fillId="14" borderId="2" xfId="24" applyFont="1" applyFill="1" applyBorder="1" applyAlignment="1">
      <alignment horizontal="left" vertical="top" wrapText="1"/>
    </xf>
    <xf numFmtId="164" fontId="24" fillId="14" borderId="2" xfId="24" applyNumberFormat="1" applyFont="1" applyFill="1" applyBorder="1" applyAlignment="1">
      <alignment horizontal="left" vertical="top"/>
    </xf>
    <xf numFmtId="164" fontId="24" fillId="0" borderId="2" xfId="25" applyNumberFormat="1" applyFont="1" applyBorder="1" applyAlignment="1">
      <alignment horizontal="left" vertical="top" wrapText="1"/>
    </xf>
    <xf numFmtId="0" fontId="24" fillId="0" borderId="2" xfId="25" applyFont="1" applyBorder="1" applyAlignment="1">
      <alignment horizontal="left" vertical="top" wrapText="1"/>
    </xf>
    <xf numFmtId="164" fontId="24" fillId="0" borderId="2" xfId="25" applyNumberFormat="1" applyFont="1" applyBorder="1" applyAlignment="1">
      <alignment horizontal="left" vertical="top"/>
    </xf>
    <xf numFmtId="164" fontId="24" fillId="0" borderId="2" xfId="26" applyNumberFormat="1" applyFont="1" applyBorder="1" applyAlignment="1">
      <alignment horizontal="left" vertical="top" wrapText="1"/>
    </xf>
    <xf numFmtId="22" fontId="30" fillId="0" borderId="2" xfId="0" applyNumberFormat="1" applyFont="1" applyBorder="1" applyAlignment="1">
      <alignment horizontal="left" vertical="top"/>
    </xf>
    <xf numFmtId="22" fontId="31" fillId="0" borderId="2" xfId="0" applyNumberFormat="1" applyFont="1" applyBorder="1" applyAlignment="1">
      <alignment horizontal="left" vertical="top"/>
    </xf>
    <xf numFmtId="0" fontId="31" fillId="0" borderId="2" xfId="0" applyFont="1" applyBorder="1" applyAlignment="1">
      <alignment horizontal="left" vertical="top" wrapText="1"/>
    </xf>
    <xf numFmtId="164" fontId="30" fillId="0" borderId="2" xfId="0" applyNumberFormat="1" applyFont="1" applyBorder="1" applyAlignment="1">
      <alignment horizontal="left" vertical="top" wrapText="1"/>
    </xf>
    <xf numFmtId="0" fontId="30" fillId="0" borderId="2" xfId="0" applyFont="1" applyBorder="1" applyAlignment="1">
      <alignment horizontal="left" vertical="top" wrapText="1"/>
    </xf>
    <xf numFmtId="22" fontId="32" fillId="0" borderId="2" xfId="0" applyNumberFormat="1" applyFont="1" applyBorder="1" applyAlignment="1">
      <alignment horizontal="left" vertical="top"/>
    </xf>
    <xf numFmtId="22" fontId="8" fillId="0" borderId="2" xfId="0" applyNumberFormat="1" applyFont="1" applyBorder="1"/>
    <xf numFmtId="0" fontId="24" fillId="0" borderId="2" xfId="0" applyFont="1" applyBorder="1" applyAlignment="1">
      <alignment horizontal="left" vertical="top" wrapText="1"/>
    </xf>
    <xf numFmtId="164" fontId="24" fillId="0" borderId="2" xfId="0" applyNumberFormat="1" applyFont="1" applyBorder="1" applyAlignment="1">
      <alignment horizontal="left" vertical="top" wrapText="1"/>
    </xf>
    <xf numFmtId="49" fontId="24" fillId="0" borderId="2" xfId="0" applyNumberFormat="1" applyFont="1" applyBorder="1" applyAlignment="1">
      <alignment horizontal="left" vertical="top" wrapText="1"/>
    </xf>
    <xf numFmtId="0" fontId="25" fillId="0" borderId="2" xfId="0" applyFont="1" applyBorder="1" applyAlignment="1">
      <alignment horizontal="left" vertical="top" wrapText="1"/>
    </xf>
    <xf numFmtId="164" fontId="24" fillId="0" borderId="2" xfId="0" applyNumberFormat="1" applyFont="1" applyBorder="1" applyAlignment="1">
      <alignment horizontal="left" vertical="top"/>
    </xf>
    <xf numFmtId="0" fontId="24" fillId="14" borderId="2" xfId="0" applyFont="1" applyFill="1" applyBorder="1" applyAlignment="1">
      <alignment horizontal="left" vertical="top" wrapText="1"/>
    </xf>
    <xf numFmtId="16" fontId="24" fillId="0" borderId="2" xfId="0" applyNumberFormat="1" applyFont="1" applyBorder="1" applyAlignment="1">
      <alignment horizontal="left" vertical="top" wrapText="1"/>
    </xf>
    <xf numFmtId="22" fontId="24" fillId="0" borderId="2" xfId="0" applyNumberFormat="1" applyFont="1" applyBorder="1" applyAlignment="1">
      <alignment horizontal="left" vertical="top" wrapText="1"/>
    </xf>
    <xf numFmtId="22" fontId="24" fillId="0" borderId="2" xfId="0" applyNumberFormat="1" applyFont="1" applyBorder="1" applyAlignment="1">
      <alignment horizontal="left" vertical="top"/>
    </xf>
    <xf numFmtId="164" fontId="24" fillId="14" borderId="2" xfId="0" applyNumberFormat="1" applyFont="1" applyFill="1" applyBorder="1" applyAlignment="1">
      <alignment horizontal="left" vertical="top" wrapText="1"/>
    </xf>
    <xf numFmtId="49" fontId="12" fillId="16" borderId="2" xfId="0" applyNumberFormat="1" applyFont="1" applyFill="1" applyBorder="1" applyAlignment="1">
      <alignment horizontal="center"/>
    </xf>
    <xf numFmtId="49" fontId="12" fillId="16" borderId="0" xfId="0" applyNumberFormat="1" applyFont="1" applyFill="1" applyAlignment="1">
      <alignment horizontal="center"/>
    </xf>
    <xf numFmtId="0" fontId="8" fillId="13" borderId="2" xfId="0" applyFont="1" applyFill="1" applyBorder="1" applyAlignment="1">
      <alignment horizontal="left" vertical="top"/>
    </xf>
    <xf numFmtId="0" fontId="9" fillId="0" borderId="2" xfId="0" applyFont="1" applyBorder="1" applyAlignment="1">
      <alignment horizontal="left" vertical="top" wrapText="1"/>
    </xf>
    <xf numFmtId="0" fontId="8" fillId="17" borderId="2" xfId="0" applyFont="1" applyFill="1" applyBorder="1" applyAlignment="1">
      <alignment horizontal="left" vertical="top" wrapText="1"/>
    </xf>
  </cellXfs>
  <cellStyles count="47">
    <cellStyle name="Hyperlink" xfId="1" builtinId="8"/>
    <cellStyle name="Hyperlink 2" xfId="46" xr:uid="{D7941BD8-1D4A-468B-A371-C1CCEEFCB126}"/>
    <cellStyle name="Normal" xfId="0" builtinId="0"/>
    <cellStyle name="Normal 10" xfId="2" xr:uid="{00000000-0005-0000-0000-000031000000}"/>
    <cellStyle name="Normal 10 2" xfId="3" xr:uid="{00000000-0005-0000-0000-000032000000}"/>
    <cellStyle name="Normal 11" xfId="4" xr:uid="{00000000-0005-0000-0000-000033000000}"/>
    <cellStyle name="Normal 11 2" xfId="5" xr:uid="{00000000-0005-0000-0000-000034000000}"/>
    <cellStyle name="Normal 12" xfId="6" xr:uid="{00000000-0005-0000-0000-000035000000}"/>
    <cellStyle name="Normal 13" xfId="7" xr:uid="{00000000-0005-0000-0000-000036000000}"/>
    <cellStyle name="Normal 14" xfId="8" xr:uid="{00000000-0005-0000-0000-000037000000}"/>
    <cellStyle name="Normal 15" xfId="9" xr:uid="{00000000-0005-0000-0000-000038000000}"/>
    <cellStyle name="Normal 16" xfId="10" xr:uid="{00000000-0005-0000-0000-000039000000}"/>
    <cellStyle name="Normal 17" xfId="11" xr:uid="{00000000-0005-0000-0000-00003A000000}"/>
    <cellStyle name="Normal 18" xfId="12" xr:uid="{00000000-0005-0000-0000-00003B000000}"/>
    <cellStyle name="Normal 19" xfId="13" xr:uid="{00000000-0005-0000-0000-00003C000000}"/>
    <cellStyle name="Normal 2" xfId="14" xr:uid="{00000000-0005-0000-0000-00003D000000}"/>
    <cellStyle name="Normal 2 2" xfId="15" xr:uid="{00000000-0005-0000-0000-00003E000000}"/>
    <cellStyle name="Normal 2 2 2" xfId="16" xr:uid="{00000000-0005-0000-0000-00003F000000}"/>
    <cellStyle name="Normal 2 3" xfId="17" xr:uid="{00000000-0005-0000-0000-000040000000}"/>
    <cellStyle name="Normal 20" xfId="18" xr:uid="{00000000-0005-0000-0000-000041000000}"/>
    <cellStyle name="Normal 21" xfId="19" xr:uid="{00000000-0005-0000-0000-000042000000}"/>
    <cellStyle name="Normal 22" xfId="20" xr:uid="{00000000-0005-0000-0000-000043000000}"/>
    <cellStyle name="Normal 23" xfId="21" xr:uid="{00000000-0005-0000-0000-000044000000}"/>
    <cellStyle name="Normal 24" xfId="22" xr:uid="{00000000-0005-0000-0000-000045000000}"/>
    <cellStyle name="Normal 25" xfId="23" xr:uid="{00000000-0005-0000-0000-000046000000}"/>
    <cellStyle name="Normal 26" xfId="24" xr:uid="{00000000-0005-0000-0000-000047000000}"/>
    <cellStyle name="Normal 27" xfId="25" xr:uid="{00000000-0005-0000-0000-000048000000}"/>
    <cellStyle name="Normal 28" xfId="26" xr:uid="{00000000-0005-0000-0000-000049000000}"/>
    <cellStyle name="Normal 29" xfId="45" xr:uid="{105716B6-1F7D-4BF2-A4AF-07DFF5ED3C99}"/>
    <cellStyle name="Normal 3" xfId="27" xr:uid="{00000000-0005-0000-0000-00004A000000}"/>
    <cellStyle name="Normal 3 2" xfId="28" xr:uid="{00000000-0005-0000-0000-00004B000000}"/>
    <cellStyle name="Normal 3 2 2" xfId="29" xr:uid="{00000000-0005-0000-0000-00004C000000}"/>
    <cellStyle name="Normal 3 3" xfId="30" xr:uid="{00000000-0005-0000-0000-00004D000000}"/>
    <cellStyle name="Normal 4" xfId="31" xr:uid="{00000000-0005-0000-0000-00004E000000}"/>
    <cellStyle name="Normal 4 2" xfId="32" xr:uid="{00000000-0005-0000-0000-00004F000000}"/>
    <cellStyle name="Normal 4 2 2" xfId="33" xr:uid="{00000000-0005-0000-0000-000050000000}"/>
    <cellStyle name="Normal 4 3" xfId="34" xr:uid="{00000000-0005-0000-0000-000051000000}"/>
    <cellStyle name="Normal 5" xfId="35" xr:uid="{00000000-0005-0000-0000-000052000000}"/>
    <cellStyle name="Normal 5 2" xfId="36" xr:uid="{00000000-0005-0000-0000-000053000000}"/>
    <cellStyle name="Normal 6" xfId="37" xr:uid="{00000000-0005-0000-0000-000054000000}"/>
    <cellStyle name="Normal 6 2" xfId="38" xr:uid="{00000000-0005-0000-0000-000055000000}"/>
    <cellStyle name="Normal 7" xfId="39" xr:uid="{00000000-0005-0000-0000-000056000000}"/>
    <cellStyle name="Normal 7 2" xfId="40" xr:uid="{00000000-0005-0000-0000-000057000000}"/>
    <cellStyle name="Normal 8" xfId="41" xr:uid="{00000000-0005-0000-0000-000058000000}"/>
    <cellStyle name="Normal 8 2" xfId="42" xr:uid="{00000000-0005-0000-0000-000059000000}"/>
    <cellStyle name="Normal 9" xfId="43" xr:uid="{00000000-0005-0000-0000-00005A000000}"/>
    <cellStyle name="Normal 9 2" xfId="44" xr:uid="{00000000-0005-0000-0000-00005B000000}"/>
  </cellStyles>
  <dxfs count="51">
    <dxf>
      <font>
        <b/>
        <i val="0"/>
      </font>
      <fill>
        <patternFill patternType="solid">
          <bgColor rgb="FFFFC000"/>
        </patternFill>
      </fill>
    </dxf>
    <dxf>
      <font>
        <b/>
        <i val="0"/>
      </font>
      <fill>
        <patternFill patternType="solid">
          <bgColor theme="9" tint="-0.24994659260841701"/>
        </patternFill>
      </fill>
    </dxf>
    <dxf>
      <font>
        <b/>
        <color theme="1"/>
      </font>
      <fill>
        <patternFill patternType="solid">
          <fgColor rgb="FFFFC000"/>
          <bgColor rgb="FFFFC000"/>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rgb="FFFFC000"/>
        </patternFill>
      </fill>
    </dxf>
    <dxf>
      <font>
        <b/>
        <i val="0"/>
      </font>
      <fill>
        <patternFill patternType="solid">
          <bgColor theme="9" tint="-0.24994659260841701"/>
        </patternFill>
      </fill>
    </dxf>
    <dxf>
      <font>
        <b/>
        <i val="0"/>
      </font>
      <fill>
        <patternFill patternType="solid">
          <bgColor theme="9" tint="-0.24994659260841701"/>
        </patternFill>
      </fill>
    </dxf>
    <dxf>
      <font>
        <b/>
        <i val="0"/>
      </font>
      <fill>
        <patternFill patternType="solid">
          <bgColor rgb="FFFFC000"/>
        </patternFill>
      </fill>
    </dxf>
    <dxf>
      <font>
        <b/>
        <i val="0"/>
      </font>
      <fill>
        <patternFill patternType="solid">
          <bgColor rgb="FFFFC000"/>
        </patternFill>
      </fill>
    </dxf>
    <dxf>
      <font>
        <b/>
        <i val="0"/>
      </font>
      <fill>
        <patternFill patternType="solid">
          <bgColor theme="9" tint="-0.24994659260841701"/>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5"/>
        </patternFill>
      </fill>
    </dxf>
    <dxf>
      <fill>
        <patternFill patternType="solid">
          <bgColor theme="5"/>
        </patternFill>
      </fill>
    </dxf>
    <dxf>
      <font>
        <color rgb="FFFF0000"/>
      </font>
    </dxf>
    <dxf>
      <fill>
        <patternFill patternType="solid">
          <bgColor rgb="FFFFFF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4.716096296295" createdVersion="8" refreshedVersion="8" minRefreshableVersion="3" recordCount="967" xr:uid="{F71E1A8B-44D2-4E56-8D92-DD9851ABF5C0}">
  <cacheSource type="worksheet">
    <worksheetSource ref="A1:R968" sheet="CALLCANTER LOG"/>
  </cacheSource>
  <cacheFields count="18">
    <cacheField name="Tiket ID" numFmtId="0">
      <sharedItems/>
    </cacheField>
    <cacheField name="Tiket Date" numFmtId="0">
      <sharedItems containsSemiMixedTypes="0" containsNonDate="0" containsDate="1" containsString="0" minDate="2026-01-01T10:10:00" maxDate="2026-04-22T10:53:00"/>
    </cacheField>
    <cacheField name="Channel" numFmtId="0">
      <sharedItems/>
    </cacheField>
    <cacheField name="Sender" numFmtId="0">
      <sharedItems/>
    </cacheField>
    <cacheField name="Nama Merc" numFmtId="0">
      <sharedItems/>
    </cacheField>
    <cacheField name="Category" numFmtId="0">
      <sharedItems/>
    </cacheField>
    <cacheField name="Produk" numFmtId="0">
      <sharedItems/>
    </cacheField>
    <cacheField name="Detail0" numFmtId="0">
      <sharedItems count="6">
        <s v="Request REFUND TRANSAKSI"/>
        <s v="Pengajuan Pre-Arb"/>
        <s v="Surat FRAUD"/>
        <s v="Request STATUS TRANSAKSI"/>
        <s v="Request BUKTI TRANSAKSI VOA"/>
        <s v="Request CHG LIMIT / OPEN BIN"/>
      </sharedItems>
    </cacheField>
    <cacheField name="Detail1" numFmtId="0">
      <sharedItems count="12">
        <s v="(Product tidak diterima dan Cust request refund)"/>
        <s v="(Pengajuan Pre-Arb oleh Bank)"/>
        <s v="(Dana Terpotong, Produk Tdk Diterima)"/>
        <s v="(PRODUK diterima, dashboard belum update)"/>
        <s v="(PRODUK Tdk Diterima, namun ada bukti TRANSFER)"/>
        <s v="(Customer sanggah transaksi CC atas penerbitan Visa)"/>
        <s v="-"/>
        <s v="(PRODUK Tdk Diterima Customer, _x000a_SWITCHING &amp; ACQ telah credit dana)"/>
        <s v="(Customer request payment receipt)"/>
        <s v="(Permohonan kenaikan limit kartu kredit dr merchant atau pembukaan BIN untuk mendukung transaksi)"/>
        <s v="(Customer request refund transaksi double)"/>
        <s v="(Customer sanggah transaksi CC)" u="1"/>
      </sharedItems>
    </cacheField>
    <cacheField name="Detail2" numFmtId="0">
      <sharedItems count="931" longText="1">
        <s v="Request REFUND TRANSAKSI_x000a_(Product tidak diterima dan Cust request refund)_x000a__x000a_Refund 31 Desember 2025_x000a__x000a_JP-016-251231-173731_x0009_31-12-2025_x0009_17:37:32_x0009_10000_x000a_JP-015-251231-172428_x0009_31-12-2025_x0009_17:24:29_x0009_37800_x000a_JP-020-251231-171051_x0009_31-12-2025_x0009_17:10:52_x0009_15500_x000a_JP-020-251231-155559_x0009_31-12-2025_x0009_15:56:00_x0009_11000_x000a_JP-019-251231-144407_x0009_31-12-2025_x0009_14:44:08_x0009_8000_x000a_JP-016-251231-143340_x0009_31-12-2025_x0009_14:33:41_x0009_10000_x000a_JP-001-251231-134623_x0009_31-12-2025_x0009_13:46:24_x0009_12412_x000a_JP-016-251231-134414_x0009_31-12-2025_x0009_13:44:15_x0009_6000_x000a_JP-019-251231-133659_x0009_31-12-2025_x0009_13:37:01_x0009_15500_x000a_JP-006-251231-132636_x0009_31-12-2025_x0009_13:26:38_x0009_10000_x000a_JP-016-251231-132503_x0009_31-12-2025_x0009_13:25:05_x0009_12000_x000a_JP-016-251231-131605_x0009_31-12-2025_x0009_13:16:10_x0009_10000_x000a_JP-016-251231-120607_x0009_31-12-2025_x0009_12:06:08_x0009_10000_x000a_JP-016-251231-113526_x0009_31-12-2025_x0009_11:35:27_x0009_12000_x000a_JP-015-251231-111037_x0009_31-12-2025_x0009_11:10:40_x0009_16000_x000a_JP-016-251231-104045_x0009_31-12-2025_x0009_10:40:46_x0009_10000_x000a_JP-016-251231-100112_x0009_31-12-2025_x0009_10:01:13_x0009_10000_x000a_JP-007-251231-072952_x0009_31-12-2025_x0009_07:29:53_x0009_13000_x000a_JP-001-251231-065904_x0009_31-12-2025_x0009_06:59:05_x0009_12412"/>
        <s v="Request REFUND TRANSAKSI_x000a_(Product tidak diterima dan Cust request refund)_x000a__x000a_Refund 1 Jan 2026_x000a__x000a_JP-006-260101-172845_x0009_01-01-2026_x0009_17:28:47_x0009_37800_x000a_JP-012-260101-165209_x0009_01-01-2026_x0009_16:52:10_x0009_13000_x000a_JP-006-260101-163257_x0009_01-01-2026_x0009_16:32:58_x0009_10000_x000a_JP-015-260101-142513_x0009_01-01-2026_x0009_14:25:14_x0009_12000_x000a_JP-020-260101-141652_x0009_01-01-2026_x0009_14:16:53_x0009_16000_x000a_JP-016-260101-133257_x0009_01-01-2026_x0009_13:32:59_x0009_10000_x000a_JP-016-260101-132403_x0009_01-01-2026_x0009_13:24:05_x0009_15500_x000a_JP-019-260101-132335_x0009_01-01-2026_x0009_13:23:36_x0009_15500_x000a_JP-016-260101-122743_x0009_01-01-2026_x0009_12:27:47_x0009_11500_x000a_JP-016-260101-122501_x0009_01-01-2026_x0009_12:25:02_x0009_11500_x000a_JP-015-260101-121106_x0009_01-01-2026_x0009_12:11:08_x0009_37800_x000a_JP-020-260101-120512_x0009_01-01-2026_x0009_12:05:13_x0009_11000_x000a_JP-006-260101-115142_x0009_01-01-2026_x0009_11:51:44_x0009_15048_x000a_JP-016-260101-114807_x0009_01-01-2026_x0009_11:48:09_x0009_11500_x000a_JP-016-260101-104318_x0009_01-01-2026_x0009_10:43:19_x0009_10000_x000a_JP-016-260101-104104_x0009_01-01-2026_x0009_10:41:05_x0009_10000_x000a_JP-016-260101-103047_x0009_01-01-2026_x0009_10:30:49_x0009_10000_x000a_JP-016-260101-102558_x0009_01-01-2026_x0009_10:25:59_x0009_10000_x000a_JP-016-260101-102558_x0009_01-01-2026_x0009_10:25:59_x0009_10000_x000a_JP-016-260101-102558_x0009_01-01-2026_x0009_10:25:59_x0009_10000_x000a_JP-016-260101-102558_x0009_01-01-2026_x0009_10:25:59_x0009_10000_x000a_JP-006-260101-100705_x0009_01-01-2026_x0009_10:07:06_x0009_10000_x000a_JP-018-260101-090212_x0009_01-01-2026_x0009_09:02:17_x0009_4867_x000a_JP-015-260101-082134_x0009_01-01-2026_x0009_08:21:35_x0009_12000_x000a_JP-016-260101-081058_x0009_01-01-2026_x0009_08:10:59_x0009_10000_x000a_JP-006-260101-064935_x0009_01-01-2026_x0009_06:49:36_x0009_11000_x000a_JP-006-260101-064744_x0009_01-01-2026_x0009_06:47:45_x0009_18010"/>
        <s v="Request BUKTI TRANSAKSI VOA dari BANK_x000a_(Pengajuan Pre-Arb oleh Bank)_x000a__x000a_KONFIRMASI PRE ARBITRASI Prismalink*IND VISAARR 02/01/2025 55 TRX"/>
        <s v="Surat FRAUD dari BANK_x000a_(Dana Terpotong, Produk Tdk Diterima)_x000a__x000a_[Ode9de2b] Indikasi Penipuan: BAYAR2.COM/02012026/01_x000a__x000a_PT TEKNOLOGI AWAN CERAH_x000a_7900121700085680_x000a_10,111,067"/>
        <s v="Surat FRAUD dari BANK_x000a_(Dana Terpotong, Produk Tdk Diterima)_x000a__x000a_kasus Penipuan_x000a__x000a__x000a_PT Daya Net Gemilang_x000a_7900125000067412_x000a_2.000.000_x000a__x000a_7900125000055150_x000a_2,900,000"/>
        <s v="Surat FRAUD dari BANK_x000a_(Dana Terpotong, Produk Tdk Diterima)_x000a__x000a_Deposit ke Exness aditya mahardika_x000a__x000a_PT Daya Net Gemilang_x000a_4041910125029121_x000a_1000000"/>
        <s v="Surat FRAUD dari BANK_x000a_(Dana Terpotong, Produk Tdk Diterima)_x000a__x000a_Laporan Penipuan Online – Permohonan Hold Settlement Merchant_x000a__x000a_PT Kreasi Kode Kreatif_x000a_7900119200346552_x000a_1.700.000"/>
        <s v="Request REFUND TRANSAKSI_x000a_(Product tidak diterima dan Cust request refund)_x000a__x000a_Refund 2,3,4 Jan 2026_x000a__x000a_JP-017-260104-165717_x0009_04-01-2026_x0009_16:57:18_x0009_33600_x000a_JP-017-260104-165305_x0009_04-01-2026_x0009_16:53:06_x0009_33600_x000a_JP-017-260104-164822_x0009_04-01-2026_x0009_16:48:23_x0009_33600_x000a_JP-017-260104-161143_x0009_04-01-2026_x0009_16:11:44_x0009_9500_x000a_JP-017-260104-142219_x0009_04-01-2026_x0009_14:22:20_x0009_12412_x000a_JP-015-260104-142041_x0009_04-01-2026_x0009_14:20:42_x0009_10000_x000a_JP-015-260104-141354_x0009_04-01-2026_x0009_14:13:55_x0009_10000_x000a_JP-020-260104-140634_x0009_04-01-2026_x0009_14:06:35_x0009_11000_x000a_JP-015-260104-114612_x0009_04-01-2026_x0009_11:46:13_x0009_10000_x000a_JP-015-260104-110458_x0009_04-01-2026_x0009_11:04:58_x0009_16000_x000a_JP-015-260104-082703_x0009_04-01-2026_x0009_08:27:04_x0009_12000_x000a_JP-015-260104-082205_x0009_04-01-2026_x0009_08:22:06_x0009_10000_x000a_JP-018-260103-210053_x0009_03-01-2026_x0009_21:00:54_x0009_12172_x000a_JP-018-260103-183919_x0009_03-01-2026_x0009_18:39:35_x0009_9500_x000a_JP-004-260103-180022_x0009_03-01-2026_x0009_18:00:23_x0009_33600_x000a_JP-020-260103-153934_x0009_03-01-2026_x0009_15:39:37_x0009_37800_x000a_JP-015-260103-134419_x0009_03-01-2026_x0009_13:44:20_x0009_10000_x000a_JP-020-260103-133738_x0009_03-01-2026_x0009_13:37:39_x0009_11000_x000a_JP-015-260103-133318_x0009_03-01-2026_x0009_13:33:20_x0009_10000_x000a_JP-015-260103-130741_x0009_03-01-2026_x0009_13:07:44_x0009_10000_x000a_JP-015-260103-124540_x0009_03-01-2026_x0009_12:45:41_x0009_10000_x000a_JP-015-260103-114211_x0009_03-01-2026_x0009_11:42:12_x0009_11000_x000a_JP-006-260103-102424_x0009_03-01-2026_x0009_10:24:25_x0009_37800_x000a_JP-001-260103-084626_x0009_03-01-2026_x0009_08:46:27_x0009_4392_x000a_JP-004-260102-220411_x0009_02-01-2026_x0009_22:04:12_x0009_8960_x000a_JP-004-260102-220204_x0009_02-01-2026_x0009_22:02:05_x0009_8960_x000a_JP-002-260102-204601_x0009_02-01-2026_x0009_20:46:02_x0009_11360_x000a_JP-015-260102-170832_x0009_02-01-2026_x0009_17:08:33_x0009_37800_x000a_JP-020-260102-135452_x0009_02-01-2026_x0009_13:54:53_x0009_8000_x000a_JP-020-260102-132426_x0009_02-01-2026_x0009_13:24:27_x0009_11000_x000a_JP-018-260102-112812_x0009_02-01-2026_x0009_11:28:14_x0009_4867_x000a_JP-019-260102-112534_x0009_02-01-2026_x0009_11:25:35_x0009_37800_x000a_JP-006-260102-101618_x0009_02-01-2026_x0009_10:16:20_x0009_10000_x000a_JP-019-260102-095714_x0009_02-01-2026_x0009_09:57:15_x0009_16000_x000a_JP-006-260102-064501_x0009_02-01-2026_x0009_06:45:02_x0009_10000"/>
        <s v="Request STATUS TRANSAKSI dari MERCHANT_x000a_(PRODUK diterima, dashboard belum update)_x000a__x000a_7900121700089282"/>
        <s v="Request STATUS TRANSAKSI dari CUSTOMER_x000a_(PRODUK Tdk Diterima, namun ada bukti TRANSFER)_x000a__x000a_7900121700042282"/>
        <s v="Request STATUS TRANSAKSI dari CUSTOMER_x000a_(PRODUK Tdk Diterima, namun ada bukti TRANSFER)_x000a__x000a_7900125000096078 / NACL1292816421"/>
        <s v="Surat FRAUD dari BANK_x000a_(Dana Terpotong, Produk Tdk Diterima)_x000a__x000a_[Of36a0dc] Indikasi Penipuan: BAYAR2.COM/05012026/02_x000a__x000a_PT Daya Net Gemilang_x000a_7900125000094011_x000a_5600000"/>
        <s v="Request REFUND TRANSAKSI_x000a_(Product tidak diterima dan Cust request refund)_x000a__x000a_Refund 5 Januari 2026_x000a__x000a_JP-004-260105-230435_x0009_05-01-2026_x0009_23:04:36_x0009_8960_x000a_JP-007-260105-203045_x0009_05-01-2026_x0009_20:31:01_x0009_17359_x000a_JP-015-260105-142055_x0009_05-01-2026_x0009_14:20:57_x0009_15000_x000a_JP-020-260105-132930_x0009_05-01-2026_x0009_13:29:34_x0009_11000_x000a_JP-020-260105-132930_x0009_05-01-2026_x0009_13:29:34_x0009_6500_x000a_JP-020-260105-105331_x0009_05-01-2026_x0009_10:53:32_x0009_15500_x000a_JP-015-260105-103359_x0009_05-01-2026_x0009_10:34:00_x0009_10000_x000a_JP-015-260105-101429_x0009_05-01-2026_x0009_10:14:30_x0009_10000"/>
        <s v="Request BUKTI TRANSAKSI VOA dari BANK_x000a_(Customer sanggah transaksi CC atas penerbitan Visa)_x000a__x000a_Receipt/invoice request"/>
        <s v="Surat FRAUD dari BANK_x000a_(Dana Terpotong, Produk Tdk Diterima)_x000a__x000a_[Oda17c90] Indikasi Penipuan: BAYAR2.COM/06012026/03_x000a__x000a_PT Kreasi Kode Kreatif_x000a_7900119200346552_x000a_1.700.000"/>
        <s v="Request BUKTI TRANSAKSI VOA dari BANK_x000a_(Pengajuan Pre-Arb oleh Bank)_x000a__x000a_KONFIRMASI PRE ARBITRASI Prismalink*IND VISAARR 06/01/2025 45 TRX"/>
        <s v="Request BUKTI TRANSAKSI CC dari BANK_x000a_(Customer sanggah transaksi CC)_x000a__x000a_PERMOHONAN BUKTI TRANSAKSI PRISMALINK*IND VISAARR #06/01/2026 26 TRX"/>
        <s v="Request STATUS TRANSAKSI_x000a_(PRODUK Tdk Diterima, namun ada bukti TRANSFER)_x000a__x000a_[O7165261] Rekap : 01/VA ONLINE/BAYAR2.COM_x000a__x000a_PT Daya Net Gemilang_x000a_7900125000072527_x000a_100000"/>
        <s v="Request STATUS TRANSAKSI_x000a_(PRODUK Tdk Diterima, namun ada bukti TRANSFER)_x000a__x000a_[O7b31329] Rekap : 02/VA ONLINE/BAYAR2.COM_x000a__x000a_PT Daya Net Gemilang_x000a_7900125000079527_x000a_1005981_x000a__x000a_7900125000054436_x000a_1000000"/>
        <s v="Request REFUND TRANSAKSI_x000a_(Product tidak diterima dan Cust request refund)_x000a__x000a_Refund 6 Januari 2026_x000a__x000a_JP-004-260106-175959_x0009_06-01-2026_x0009_18:00:00_x0009_7200_x000a_JP-004-260106-175713_x0009_06-01-2026_x0009_17:57:14_x0009_8960_x000a_JP-002-260106-124913_x0009_06-01-2026_x0009_12:49:14_x0009_5000_x000a_JP-012-260106-011901_x0009_06-01-2026_x0009_01:19:04_x0009_13000"/>
        <s v="Request STATUS TRANSAKSI dari CUSTOMER_x000a_(PRODUK Tdk Diterima, namun ada bukti TRANSFER)_x000a__x000a_7900125000022158 / NACL1295123209"/>
        <s v="Request STATUS TRANSAKSI dari CUSTOMER_x000a_(PRODUK Tdk Diterima, namun ada bukti TRANSFER)_x000a__x000a_VA 8903910125008822 / NACL1294223506"/>
        <s v="Request STATUS TRANSAKSI dari MERCHANT_x000a_(PRODUK diterima, dashboard belum update)_x000a__x000a_8919101123059316"/>
        <s v="Request STATUS TRANSAKSI dari MERCHANT_x000a_(PRODUK diterima, dashboard belum update)_x000a__x000a_8919101123089124"/>
        <s v="Request BUKTI TRANSAKSI VOA dari BANK_x000a_(Customer sanggah transaksi CC atas penerbitan Visa)_x000a__x000a_ No card : 516310**2326"/>
        <s v="Request BUKTI TRANSAKSI VOA dari BANK_x000a_(Customer sanggah transaksi CC atas penerbitan Visa)_x000a__x000a_No Card : 413520****3837"/>
        <s v="Request STATUS TRANSAKSI dari CUSTOMER_x000a_(PRODUK Tdk Diterima, namun ada bukti TRANSFER)_x000a__x000a_8903910117909234"/>
        <s v="Request STATUS TRANSAKSI dari CUSTOMER_x000a_(PRODUK Tdk Diterima, namun ada bukti TRANSFER)_x000a__x000a__x000a_2026010540100082784 // 7900121700013197  "/>
        <s v="Request STATUS TRANSAKSI dari CUSTOMER_x000a_(PRODUK Tdk Diterima, namun ada bukti TRANSFER)_x000a__x000a__x000a_7900121700075079"/>
        <s v="Request STATUS TRANSAKSI dari CUSTOMER_x000a_(PRODUK Tdk Diterima, namun ada bukti TRANSFER)_x000a__x000a__x000a_7900125000015050"/>
        <s v="Request STATUS TRANSAKSI dari CUSTOMER_x000a_(PRODUK diterima, dashboard belum update)_x000a__x000a_1551200000023795"/>
        <s v="Request STATUS TRANSAKSI dari MERCHANT_x000a_(PRODUK diterima, dashboard belum update)_x000a__x000a_000433867224 / 0011310122580079190"/>
        <s v="Request STATUS TRANSAKSI dari CUSTOMER_x000a_(PRODUK Tdk Diterima, namun ada bukti TRANSFER)_x000a__x000a_7900125000045973 / NACL1297229095 "/>
        <s v="Request STATUS TRANSAKSI dari MERCHANT_x000a_(PRODUK diterima, dashboard belum update)_x000a__x000a_P82332920 // 000938945282 "/>
        <s v="Request BUKTI TRANSAKSI VOA dari BANK_x000a_(Customer sanggah transaksi CC atas penerbitan Visa)_x000a__x000a_Reff No : 2221225B1442471 "/>
        <s v="Request STATUS TRANSAKSI dari CUSTOMER_x000a_(PRODUK Tdk Diterima, namun ada bukti TRANSFER)_x000a__x000a_NACL1297784024 // 7900125000090145"/>
        <s v="Request BUKTI TRANSAKSI CC dari BANK_x000a_(Customer sanggah transaksi CC)_x000a__x000a_Permohonan bukti transaksi merchant PRISMALINK #07012026 JCB"/>
        <s v="Request BUKTI TRANSAKSI VOA dari BANK_x000a_(Pengajuan Pre-Arb oleh Bank)_x000a__x000a_KONFIRMASI PRE ARBITRASI Prismalink*IND VISAARR 07/01/2025 77 TRX"/>
        <s v="Request STATUS TRANSAKSI dari CUSTOMER_x000a_(PRODUK Tdk Diterima, namun ada bukti TRANSFER)_x000a__x000a_[CONFIDENTIAL] Konfirmasi Transaksi 06 Januari 2026_x000a__x000a_PT Wahana Pembayaran Digital_x000a_2189132110600004  _x000a_50000000"/>
        <s v="Surat FRAUD dari CUSTOMER_x000a_(Dana Terpotong, Produk Tdk Diterima)_x000a__x000a_penipuan // Pengecekan transaksi 7900125000062872 &amp; 7900125000013652_x000a__x000a_PT Daya Net Gemilang_x000a_7900125000062872_x000a_2,470,000_x000a__x000a_7900125000013652_x000a_2,470,000"/>
        <s v="Request REFUND TRANSAKSI_x000a_(Product tidak diterima dan Cust request refund)_x000a__x000a_Refund 7 Januari 2026_x000a__x000a_JP-006-260107-203838_x0009_07-01-2026_x0009_20:38:39_x0009_37800_x000a_JP-013-260107-184842_x0009_07-01-2026_x0009_18:48:44_x0009_10181_x000a_JP-015-260107-123129_x0009_07-01-2026_x0009_12:31:30_x0009_15500"/>
        <s v="Request BUKTI TRANSAKSI VOA dari BANK_x000a_(Customer sanggah transaksi CC atas penerbitan Visa)_x000a__x000a_KONFIRMASI CHARGEBACK Prismalink*IND VISAARR 05/01/2025 145 TRX"/>
        <s v="Request STATUS TRANSAKSI dari CUSTOMER_x000a_(PRODUK Tdk Diterima, namun ada bukti TRANSFER)_x000a__x000a_ 7900125000024763 / NACL1290461809"/>
        <s v="Request STATUS TRANSAKSI dari CUSTOMER_x000a_(PRODUK Tdk Diterima, namun ada bukti TRANSFER)_x000a__x000a_7900125000076543 / NACL1299540221"/>
        <s v="Surat FRAUD dari BANK_x000a_(Dana Terpotong, Produk Tdk Diterima)_x000a__x000a_[Oc2a0f38] Indikasi Penipuan: BAYAR2.COM/08012026/04_x000a__x000a__x000a_PT Daya Net Gemilang_x000a_7900125000051556_x000a_4675000_x0009__x0009__x000a__x000a_PT Envoiz Digital Indonesia_x000a_7900124900021353_x000a_11400000_x0009__x0009_"/>
        <s v="Request REFUND TRANSAKSI_x000a_-_x000a__x000a_email :PT Libersa Official_x000a_"/>
        <s v="Surat FRAUD dari CUSTOMER_x000a_(Dana Terpotong, Produk Tdk Diterima)_x000a__x000a_Pengaduan Penipuan lewat Virtual Account_x000a__x000a_PT TEKNOLOGI AWAN CERAH_x000a__x000a_8903910121751269_x000a_38,500,000_x000a__x000a_8903910121747847_x000a_15,300,000_x000a__x000a_8903910121768539_x000a_15,100,000"/>
        <s v="Request REFUND TRANSAKSI_x000a_(Product tidak diterima dan Cust request refund)_x000a__x000a_Refund 8 Januari 2026_x000a__x000a_JP-016-260108-233536_x0009_08-01-2026_x0009_23:35:37_x0009_10000_x000a_JP-016-260108-233354_x0009_08-01-2026_x0009_23:33:55_x0009_10000_x000a_JP-016-260108-233158_x0009_08-01-2026_x0009_23:31:59_x0009_10000_x000a_JP-016-260108-232915_x0009_08-01-2026_x0009_23:29:16_x0009_10000_x000a_JP-016-260108-225647_x0009_08-01-2026_x0009_22:56:48_x0009_10000_x000a_JP-018-260108-160053_x0009_08-01-2026_x0009_16:01:10_x0009_7200_x000a_JP-007-260108-125727_x0009_08-01-2026_x0009_12:57:28_x0009_16009_x000a_JP-004-260108-121646_x0009_08-01-2026_x0009_12:16:47_x0009_8960_x000a_JP-015-260108-102019_x0009_08-01-2026_x0009_10:20:20_x0009_13000"/>
        <s v="Request STATUS TRANSAKSI dari CUSTOMER_x000a_(PRODUK Tdk Diterima, namun ada bukti TRANSFER)_x000a__x000a_7900125000019609 / NACL1300768749"/>
        <s v="Request STATUS TRANSAKSI dari CUSTOMER_x000a_(PRODUK Tdk Diterima, namun ada bukti TRANSFER)_x000a__x000a_4041913285651763"/>
        <s v="Request STATUS TRANSAKSI dari MERCHANT_x000a_(PRODUK diterima, dashboard belum update)_x000a__x000a_7900121700050778 / 2026010840100007061  "/>
        <s v="Request STATUS TRANSAKSI dari CUSTOMER_x000a_(PRODUK Tdk Diterima, namun ada bukti TRANSFER)_x000a__x000a_4041910124905049"/>
        <s v="Request BUKTI TRANSAKSI VOA dari BANK_x000a_(Pengajuan Pre-Arb oleh Bank)_x000a__x000a_KONFIRMASI PRE ARBITRASI Prismalink*IND VISAARR 09/01/2025 93 TRX"/>
        <s v="Request REFUND TRANSAKSI_x000a_(Product tidak diterima dan Cust request refund)_x000a__x000a_refund 9,10,11 Januari 2026_x000a__x000a_JP-016-260109-132429_x0009_09-01-2026_x0009_13:24:30_x0009_10000_x000a_JP-019-260109-114725_x0009_09-01-2026_x0009_11:47:28_x0009_16000_x000a_JP-006-260109-092514_x0009_09-01-2026_x0009_09:25:16_x0009_37800_x000a_JP-006-260110-200750_x0009_10-01-2026_x0009_20:07:51_x0009_37800_x000a_JP-012-260110-164000_x0009_10-01-2026_x0009_16:40:01_x0009_13000_x000a_JP-016-260110-160514_x0009_10-01-2026_x0009_16:05:22_x0009_10000_x000a_JP-016-260110-154356_x0009_10-01-2026_x0009_15:43:57_x0009_11000_x000a_JP-018-260110-151405_x0009_10-01-2026_x0009_15:14:06_x0009_12412_x000a_JP-016-260110-150631_x0009_10-01-2026_x0009_15:06:34_x0009_11000_x000a_JP-015-260110-125820_x0009_10-01-2026_x0009_12:58:22_x0009_6500_x000a_JP-002-260110-095257_x0009_10-01-2026_x0009_09:52:59_x0009_3500_x000a_JP-017-260110-062433_x0009_10-01-2026_x0009_06:24:34_x0009_10000_x000a_JP-001-260110-033258_x0009_10-01-2026_x0009_03:33:00_x0009_13000_x000a_JP-018-260110-005042_x0009_10-01-2026_x0009_00:50:42_x0009_12412_x000a_JP-018-260111-153536_x0009_11-01-2026_x0009_15:35:37_x0009_13000_x000a_JP-004-260111-151459_x0009_11-01-2026_x0009_15:15:01_x0009_4392_x000a_JP-002-260111-141749_x0009_11-01-2026_x0009_14:17:50_x0009_33600_x000a_JP-020-260111-140432_x0009_11-01-2026_x0009_14:04:33_x0009_10000_x000a_JP-020-260111-134708_x0009_11-01-2026_x0009_13:47:09_x0009_16000_x000a_JP-001-260111-124257_x0009_11-01-2026_x0009_12:42:58_x0009_4392_x000a_JP-018-260111-113813_x0009_11-01-2026_x0009_11:38:14_x0009_13000_x000a_JP-016-260111-111948_x0009_11-01-2026_x0009_11:19:49_x0009_10000_x000a_JP-016-260111-111256_x0009_11-01-2026_x0009_11:13:02_x0009_10000_x000a_JP-019-260111-110440_x0009_11-01-2026_x0009_11:04:41_x0009_15500_x000a_JP-016-260111-105017_x0009_11-01-2026_x0009_10:50:19_x0009_10000_x000a_JP-013-260111-104042_x0009_11-01-2026_x0009_10:40:43_x0009_5000_x000a_JP-016-260111-102610_x0009_11-01-2026_x0009_10:26:11_x0009_10000_x000a_JP-016-260111-102421_x0009_11-01-2026_x0009_10:24:22_x0009_10000_x000a_JP-007-260111-094348_x0009_11-01-2026_x0009_09:43:49_x0009_5000"/>
        <s v="Request STATUS TRANSAKSI dari MERCHANT_x000a_(PRODUK diterima, dashboard belum update)_x000a__x000a_8919101250473731 / NACL1301537126"/>
        <s v="Request STATUS TRANSAKSI dari MERCHANT_x000a_(PRODUK diterima, dashboard belum update)_x000a__x000a_1551200000022067"/>
        <s v="Request STATUS TRANSAKSI dari CUSTOMER_x000a_(PRODUK Tdk Diterima, namun ada bukti TRANSFER)_x000a__x000a_8919101250757539/NACL1299365595"/>
        <s v="Request STATUS TRANSAKSI dari CUSTOMER_x000a_(PRODUK Tdk Diterima, namun ada bukti TRANSFER)_x000a__x000a_2026010840100158545 // 7900119200362316 "/>
        <s v="Request STATUS TRANSAKSI dari CUSTOMER_x000a_(PRODUK Tdk Diterima, namun ada bukti TRANSFER)_x000a__x000a_7900125000051556 / NACL1262144089"/>
        <s v="Request STATUS TRANSAKSI dari CUSTOMER_x000a_(PRODUK Tdk Diterima, namun ada bukti TRANSFER)_x000a__x000a_4041913284568695 "/>
        <s v="Request BUKTI TRANSAKSI VOA dari CUSTOMER_x000a_(Customer sanggah transaksi CC atas penerbitan Visa)_x000a__x000a_Request for eVisa Payment Invoice/Receipt (Payment Receipt No. RA0695025)"/>
        <s v="Surat FRAUD dari BANK_x000a_(Dana Terpotong, Produk Tdk Diterima)_x000a__x000a_[O0dbbd09] Indikasi Penipuan: BAYAR2.COM/12012026/05_x000a__x000a_PT Kreasi Kode Kreatif_x000a_7900119200367117_x000a_3,000,000_x000a__x000a_PT TEKNOLOGI AWAN CERAH_x000a_7900121700035282_x000a_1,900,000_x000a_"/>
        <s v="Request BUKTI TRANSAKSI VOA dari BANK_x000a_(Pengajuan Pre-Arb oleh Bank)_x000a__x000a_KONFIRMASI PRE ARBITRASI Prismalink*IND VISAARR 12/01/2026 68 TRX"/>
        <s v="Request BUKTI TRANSAKSI VOA dari BANK_x000a_(Customer sanggah transaksi CC atas penerbitan Visa)_x000a__x000a_PERMOHONAN BUKTI TRANSAKSI PRISMALINK*IND VISAARR #12/01/2026 74 TRX"/>
        <s v="Request STATUS TRANSAKSI dari CUSTOMER_x000a_(PRODUK Tdk Diterima, namun ada bukti TRANSFER)_x000a__x000a_8903910125008222_x000a_170000"/>
        <s v="Request REFUND TRANSAKSI_x000a_(Product tidak diterima dan Cust request refund)_x000a__x000a_Refund 12 Januari 2025_x000a__x000a_JP-003-260112-211110_x0009_12-01-2026_x0009_21:11:11_x0009_5000"/>
        <s v="Request BUKTI TRANSAKSI VOA dari BANK_x000a_(Customer sanggah transaksi CC atas penerbitan Visa)_x000a__x000a_PERMOHONAN BUKTI TRANSAKSI PRISMALINK*IND VISAARR #13/01/2026 18 TRX"/>
        <s v="Request BUKTI TRANSAKSI VOA dari BANK_x000a_(Customer sanggah transaksi CC atas penerbitan Visa)_x000a__x000a_PERMOHONAN BUKTI TRANSAKSI PRISMALINK*PT CERDIK K #13/01/2026 3 TRX"/>
        <s v="Request BUKTI TRANSAKSI VOA dari BANK_x000a_(Customer sanggah transaksi CC atas penerbitan Visa)_x000a__x000a_duplicate payment"/>
        <s v="Request STATUS TRANSAKSI dari MERCHANT_x000a_(PRODUK diterima, dashboard belum update)_x000a__x000a_4041910120555798  "/>
        <s v="Request STATUS TRANSAKSI dari CUSTOMER_x000a_(PRODUK Tdk Diterima, namun ada bukti TRANSFER)_x000a__x000a_NACL1283307783//7900125000052477 _x000a_NACL1306547356 //7900125000083646 "/>
        <s v="Request STATUS TRANSAKSI dari CUSTOMER_x000a_(PRODUK Tdk Diterima, namun ada bukti TRANSFER)_x000a__x000a_4041910117921267 "/>
        <s v="Surat FRAUD dari BANK_x000a_(Dana Terpotong, Produk Tdk Diterima)_x000a__x000a_[O26fe90f] Indikasi Penipuan: BAYAR2.COM/13012026/06_x000a__x000a_PT TEKNOLOGI AWAN CERAH_x000a_7900121700098941_x000a_3220000"/>
        <s v="Surat FRAUD dari BANK_x000a_(Dana Terpotong, Produk Tdk Diterima)_x000a__x000a_[Of8b44cc] Indikasi Penipuan: BAYAR2.COM/13012026/07_x000a__x000a_PT Daya Net Gemilang_x000a_7900125000033209_x000a_18500000"/>
        <s v="Request BUKTI TRANSAKSI VOA dari BANK_x000a_(Pengajuan Pre-Arb oleh Bank)_x000a__x000a_KONFIRMASI PRE ARBITRASI Prismalink*IND VISAARR 13/01/2025 117 TRX"/>
        <s v="Request BUKTI TRANSAKSI VOA dari BANK_x000a_(Customer sanggah transaksi CC atas penerbitan Visa)_x000a__x000a_Visa upon arrival "/>
        <s v="Request REFUND TRANSAKSI_x000a_(Product tidak diterima dan Cust request refund)_x000a__x000a_Refund 13 Januari 2025_x000a__x000a__x000a_JP-002-260113-152943_x0009_13-01-2026_x0009_15:29:44_x0009_VM RSI DINOYO_x0009_Success_x0009_10080_x000a_JP-015-260113-110150_x0009_13-01-2026_x0009_11:01:51_x0009_VM Entrance Secret Zoo_x0009_Success_x0009_13706_x000a_JP-016-260113-100508_x0009_13-01-2026_x0009_10:05:10_x0009_VM Shanaya Resort 1_x0009_Success_x0009_10000_x000a_JP-006-260113-064905_x0009_13-01-2026_x0009_06:49:06_x0009_VM Pool Senyum_x0009_Success_x0009_11000"/>
        <s v="Request STATUS TRANSAKSI_x000a_(PRODUK Tdk Diterima, namun ada bukti TRANSFER)_x000a__x000a_[O3d074ca] Rekap : 03/VA ONLINE/BAYAR2.COM_x000a__x000a_PT TEKNOLOGI AWAN CERAH_x000a_7900121700059675_x000a_700,000"/>
        <s v="Request STATUS TRANSAKSI dari CUSTOMER_x000a_(PRODUK Tdk Diterima, namun ada bukti TRANSFER)_x000a__x000a_Pengaduan, orderan auto clipper belum diproses, mohon dibantu._x000a__x000a_Tripay_x000a_4041910117924208_x000a_120998"/>
        <s v="Request REFUND TRANSAKSI_x000a_(Product tidak diterima dan Cust request refund)_x000a__x000a_Refund 14 Januari 2026_x000a__x000a_JP-004-260114-164103_x0009_14-01-2026_x0009_16:41:04_x0009_4392_x000a_JP-020-260114-155303_x0009_14-01-2026_x0009_15:53:04_x0009_6500_x000a_JP-020-260114-151150_x0009_14-01-2026_x0009_15:11:51_x0009_15500_x000a_JP-016-260114-115313_x0009_14-01-2026_x0009_11:53:14_x0009_10000_x000a_JP-016-260114-115029_x0009_14-01-2026_x0009_11:50:29_x0009_10000_x000a_JP-015-260114-093728_x0009_14-01-2026_x0009_09:37:29_x0009_15000"/>
        <s v="Request BUKTI TRANSAKSI VOA dari BANK_x000a_(Customer sanggah transaksi CC atas penerbitan Visa)_x000a__x000a_eVISA invoice request "/>
        <s v="Request BUKTI TRANSAKSI VOA dari BANK_x000a_(Customer sanggah transaksi CC atas penerbitan Visa)_x000a__x000a_PERMOHONAN BUKTI TRANSAKSI PRISMALINK*IND VISAARR #15/01/2026 4 TRX"/>
        <s v="Request BUKTI TRANSAKSI VOA dari BANK_x000a_(Customer sanggah transaksi CC atas penerbitan Visa)_x000a__x000a_PERMOHONAN BUKTI TRANSAKSI PRISMALINK*PT CERDIK K #15/01/2026 1 TRX"/>
        <s v="Surat FRAUD dari BANK_x000a_(Dana Terpotong, Produk Tdk Diterima)_x000a__x000a_[O4bd448f] Indikasi Penipuan: BAYAR2.COM/15012026/09_x000a__x000a_PT TEKNOLOGI AWAN CERAH_x000a_7900121700002309_x000a_1789967"/>
        <s v="Request REFUND TRANSAKSI_x000a_(Product tidak diterima dan Cust request refund)_x000a__x000a_Refund 15 Januari 2026_x000a__x000a_JP-012-260115-205606_x0009_15-01-2026_x0009_20:56:07_x0009_12412_x000a_JP-018-260115-033254_x0009_15-01-2026_x0009_03:32:55_x0009_12412_x000a_JP-015-260115-140654_x0009_15-01-2026_x0009_14:06:54_x0009_10000_x000a_JP-015-260115-123616_x0009_15-01-2026_x0009_12:36:17_x0009_10000_x000a_JP-015-260115-100124_x0009_15-01-2026_x0009_10:01:26_x0009_20000_x000a_JP-001-260115-164231_x0009_15-01-2026_x0009_16:42:32_x0009_8960_x000a_JP-001-260115-081510_x0009_15-01-2026_x0009_08:15:11_x0009_16009_x000a_JP-016-260115-173449_x0009_15-01-2026_x0009_17:34:50_x0009_10000_x000a_JP-016-260115-000815_x0009_15-01-2026_x0009_00:08:15_x0009_10000_x000a_"/>
        <s v="Request REFUND TRANSAKSI_x000a_(Product tidak diterima dan Cust request refund)_x000a__x000a_Refund 16,17,18 Januari 2026_x000a__x000a_JP-006-260116-205806_x0009_16-01-2026_x0009_20:58:07_x0009_10000_x000a_JP-001-260116-203816_x0009_16-01-2026_x0009_20:38:17_x0009_9500_x000a_JP-012-260116-203718_x0009_16-01-2026_x0009_20:37:20_x0009_13000_x000a_JP-003-260116-203401_x0009_16-01-2026_x0009_20:34:02_x0009_33600_x000a_JP-016-260116-184315_x0009_16-01-2026_x0009_18:43:16_x0009_10000_x000a_JP-004-260116-181116_x0009_16-01-2026_x0009_18:11:23_x0009_2880_x000a_JP-004-260116-173918_x0009_16-01-2026_x0009_17:39:19_x0009_2880_x000a_JP-004-260116-173318_x0009_16-01-2026_x0009_17:33:18_x0009_2880_x000a_JP-006-260116-164334_x0009_16-01-2026_x0009_16:43:35_x0009_37800_x000a_JP-016-260116-151049_x0009_16-01-2026_x0009_15:10:49_x0009_11000_x000a_JP-015-260116-150656_x0009_16-01-2026_x0009_15:06:59_x0009_20000_x000a_JP-016-260116-142244_x0009_16-01-2026_x0009_14:22:45_x0009_10000_x000a_JP-020-260116-132613_x0009_16-01-2026_x0009_13:26:15_x0009_15500_x000a_JP-015-260116-124941_x0009_16-01-2026_x0009_12:49:42_x0009_12470_x000a_JP-015-260116-123127_x0009_16-01-2026_x0009_12:31:28_x0009_4100_x000a_JP-016-260116-120456_x0009_16-01-2026_x0009_12:05:00_x0009_10000_x000a_JP-016-260116-120310_x0009_16-01-2026_x0009_12:03:11_x0009_10000_x000a_JP-015-260116-115358_x0009_16-01-2026_x0009_11:53:59_x0009_10000_x000a_JP-016-260116-114617_x0009_16-01-2026_x0009_11:46:19_x0009_10000_x000a_JP-012-260116-114115_x0009_16-01-2026_x0009_11:41:16_x0009_6867_x000a_JP-015-260116-112504_x0009_16-01-2026_x0009_11:25:04_x0009_10320_x000a_JP-015-260116-104632_x0009_16-01-2026_x0009_10:46:34_x0009_20000_x000a_JP-019-260116-085921_x0009_16-01-2026_x0009_08:59:22_x0009_16000_x000a_JP-006-260116-074347_x0009_16-01-2026_x0009_07:43:48_x0009_10000_x000a_JP-003-260117-224703_x0009_17-01-2026_x0009_22:47:07_x0009_12183_x000a_JP-016-260117-170241_x0009_17-01-2026_x0009_17:02:42_x0009_10000_x000a_JP-016-260117-153907_x0009_17-01-2026_x0009_15:39:08_x0009_10000_x000a_JP-001-260117-145310_x0009_17-01-2026_x0009_14:53:11_x0009_12412_x000a_JP-020-260117-142447_x0009_17-01-2026_x0009_14:24:48_x0009_15500_x000a_JP-016-260117-135414_x0009_17-01-2026_x0009_13:54:14_x0009_10000_x000a_JP-006-260117-134130_x0009_17-01-2026_x0009_13:41:31_x0009_37800_x000a_JP-020-260117-125631_x0009_17-01-2026_x0009_12:56:32_x0009_4000_x000a_JP-016-260117-124650_x0009_17-01-2026_x0009_12:46:51_x0009_11500_x000a_JP-019-260117-121718_x0009_17-01-2026_x0009_12:17:21_x0009_15500_x000a_JP-016-260117-115922_x0009_17-01-2026_x0009_11:59:23_x0009_15500_x000a_JP-020-260117-115416_x0009_17-01-2026_x0009_11:54:17_x0009_15500_x000a_JP-016-260117-111340_x0009_17-01-2026_x0009_11:13:40_x0009_10000_x000a_JP-015-260117-095702_x0009_17-01-2026_x0009_09:57:04_x0009_10000_x000a_JP-015-260117-094725_x0009_17-01-2026_x0009_09:47:26_x0009_10000_x000a_JP-016-260117-094535_x0009_17-01-2026_x0009_09:45:41_x0009_10000_x000a_JP-015-260117-093548_x0009_17-01-2026_x0009_09:35:48_x0009_10000_x000a_JP-015-260117-093317_x0009_17-01-2026_x0009_09:33:18_x0009_10000_x000a_JP-006-260117-091804_x0009_17-01-2026_x0009_09:18:05_x0009_9500_x000a_JP-016-260117-090240_x0009_17-01-2026_x0009_09:02:42_x0009_10000_x000a_JP-006-260117-074309_x0009_17-01-2026_x0009_07:43:10_x0009_16000_x000a_JP-016-260117-030151_x0009_17-01-2026_x0009_03:01:52_x0009_10000_x000a_JP-017-260118-164059_x0009_18-01-2026_x0009_16:41:00_x0009_10000_x000a_JP-004-260118-162303_x0009_18-01-2026_x0009_16:23:05_x0009_2880_x000a_JP-018-260118-153307_x0009_18-01-2026_x0009_15:33:08_x0009_12412_x000a_JP-016-260118-141040_x0009_18-01-2026_x0009_14:10:41_x0009_11000_x000a_JP-016-260118-135751_x0009_18-01-2026_x0009_13:57:52_x0009_11000_x000a_JP-016-260118-135645_x0009_18-01-2026_x0009_13:56:45_x0009_11000_x000a_JP-016-260118-124452_x0009_18-01-2026_x0009_12:44:53_x0009_10000_x000a_JP-016-260118-111603_x0009_18-01-2026_x0009_11:16:04_x0009_11000_x000a_JP-016-260118-111402_x0009_18-01-2026_x0009_11:14:03_x0009_10000_x000a_JP-016-260118-110724_x0009_18-01-2026_x0009_11:07:25_x0009_10000_x000a_JP-006-260118-102027_x0009_18-01-2026_x0009_10:20:28_x0009_14000_x000a_JP-016-260118-095431_x0009_18-01-2026_x0009_09:54:33_x0009_10000_x000a_JP-006-260118-091535_x0009_18-01-2026_x0009_09:15:36_x0009_10000_x000a_JP-006-260118-054319_x0009_18-01-2026_x0009_05:43:20_x0009_9500_x000a_JP-004-260118-040722_x0009_18-01-2026_x0009_04:07:23_x0009_2880_x000a_JP-004-260118-040610_x0009_18-01-2026_x0009_04:06:11_x0009_2880"/>
        <s v="Request BUKTI TRANSAKSI VOA dari BANK_x000a_(Customer sanggah transaksi CC atas penerbitan Visa)_x000a__x000a_KONFIRMASI CHARGEBACK Prismalink*IND VISAARR 15/01/2026 49 TRX"/>
        <s v="Request STATUS TRANSAKSI dari CUSTOMER_x000a_(PRODUK Tdk Diterima, namun ada bukti TRANSFER)_x000a__x000a_4041910125029523 // NACL1306505854 "/>
        <s v="Request STATUS TRANSAKSI dari MERCHANT_x000a_(PRODUK diterima, dashboard belum update)_x000a__x000a_8919101250729951 / NACL1307725542"/>
        <s v="Request STATUS TRANSAKSI dari CUSTOMER_x000a_(PRODUK Tdk Diterima, namun ada bukti TRANSFER)_x000a__x000a_7900125000088945 / NACL1309633992"/>
        <s v="Request STATUS TRANSAKSI dari CUSTOMER_x000a_(PRODUK Tdk Diterima, namun ada bukti TRANSFER)_x000a__x000a_7900119200378461 / 2026011340100005556"/>
        <s v="Request STATUS TRANSAKSI dari CUSTOMER_x000a_(PRODUK Tdk Diterima, namun ada bukti TRANSFER)_x000a__x000a_7900125000085205 / NACL1309598721 "/>
        <s v="Request STATUS TRANSAKSI dari CUSTOMER_x000a_(PRODUK Tdk Diterima, namun ada bukti TRANSFER)_x000a__x000a_8919101250952211 / NACL1303365977"/>
        <s v="Request STATUS TRANSAKSI dari MERCHANT_x000a_(PRODUK diterima, dashboard belum update)_x000a__x000a_7900121700047548 // 2026011340100005545"/>
        <s v="Request STATUS TRANSAKSI dari MERCHANT_x000a_(PRODUK diterima, dashboard belum update)_x000a__x000a_7900121700098914"/>
        <s v="Request STATUS TRANSAKSI dari CUSTOMER_x000a_(PRODUK Tdk Diterima, namun ada bukti TRANSFER)_x000a__x000a_7900125000019639"/>
        <s v="Request STATUS TRANSAKSI dari CUSTOMER_x000a_(PRODUK Tdk Diterima, namun ada bukti TRANSFER)_x000a__x000a_NACL1310198724 // 8903910125085683"/>
        <s v="Request STATUS TRANSAKSI dari CUSTOMER_x000a_(PRODUK Tdk Diterima, namun ada bukti TRANSFER)_x000a__x000a_7900125000019792 / NACL1311562624"/>
        <s v="Request STATUS TRANSAKSI dari CUSTOMER_x000a_(PRODUK Tdk Diterima, namun ada bukti TRANSFER)_x000a__x000a_4041910125061959 / NACL1311561553 "/>
        <s v="Request STATUS TRANSAKSI dari MERCHANT_x000a_(PRODUK diterima, dashboard belum update)_x000a__x000a_8919101250927471 / NACL1310649748"/>
        <s v="Request STATUS TRANSAKSI dari CUSTOMER_x000a_(PRODUK Tdk Diterima, namun ada bukti TRANSFER)_x000a__x000a_4041910125041573 / NACL1312208914"/>
        <s v="Request STATUS TRANSAKSI dari CUSTOMER_x000a_(PRODUK Tdk Diterima, namun ada bukti TRANSFER)_x000a__x000a_4041910125054681 / NACL1313796252"/>
        <s v="Request STATUS TRANSAKSI dari CUSTOMER_x000a_(PRODUK Tdk Diterima, namun ada bukti TRANSFER)_x000a__x000a_8919101250733997 / NACL1312092669"/>
        <s v="Request STATUS TRANSAKSI dari CUSTOMER_x000a_(PRODUK Tdk Diterima, namun ada bukti TRANSFER)_x000a__x000a_7900119200378018"/>
        <s v="Request STATUS TRANSAKSI dari CUSTOMER_x000a_(PRODUK Tdk Diterima, namun ada bukti TRANSFER)_x000a__x000a_ 8903910125041552 / NACL1315520834 "/>
        <s v="Request STATUS TRANSAKSI dari CUSTOMER_x000a_(PRODUK Tdk Diterima, namun ada bukti TRANSFER)_x000a__x000a_7900121700098127 "/>
        <s v="Request STATUS TRANSAKSI dari CUSTOMER_x000a_(PRODUK Tdk Diterima, namun ada bukti TRANSFER)_x000a__x000a_7900125000072032 / NACL1315943678"/>
        <s v="Request STATUS TRANSAKSI dari CUSTOMER_x000a_(PRODUK Tdk Diterima, namun ada bukti TRANSFER)_x000a__x000a_7900125000091808 / NACL1315607997"/>
        <s v="Request STATUS TRANSAKSI dari CUSTOMER_x000a_(PRODUK Tdk Diterima, namun ada bukti TRANSFER)_x000a__x000a_7900125000047878 / NACL1316096152"/>
        <s v="Request STATUS TRANSAKSI dari CUSTOMER_x000a_(PRODUK Tdk Diterima, namun ada bukti TRANSFER)_x000a__x000a_ 7900125000073272"/>
        <s v="Request STATUS TRANSAKSI dari CUSTOMER_x000a_(PRODUK Tdk Diterima, namun ada bukti TRANSFER)_x000a__x000a_ NACL1315540385 // 4041910125033658"/>
        <s v="Request STATUS TRANSAKSI dari CUSTOMER_x000a_(PRODUK Tdk Diterima, namun ada bukti TRANSFER)_x000a__x000a_4041910120593772 "/>
        <s v="Request STATUS TRANSAKSI dari CUSTOMER_x000a_(PRODUK Tdk Diterima, namun ada bukti TRANSFER)_x000a__x000a_NACL1315944674 // 4041910125099558 "/>
        <s v="Request STATUS TRANSAKSI dari MERCHANT_x000a_(PRODUK diterima, dashboard belum update)_x000a__x000a_8919101249344412  // NACL1316886232"/>
        <s v="Request STATUS TRANSAKSI dari CUSTOMER_x000a_(PRODUK Tdk Diterima, namun ada bukti TRANSFER)_x000a__x000a_NACL1315944538 // 4041910125005082"/>
        <s v="Request STATUS TRANSAKSI dari CUSTOMER_x000a_(PRODUK Tdk Diterima, namun ada bukti TRANSFER)_x000a__x000a_NACL1315944541 // 4041910125045558 "/>
        <s v="Request STATUS TRANSAKSI dari MERCHANT_x000a_(PRODUK diterima, dashboard belum update)_x000a__x000a_NACL1314590252 // 8919101249682545"/>
        <s v="Request STATUS TRANSAKSI dari MERCHANT_x000a_(PRODUK diterima, dashboard belum update)_x000a__x000a_7900121700028196"/>
        <s v="Request STATUS TRANSAKSI dari CUSTOMER_x000a_(PRODUK Tdk Diterima, namun ada bukti TRANSFER)_x000a__x000a_7900121700043490 / 2026011742500092799"/>
        <s v="Request STATUS TRANSAKSI dari MERCHANT_x000a_(PRODUK diterima, dashboard belum update)_x000a__x000a_7900121700020357 / 2026011940100005967"/>
        <s v="Request STATUS TRANSAKSI dari CUSTOMER_x000a_(PRODUK Tdk Diterima, namun ada bukti TRANSFER)_x000a__x000a_7900121700000565 / 2026011842500187263"/>
        <s v="Surat FRAUD dari BANK_x000a_(Dana Terpotong, Produk Tdk Diterima)_x000a__x000a_[O99520c3] Indikasi Penipuan: BAYAR2.COM/19012026/010_x000a__x000a_PT Kreasi Kode Kreatif_x000a_7900119200388222_x0009_2352000"/>
        <s v="Request BUKTI TRANSAKSI VOA dari BANK_x000a_(Customer sanggah transaksi CC atas penerbitan Visa)_x000a__x000a_PERMOHONAN BUKTI TRANSAKSI PRISMALINK*IND VISAARR #19/01/2026 75 TRX"/>
        <s v="Request BUKTI TRANSAKSI VOA dari BANK_x000a_(Customer sanggah transaksi CC atas penerbitan Visa)_x000a__x000a_PERMOHONAN BUKTI TRANSAKSI PRISMALINK*IND VISAARR #19/01/2026 12 TRX"/>
        <s v="Request REFUND TRANSAKSI_x000a_(Product tidak diterima dan Cust request refund)_x000a__x000a_Refund 19 Januari 2026_x000a__x000a_JP-013-260119-170524_x0009_19-01-2026_x0009_17:05:25_x0009_5000_x000a_JP-004-260119-151903_x0009_19-01-2026_x0009_15:19:09_x0009_12412_x000a_JP-002-260119-145857_x0009_19-01-2026_x0009_14:59:01_x0009_12412_x000a_JP-016-260119-104138_x0009_19-01-2026_x0009_10:41:39_x0009_11000_x000a_JP-016-260119-093441_x0009_19-01-2026_x0009_09:34:42_x0009_11000_x000a_JP-018-260119-012458_x0009_19-01-2026_x0009_01:25:02_x0009_12412"/>
        <s v="Request BUKTI TRANSAKSI VOA dari BANK_x000a_(Customer sanggah transaksi CC atas penerbitan Visa)_x000a__x000a_invoice"/>
        <s v="Request STATUS TRANSAKSI_x000a_(PRODUK Tdk Diterima, namun ada bukti TRANSFER)_x000a__x000a_Dengan hormat, mohon bantuanya umtuk deposit saya yang tidak masuk. Hari ini ada 3 transaksi pertama 1 juta yang kedua 800 yang ketiga adalah 100 jadi masakah yang ditemui adalah tidak masuk saldonya padahal saya sudah melakukan pembayaran briva via BRI m_x000a__x000a_PT Daya Net Gemilang_x000a_4041910125080254_x0009_800000"/>
        <s v="Surat FRAUD dari BANK_x000a_(Dana Terpotong, Produk Tdk Diterima)_x000a__x000a_[O1249fd0] Indikasi Penipuan: BAYAR2.COM/20012026/011_x000a__x000a_PT Kreasi Kode Kreatif_x000a_7900119200390265_x0009_450000_x000a__x000a_PT TEKNOLOGI AWAN CERAH_x000a_7900121700052268_x0009_253362_x000a_7900121700025465_x0009_450000"/>
        <s v="Request REFUND TRANSAKSI_x000a_(Product tidak diterima dan Cust request refund)_x000a__x000a_Refund 20 Januari 2026_x000a__x000a_JP-015-260120-162612_x0009_20-01-2026_x0009_16:26:13_x0009_8000_x000a_JP-016-260120-141213_x0009_20-01-2026_x0009_14:12:13_x0009_10000_x000a_JP-016-260120-132206_x0009_20-01-2026_x0009_13:22:07_x0009_10000_x000a_JP-015-260120-105200_x0009_20-01-2026_x0009_10:52:01_x0009_8000_x000a_JP-016-260120-085122_x0009_20-01-2026_x0009_08:51:23_x0009_10000_x000a_"/>
        <s v="Surat FRAUD dari BANK_x000a_(Dana Terpotong, Produk Tdk Diterima)_x000a__x000a_RE: Pengecekan transaksi VA 7900119200406589 &amp; 7900119200406190_x000a__x000a__x000a_PT Kreasi Kode Kreatif_x000a_7900119200406589_x0009_1950000_x000a_7900119200406190_x0009_2450000"/>
        <s v="Request BUKTI TRANSAKSI VOA dari BANK_x000a_(Customer sanggah transaksi CC atas penerbitan Visa)_x000a__x000a_KONFIRMASI CHARGEBACK Prismalink*IND VISAARR 20/01/2026 51 TRX"/>
        <s v="Request STATUS TRANSAKSI dari MERCHANT_x000a_(PRODUK diterima, dashboard belum update)_x000a__x000a_NACL1316052222 // 8919101250747955 "/>
        <s v="Request STATUS TRANSAKSI dari MERCHANT_x000a_(PRODUK diterima, dashboard belum update)_x000a__x000a_NACL1315701175 // 8919101250699409"/>
        <s v="Request STATUS TRANSAKSI dari CUSTOMER_x000a_(PRODUK Tdk Diterima, namun ada bukti TRANSFER)_x000a__x000a_NACL1316379654 // 4041910125061475"/>
        <s v="Request BUKTI TRANSAKSI VOA dari BANK_x000a_(Customer sanggah transaksi CC atas penerbitan Visa)_x000a__x000a_No kartu : 451461**5397"/>
        <s v="Request STATUS TRANSAKSI dari CUSTOMER_x000a_(PRODUK Tdk Diterima, namun ada bukti TRANSFER)_x000a__x000a_7900121700001312 "/>
        <s v="Request STATUS TRANSAKSI dari CUSTOMER_x000a_(PRODUK Tdk Diterima, namun ada bukti TRANSFER)_x000a__x000a_NACL1320430158 // 7900125000045043"/>
        <s v="Request STATUS TRANSAKSI dari CUSTOMER_x000a_(PRODUK Tdk Diterima, namun ada bukti TRANSFER)_x000a__x000a_NACL1320430006 // 7900125000079405"/>
        <s v="Request BUKTI TRANSAKSI VOA dari BANK_x000a_(Customer sanggah transaksi CC atas penerbitan Visa)_x000a__x000a_No INV : 2031225B1862962 "/>
        <s v="Request STATUS TRANSAKSI dari MERCHANT_x000a_(PRODUK diterima, dashboard belum update)_x000a__x000a_8919101249791991 "/>
        <s v="Request STATUS TRANSAKSI dari CUSTOMER_x000a_(PRODUK Tdk Diterima, namun ada bukti TRANSFER)_x000a__x000a_ 4041910125013562 // NACL1320431091 "/>
        <s v="Request STATUS TRANSAKSI dari CUSTOMER_x000a_(PRODUK Tdk Diterima, namun ada bukti TRANSFER)_x000a__x000a_7900125000069067 / NACL1321705813"/>
        <s v="Surat FRAUD dari BANK_x000a_(Dana Terpotong, Produk Tdk Diterima)_x000a__x000a_Surat Bilateral Bank Mandiri nomor NRO.CCR/CHM.1217/2026_x000a__x000a_PT Daya Net Gemilang_x000a_8903910125098526_x0009_13615297_x000a_8903910125004205_x0009_17020121"/>
        <s v="Request BUKTI TRANSAKSI VOA dari BANK_x000a_(Pengajuan Pre-Arb oleh Bank)_x000a__x000a_KONFIRMASI PRE ARBITRASI Prismalink*IND VISAARR 21/01/2026 85 TRX"/>
        <s v="Request REFUND TRANSAKSI_x000a_(Product tidak diterima dan Cust request refund)_x000a__x000a_Refund 21 Januari 2026_x000a__x000a_JP-018-260121-145636_x0009_21-01-2026_x0009_14:56:37_x0009_12412_x000a_JP-015-260121-120048_x0009_21-01-2026_x0009_12:00:49_x0009_15500_x000a_JP-016-260121-103020_x0009_21-01-2026_x0009_10:30:21_x0009_10000"/>
        <s v="Request BUKTI TRANSAKSI VOA dari BANK_x000a_(Pengajuan Pre-Arb oleh Bank)_x000a__x000a_KONFIRMASI PRE ARBITRASI Prismalink*IND VISAARR 22/01/2025 60 TRX"/>
        <s v="Surat FRAUD dari BANK_x000a_(Dana Terpotong, Produk Tdk Diterima)_x000a__x000a_[Oe3e59f8] Indikasi Penipuan: BAYAR2.COM/22012026/012_x000a__x000a_PT Kreasi Kode Kreatif_x000a_7900119200379284_x0009_1600000_x000a__x000a_PT TEKNOLOGI AWAN CERAH_x000a_7900121700073480_x0009_1500000"/>
        <s v="Surat FRAUD dari BANK_x000a_(Dana Terpotong, Produk Tdk Diterima)_x000a__x000a_[O237059c] Indikasi Penipuan: BAYAR2.COM/22012026/013_x000a__x000a_PT Kreasi Kode Kreatif_x000a_7900119200364446_x0009_1500000"/>
        <s v="Request REFUND TRANSAKSI_x000a_(Product tidak diterima dan Cust request refund)_x000a__x000a_Refund 22 Januari 2026_x000a__x000a_JP-002-260122-150931_x0009_22-01-2026_x0009_15:09:34_x0009_7500"/>
        <s v="Request STATUS TRANSAKSI dari MERCHANT_x000a_(PRODUK diterima, dashboard belum update)_x000a__x000a_4041910112322156"/>
        <s v="Request STATUS TRANSAKSI dari CUSTOMER_x000a_(PRODUK Tdk Diterima, namun ada bukti TRANSFER)_x000a__x000a_NACL1322650518 // 7900125000085031"/>
        <s v="Request STATUS TRANSAKSI dari CUSTOMER_x000a_(PRODUK Tdk Diterima, namun ada bukti TRANSFER)_x000a__x000a_7900119200400116"/>
        <s v="Request STATUS TRANSAKSI dari MERCHANT_x000a_(PRODUK diterima, dashboard belum update)_x000a__x000a_7900121700026746 _x000a_7900121700053083 "/>
        <s v="Request STATUS TRANSAKSI dari CUSTOMER_x000a_(PRODUK Tdk Diterima, namun ada bukti TRANSFER)_x000a__x000a_7900119200410358"/>
        <s v="Request STATUS TRANSAKSI dari CUSTOMER_x000a_(PRODUK Tdk Diterima, namun ada bukti TRANSFER)_x000a__x000a_4041910125053664 / NACL1324344692"/>
        <s v="Request STATUS TRANSAKSI dari CUSTOMER_x000a_(PRODUK Tdk Diterima, namun ada bukti TRANSFER)_x000a__x000a_4041910124987054 / NACL1324343589 "/>
        <s v="Request STATUS TRANSAKSI dari CUSTOMER_x000a_(PRODUK Tdk Diterima, namun ada bukti TRANSFER)_x000a__x000a_7900125000027135 / NACL1286532135"/>
        <s v="Surat FRAUD dari BANK_x000a_(Dana Terpotong, Produk Tdk Diterima)_x000a__x000a_Surat tanda penerimaan laporan_x000a__x000a_PT Daya Net Gemilang_x000a_8903910125098883_x0009_10000000_x000a_8903910125078776_x0009_20000000_x000a_8903910125037972_x0009_50000000_x000a_8903910125032468_x0009_50000000_x000a_8903910125037972_x0009_50000000_x000a_8903910125032468_x0009_50000000_x000a__x000a_PT ENVOIZ DIGITAL INDONESIA_x000a_4041910124910197_x0009_50000000_x000a_8903910124925552_x0009_50000000_x000a_4041910124935421_x0009_11000000_x000a_8903910124087633 _x0009_50000000"/>
        <s v="Request BUKTI TRANSAKSI VOA dari BANK_x000a_(Customer sanggah transaksi CC atas penerbitan Visa)_x000a__x000a_Re: Permohonan bukti transaksi merchant PRISMALINK #23012026 JCB"/>
        <s v="Request REFUND TRANSAKSI_x000a_(Product tidak diterima dan Cust request refund)_x000a__x000a_Refund 23,24,25 Januari 2026_x000a__x000a_JP-004-260123-190740_x0009_23-01-2026_x0009_19:07:41_x0009_2880_x000a_JP-015-260123-105442_x0009_23-01-2026_x0009_10:54:43_x0009_7000_x000a_JP-001-260124-213511_x0009_24-01-2026_x0009_21:35:12_x0009_12412_x000a_JP-006-260124-180419_x0009_24-01-2026_x0009_18:04:20_x0009_10000_x000a_JP-006-260124-180008_x0009_24-01-2026_x0009_18:00:09_x0009_14000_x000a_JP-016-260124-162657_x0009_24-01-2026_x0009_16:26:58_x0009_10000_x000a_JP-018-260124-142602_x0009_24-01-2026_x0009_14:26:04_x0009_12412_x000a_JP-001-260124-123458_x0009_24-01-2026_x0009_12:34:59_x0009_16009_x000a_JP-016-260124-121415_x0009_24-01-2026_x0009_12:14:16_x0009_10000_x000a_JP-015-260124-112513_x0009_24-01-2026_x0009_11:25:15_x0009_12000_x000a_JP-016-260124-110536_x0009_24-01-2026_x0009_11:05:37_x0009_11000_x000a_JP-016-260124-072310_x0009_24-01-2026_x0009_07:23:11_x0009_11000_x000a_JP-015-260125-161040_x0009_25-01-2026_x0009_16:10:41_x0009_10000_x000a_JP-001-260125-122016_x0009_25-01-2026_x0009_12:20:17_x0009_12412_x000a_JP-019-260125-103957_x0009_25-01-2026_x0009_10:39:58_x0009_15500_x000a_JP-019-260125-095951_x0009_25-01-2026_x0009_09:59:52_x0009_10000_x000a_JP-016-260125-093003_x0009_25-01-2026_x0009_09:30:04_x0009_11000_x000a_JP-019-260125-084949_x0009_25-01-2026_x0009_08:49:50_x0009_10000_x000a_JP-016-260125-081605_x0009_25-01-2026_x0009_08:16:09_x0009_11000_x000a_JP-006-260125-072217_x0009_25-01-2026_x0009_07:22:18_x0009_10000_x000a_JP-016-260125-064245_x0009_25-01-2026_x0009_06:42:47_x0009_10000_x000a_JP-019-260125-010628_x0009_25-01-2026_x0009_01:06:30_x0009_11000"/>
        <s v="Request BUKTI TRANSAKSI VOA dari BANK_x000a_(Customer sanggah transaksi CC atas penerbitan Visa)_x000a__x000a_PERMOHONAN BUKTI TRANSAKSI PRISMALINK*IND VISAARR #26/01/2026 18 RX"/>
        <s v="Request BUKTI TRANSAKSI VOA dari BANK_x000a_(Pengajuan Pre-Arb oleh Bank)_x000a__x000a_KONFIRMASI PRE ARBITRASI Prismalink*IND VISAARR 27/01/2026 78 TRX"/>
        <s v="Request REFUND TRANSAKSI_x000a_(Product tidak diterima dan Cust request refund)_x000a__x000a_refund 26 Januari 2026_x000a__x000a_JP-016-260126-235047_x0009_26-01-2026_x0009_23:50:48_x0009_10000_x000a_JP-014-260126-213437_x0009_26-01-2026_x0009_21:34:38_x0009_12412_x000a_JP-007-260126-163344_x0009_26-01-2026_x0009_16:33:45_x0009_17359_x000a_JP-016-260126-110143_x0009_26-01-2026_x0009_11:01:45_x0009_10000"/>
        <s v="Request STATUS TRANSAKSI (ACQ NOBU)_x000a_(PRODUK Tdk Diterima Customer, _x000a_SWITCHING &amp; ACQ telah credit dana)_x000a__x000a_Surat DISPUTE dari NOBU_x000a_email : Dispute 27012026 PT PRISMALINK INTERNATIONAL_x000a__x000a_11120012625936300"/>
        <s v="Surat FRAUD dari BANK_x000a_(Dana Terpotong, Produk Tdk Diterima)_x000a__x000a_FRAUD REPORT_x000a__x000a_PT Daya Net Gemilang_x000a_7900125000009074_x0009_14332700"/>
        <s v="Request BUKTI TRANSAKSI VOA dari CUSTOMER_x000a_(Customer sanggah transaksi CC atas penerbitan Visa)_x000a__x000a_invoice of visa fee_x000a__x000a_receipt No. is RA0723940. my visa no. is Z8A0723940"/>
        <s v="Request REFUND TRANSAKSI_x000a_(Product tidak diterima dan Cust request refund)_x000a__x000a_Refund 27 Januari 2026_x000a__x000a_JP-019-260127-214816_x0009_27-01-2026_x0009_21:48:17_x0009_12000_x000a_JP-016-260127-214527_x0009_27-01-2026_x0009_21:45:29_x0009_11000_x000a_JP-019-260127-213616_x0009_27-01-2026_x0009_21:36:17_x0009_15500_x000a_JP-007-260127-180401_x0009_27-01-2026_x0009_18:04:02_x0009_5000_x000a_JP-016-260127-165234_x0009_27-01-2026_x0009_16:52:35_x0009_10000_x000a_JP-016-260127-150043_x0009_27-01-2026_x0009_15:00:46_x0009_10000_x000a_JP-001-260127-100833_x0009_27-01-2026_x0009_10:08:34_x0009_10000"/>
        <s v="Request BUKTI TRANSAKSI VOA dari BANK_x000a_(Customer sanggah transaksi CC atas penerbitan Visa)_x000a__x000a_KONFIRMASI CHARGEBACK Prismalink*IND VISAARR 26/01/2026 56 TRX"/>
        <s v="Request STATUS TRANSAKSI dari MERCHANT_x000a_(PRODUK diterima, dashboard belum update)_x000a__x000a_8919101217399665"/>
        <s v="Request STATUS TRANSAKSI dari MERCHANT_x000a_(PRODUK diterima, dashboard belum update)_x000a__x000a_8919101249933262 _x000a_8919101249354527 "/>
        <s v="Request STATUS TRANSAKSI dari CUSTOMER_x000a_(PRODUK Tdk Diterima, namun ada bukti TRANSFER)_x000a__x000a_4041910125089630"/>
        <s v="Request STATUS TRANSAKSI dari CUSTOMER_x000a_(PRODUK Tdk Diterima, namun ada bukti TRANSFER)_x000a__x000a_7900125000040510 / NACL1327032681"/>
        <s v="Request STATUS TRANSAKSI dari CUSTOMER_x000a_(PRODUK Tdk Diterima, namun ada bukti TRANSFER)_x000a__x000a_7900125000073300 / NACL1327217086"/>
        <s v="Request STATUS TRANSAKSI dari CUSTOMER_x000a_(PRODUK Tdk Diterima, namun ada bukti TRANSFER)_x000a__x000a_8919101217001496"/>
        <s v="Request STATUS TRANSAKSI dari CUSTOMER_x000a_(PRODUK Tdk Diterima, namun ada bukti TRANSFER)_x000a__x000a_8919101217693028"/>
        <s v="Request STATUS TRANSAKSI dari CUSTOMER_x000a_(PRODUK Tdk Diterima, namun ada bukti TRANSFER)_x000a__x000a_8919101217450268"/>
        <s v="Request STATUS TRANSAKSI dari CUSTOMER_x000a_(PRODUK Tdk Diterima, namun ada bukti TRANSFER))_x000a__x000a_521215**8415_x000a_458059**6643_x000a_518953**3327"/>
        <s v="Request STATUS TRANSAKSI dari CUSTOMER_x000a_(PRODUK Tdk Diterima, namun ada bukti TRANSFER)_x000a__x000a_NACL1330061384 // 8903910125040627 "/>
        <s v="Request STATUS TRANSAKSI dari CUSTOMER_x000a_(PRODUK Tdk Diterima, namun ada bukti TRANSFER))_x000a__x000a_462705**6939"/>
        <s v="Request STATUS TRANSAKSI dari CUSTOMER_x000a_(PRODUK Tdk Diterima, namun ada bukti TRANSFER)_x000a__x000a_7900121700083691"/>
        <s v="Request STATUS TRANSAKSI dari CUSTOMER_x000a_(PRODUK Tdk Diterima, namun ada bukti TRANSFER)_x000a__x000a_7900121700004701"/>
        <s v="Request STATUS TRANSAKSI dari CUSTOMER_x000a_(PRODUK Tdk Diterima, namun ada bukti TRANSFER)_x000a__x000a_NACL1331499631 / 7900125000077172  "/>
        <s v="Request STATUS TRANSAKSI dari CUSTOMER_x000a_(PRODUK Tdk Diterima, namun ada bukti TRANSFER)_x000a__x000a_8903910125069742 - NACL1331499571                                     _x000a_8903910124933864 - NACL1331469037       "/>
        <s v="Request STATUS TRANSAKSI dari CUSTOMER_x000a_(PRODUK Tdk Diterima, namun ada bukti TRANSFER)_x000a__x000a_7900125000056914"/>
        <s v="Request STATUS TRANSAKSI dari CUSTOMER_x000a_(PRODUK Tdk Diterima, namun ada bukti TRANSFER)_x000a__x000a_4041910125061742 // NACL1331498692_x000a_7900125000009069 // NACL1331498558  "/>
        <s v="Request STATUS TRANSAKSI dari MERCHANT_x000a_(PRODUK diterima, dashboard belum update)_x000a__x000a_4041910124967730"/>
        <s v="Request STATUS TRANSAKSI dari CUSTOMER_x000a_(PRODUK Tdk Diterima, namun ada bukti TRANSFER)_x000a__x000a_001746988257"/>
        <s v="Request STATUS TRANSAKSI dari MERCHANT_x000a_(PRODUK diterima, dashboard belum update)_x000a__x000a_7900121700082166"/>
        <s v="Request STATUS TRANSAKSI dari MERCHANT_x000a_(PRODUK Tdk Diterima, namun ada bukti TRANSFER)_x000a__x000a_4041910117952239"/>
        <s v="Request STATUS TRANSAKSI dari CUSTOMER_x000a_(PRODUK Tdk Diterima, namun ada bukti TRANSFER)_x000a__x000a__x000a_8903910125030001 and ID NACL1332628995    "/>
        <s v="Request STATUS TRANSAKSI dari CUSTOMER_x000a_(PRODUK Tdk Diterima, namun ada bukti TRANSFER)_x000a__x000a__x000a_7900125000092794"/>
        <s v="Request STATUS TRANSAKSI dari CUSTOMER_x000a_(PRODUK Tdk Diterima, namun ada bukti TRANSFER))_x000a__x000a_535432**8666"/>
        <s v="Request BUKTI TRANSAKSI VOA dari BANK_x000a_(Customer sanggah transaksi CC atas penerbitan Visa)_x000a__x000a_Request prof of payment"/>
        <s v="Request BUKTI TRANSAKSI VOA dari BANK_x000a_(Customer sanggah transaksi CC atas penerbitan Visa)_x000a__x000a_Evisa "/>
        <s v="Surat FRAUD dari BANK_x000a_(Dana Terpotong, Produk Tdk Diterima)_x000a__x000a_Pemohonan Informasi Indikasi Fraud PT. Prismalink International_x000a__x000a_PT Daya Net Gemilang_x000a_4041910125015364_x0009_850000"/>
        <s v="Request STATUS TRANSAKSI dari CUSTOMER_x000a_(PRODUK Tdk Diterima, namun ada bukti TRANSFER)_x000a__x000a_[O1bb8e02] Rekap : 04/VA ONLINE/BAYAR2.COM_x000a__x000a_PT Kreasi Kode Kreatif_x000a_7900119200432525_x0009_550000"/>
        <s v="Request REFUND TRANSAKSI_x000a_(Product tidak diterima dan Cust request refund)_x000a__x000a_Refund 28 Januari 2026_x000a__x000a_JP-012-260128-212913_x0009_28-01-2026_x0009_21:29:14_x0009_12412_x000a_JP-016-260128-124000_x0009_28-01-2026_x0009_12:40:01_x0009_10000_x000a_JP-016-260128-095622_x0009_28-01-2026_x0009_09:56:23_x0009_11000_x000a_JP-018-260128-092354_x0009_28-01-2026_x0009_09:23:55_x0009_5000_x000a_JP-012-260128-084750_x0009_28-01-2026_x0009_08:47:51_x0009_12412_x000a_JP-001-260128-083816_x0009_28-01-2026_x0009_08:38:17_x0009_12412"/>
        <s v="Request STATUS TRANSAKSI dari CUSTOMER_x000a_(PRODUK Tdk Diterima, namun ada bukti TRANSFER))_x000a__x000a_no register 2280126B1521348"/>
        <s v="Request STATUS TRANSAKSI dari CUSTOMER_x000a_(PRODUK Tdk Diterima, namun ada bukti TRANSFER)_x000a__x000a__x000a_487410**4576_x000a_432338**5118"/>
        <s v="Surat FRAUD dari BANK_x000a_(Dana Terpotong, Produk Tdk Diterima)_x000a__x000a_[O2f7e472] Indikasi Penipuan: BAYAR2.COM/29012026/015_x000a__x000a_PT Daya Net Gemilang_x000a_7900125000009074_x0009_14332700_x000a_"/>
        <s v="Request BUKTI TRANSAKSI VOA dari BANK_x000a_(Customer sanggah transaksi CC atas penerbitan Visa)_x000a__x000a_B1 Visa application - 2240126B1418184"/>
        <s v="Request STATUS TRANSAKSI_x000a_(PRODUK Tdk Diterima, namun ada bukti TRANSFER)_x000a__x000a__x000a_[Of4c6117] Rekap : 05/VA ONLINE/BAYAR2.COM_x000a__x000a_PT Envoiz Digital Indonesia_x000a_7900124900022422_x0009_2000000"/>
        <s v="Request REFUND TRANSAKSI_x000a_(Product tidak diterima dan Cust request refund)_x000a__x000a_Refund 29 Januari 2026_x000a__x000a_JP-018-260129-223903_x0009_29-01-2026_x0009_22:39:04_x0009_10000_x000a_JP-001-260129-182548_x0009_29-01-2026_x0009_18:25:49_x0009_12412_x000a_JP-018-260129-164006_x0009_29-01-2026_x0009_16:40:07_x0009_13000"/>
        <s v="Request BUKTI TRANSAKSI VOA dari BANK_x000a_(Customer sanggah transaksi CC atas penerbitan Visa)_x000a__x000a_Permohonan bukti transaksi merchant PRISMALINK #30012026 JCB"/>
        <s v="Request BUKTI TRANSAKSI VOA dari BANK_x000a_(Customer sanggah transaksi CC atas penerbitan Visa)_x000a__x000a_PERMOHONAN BUKTI TRANSAKSI PRISMALINK*IND VISAARR #26/01/2026 28 RX"/>
        <s v="Request BUKTI TRANSAKSI VOA dari BANK_x000a_(Customer sanggah transaksi CC atas penerbitan Visa)_x000a__x000a_PERMOHONAN BUKTI TRANSAKSI PRISMALINK*PT CERDIK K #30/01/2026 1 TRX"/>
        <s v="Request BUKTI TRANSAKSI VOA dari BANK_x000a_(Customer sanggah transaksi CC atas penerbitan Visa)_x000a__x000a_KONFIRMASI CHARGEBACK Prismalink*IND VISAARR 30/01/2026 29TRX"/>
        <s v="Request BUKTI TRANSAKSI VOA dari BANK_x000a_(Customer sanggah transaksi CC atas penerbitan Visa)_x000a__x000a_3 payment for 2 visas "/>
        <s v="Request BUKTI TRANSAKSI VOA dari BANK_x000a_(Customer sanggah transaksi CC atas penerbitan Visa)_x000a__x000a_Assistance with Uncompleted Transaction Refund (Plink Ref: 0080102022640160435)"/>
        <s v="Request REFUND TRANSAKSI_x000a_(Product tidak diterima dan Cust request refund)_x000a__x000a_Refund 30,31 Januari, 1 Feb_x000a__x000a_JP-018-260131-233018_x0009_31-01-2026_x0009_23:30:19_x0009_10181_x000a_JP-004-260131-213810_x0009_31-01-2026_x0009_21:38:11_x0009_12412_x000a_JP-004-260131-204012_x0009_31-01-2026_x0009_20:40:14_x0009_7289_x000a_JP-004-260131-202837_x0009_31-01-2026_x0009_20:28:38_x0009_7289_x000a_JP-004-260131-201115_x0009_31-01-2026_x0009_20:11:16_x0009_2880_x000a_JP-004-260131-182628_x0009_31-01-2026_x0009_18:26:29_x0009_5000_x000a_JP-017-260131-160213_x0009_31-01-2026_x0009_16:02:14_x0009_16009_x000a_JP-015-260131-155900_x0009_31-01-2026_x0009_15:59:02_x0009_9500_x000a_JP-017-260131-155757_x0009_31-01-2026_x0009_15:57:58_x0009_13760_x000a_JP-003-260131-125219_x0009_31-01-2026_x0009_12:52:20_x0009_6867_x000a_JP-004-260131-115324_x0009_31-01-2026_x0009_11:53:26_x0009_12412_x000a_JP-004-260131-112622_x0009_31-01-2026_x0009_11:26:24_x0009_12412_x000a_JP-015-260131-092036_x0009_31-01-2026_x0009_09:20:37_x0009_8900_x000a_JP-019-260131-085804_x0009_31-01-2026_x0009_08:58:04_x0009_15500_x000a_JP-013-260130-182011_x0009_30-01-2026_x0009_18:20:13_x0009_12.412,00_x000a_JP-017-260130-134917_x0009_30-01-2026_x0009_13:49:18_x0009_7.200,00_x000a_JP-019-260130-133535_x0009_30-01-2026_x0009_13:35:36_x0009_15.500,00_x000a_JP-017-260130-110246_x0009_30-01-2026_x0009_11:02:48_x0009_12.183,00_x000a_JP-014-260201-113112_x0009_01-02-2026_x0009_11:31:12_x0009_7.200,00_x000a_JP-013-260201-152846_x0009_01-02-2026_x0009_15:28:47_x0009_11.360,00_x000a_JP-004-260201-210558_x0009_01-02-2026_x0009_21:05:59_x0009_5.000,00_x000a_JP-004-260201-210123_x0009_01-02-2026_x0009_21:01:25_x0009_5.000,00_x000a_JP-004-260201-195934_x0009_01-02-2026_x0009_19:59:35_x0009_5.000,00_x000a_JP-004-260201-190231_x0009_01-02-2026_x0009_19:02:32_x0009_7.289,00_x000a_JP-004-260201-175137_x0009_01-02-2026_x0009_17:51:38_x0009_5.000,00_x000a_JP-004-260201-174655_x0009_01-02-2026_x0009_17:47:08_x0009_5.000,00_x000a_JP-004-260201-163901_x0009_01-02-2026_x0009_16:39:02_x0009_7.289,00_x000a_JP-004-260201-161455_x0009_01-02-2026_x0009_16:14:56_x0009_4.392,00_x000a_JP-004-260201-150521_x0009_01-02-2026_x0009_15:05:22_x0009_12.600,00_x000a_JP-004-260201-111656_x0009_01-02-2026_x0009_11:16:58_x0009_7.289,00_x000a_JP-015-260201-125957_x0009_01-02-2026_x0009_12:59:58_x0009_22.500,00_x000a_JP-017-260201-154901_x0009_01-02-2026_x0009_15:49:01_x0009_4.392,00_x000a_JP-006-260201-102518_x0009_01-02-2026_x0009_10:25:19_x0009_16.000,00_x000a_JP-006-260201-085153_x0009_01-02-2026_x0009_08:51:54_x0009_10.000,00_x000a_JP-019-260201-113900_x0009_01-02-2026_x0009_11:39:01_x0009_15.500,00"/>
        <s v="Request STATUS TRANSAKSI dari CUSTOMER_x000a_(PRODUK Tdk Diterima, namun ada bukti TRANSFER)_x000a__x000a__x000a_535240**5146"/>
        <s v="Request STATUS TRANSAKSI_x000a_(PRODUK Tdk Diterima, namun ada bukti TRANSFER)_x000a__x000a__x000a_7900125000059771 / NACL1336288846   "/>
        <s v="Request STATUS TRANSAKSI_x000a_(PRODUK Tdk Diterima, namun ada bukti TRANSFER)_x000a__x000a__x000a_7900121700017780"/>
        <s v="Request STATUS TRANSAKSI_x000a_(PRODUK Tdk Diterima, namun ada bukti TRANSFER)_x000a__x000a__x000a_7900125000004746"/>
        <s v="Request STATUS TRANSAKSI_x000a_(PRODUK Tdk Diterima, namun ada bukti TRANSFER)_x000a__x000a__x000a_4041910125039671 / NACL1339605458"/>
        <s v="Request STATUS TRANSAKSI_x000a_(PRODUK Tdk Diterima, namun ada bukti TRANSFER)_x000a__x000a__x000a_7900117900065714"/>
        <s v="Request REFUND TRANSAKSI_x000a_(Product tidak diterima dan Cust request refund)_x000a__x000a_Refund 2 Feb_x000a__x000a_JP-004-260202-180644_x0009_02-02-2026_x0009_18:06:45_x0009_5000_x000a_JP-004-260202-180259_x0009_02-02-2026_x0009_18:03:01_x0009_5000_x000a_JP-017-260202-171156_x0009_02-02-2026_x0009_17:11:57_x0009_12183_x000a_JP-018-260202-164618_x0009_02-02-2026_x0009_16:46:18_x0009_12412_x000a_JP-004-260202-130239_x0009_02-02-2026_x0009_13:02:40_x0009_5000"/>
        <s v="Request BUKTI TRANSAKSI VOA dari BANK_x000a_(Customer sanggah transaksi CC atas penerbitan Visa)_x000a__x000a_Permohonan bukti transaksi merchant PRISMALINK #03022026 JCB"/>
        <s v="Request BUKTI TRANSAKSI VOA dari BANK_x000a_(Pengajuan Pre-Arb oleh Bank)_x000a__x000a_KONFIRMASI PRE ARBITRASI Prismalink*IND VISAARR 03/02/2026 118 TRX"/>
        <s v="Surat FRAUD dari BANK_x000a_(Dana Terpotong, Produk Tdk Diterima)_x000a__x000a_[O4d7ac47] Indikasi Penipuan: BAYAR2.COM/03022026/016_x000a__x000a_PT Kreasi Kode Kreatif_x000a_7900119200446240_x0009_15300000_x000a_7900119200446303_x0009_15000000_x000a_7900119200446461_x0009_25000000_x000a_7900119200446535_x0009_10000000_x000a_7900119200446559_x0009_10000000_x000a__x000a_PT TEKNOLOGI AWAN CERAH_x000a_7900121700050245_x0009_15000000_x000a_7900121700029736_x0009_25000000_x000a_7900121700079574_x0009_3000000_x000a__x000a__x000a__x000a__x000a__x000a__x000a_"/>
        <s v="Request BUKTI TRANSAKSI VOA dari BANK_x000a_(Customer sanggah transaksi CC atas penerbitan Visa)_x000a__x000a_PERMOHONAN BUKTI TRANSAKSI PRISMALINK*IND VISAARR #03/02/2026 5 RX"/>
        <s v="Request BUKTI TRANSAKSI VOA dari BANK_x000a_(Customer sanggah transaksi CC atas penerbitan Visa)_x000a__x000a_Missing receipt"/>
        <s v="Request STATUS TRANSAKSI dari CUSTOMER_x000a_(PRODUK Tdk Diterima, namun ada bukti TRANSFER))_x000a__x000a_Visa "/>
        <s v="Request BUKTI TRANSAKSI VOA dari BANK_x000a_(Customer sanggah transaksi CC atas penerbitan Visa)_x000a__x000a_KONFIRMASI CHARGEBACK Prismalink*IND VISAARR 03/02/2026 16 TRX"/>
        <s v="Request STATUS TRANSAKSI_x000a_(PRODUK Tdk Diterima, namun ada bukti TRANSFER)_x000a__x000a__x000a_NACL1345708453  "/>
        <s v="Request STATUS TRANSAKSI_x000a_(PRODUK Tdk Diterima, namun ada bukti TRANSFER)_x000a__x000a__x000a_NACL1333952445 // 7900125000086973   "/>
        <s v="Request STATUS TRANSAKSI_x000a_(PRODUK Tdk Diterima, namun ada bukti TRANSFER)_x000a__x000a__x000a_4041913203100010"/>
        <s v="Request STATUS TRANSAKSI_x000a_(PRODUK Tdk Diterima, namun ada bukti TRANSFER)_x000a__x000a__x000a_7900121700015415 / 2026020140100560134  "/>
        <s v="Request STATUS TRANSAKSI_x000a_(PRODUK Tdk Diterima, namun ada bukti TRANSFER)_x000a__x000a__x000a_7900117900086833"/>
        <s v="Request STATUS TRANSAKSI dari MERCHANT_x000a_(PRODUK diterima, dashboard belum update)_x000a__x000a_8919101205078593 / Tx-Bar-182-260202  "/>
        <s v="Request STATUS TRANSAKSI_x000a_(PRODUK Tdk Diterima, namun ada bukti TRANSFER)_x000a__x000a__x000a_7900125000099921 // NACL1345799183"/>
        <s v="Request STATUS TRANSAKSI_x000a_(PRODUK Tdk Diterima, namun ada bukti TRANSFER)_x000a__x000a_7900125000030059 //  NACL1345776002"/>
        <s v="Request STATUS TRANSAKSI dari MERCHANT_x000a_(PRODUK diterima, dashboard belum update)_x000a__x000a_1551200000096397 "/>
        <s v="Request STATUS TRANSAKSI dari MERCHANT_x000a_(PRODUK diterima, dashboard belum update)_x000a__x000a_4041910121477157 "/>
        <s v="Request STATUS TRANSAKSI dari Customer_x000a_(PRODUK Tdk Diterima, namun ada bukti TRANSFER double)_x000a__x000a_7900119200458531   "/>
        <s v="Request STATUS TRANSAKSI_x000a_(PRODUK Tdk Diterima, namun ada bukti TRANSFER)_x000a__x000a_7900125000071031"/>
        <s v="Request STATUS TRANSAKSI_x000a_(PRODUK Tdk Diterima, namun ada bukti TRANSFER)_x000a__x000a_8919101217343899"/>
        <s v="Request STATUS TRANSAKSI dari MERCHANT_x000a_(PRODUK diterima, dashboard belum update)_x000a__x000a_7900121700048952"/>
        <s v="Request REFUND TRANSAKSI_x000a_(Product tidak diterima dan Cust request refund)_x000a__x000a_Refund 3 Feb_x000a__x000a_JP-004-260203-202904_x0009_03-02-2026_x0009_20:29:05_x0009_12412_x000a_JP-017-260203-193321_x0009_03-02-2026_x0009_19:33:22_x0009_13760_x000a_JP-016-260203-154414_x0009_03-02-2026_x0009_15:44:15_x0009_10000_x000a_JP-004-260203-150424_x0009_03-02-2026_x0009_15:04:26_x0009_2880_x000a_JP-004-260203-013343_x0009_03-02-2026_x0009_01:33:44_x0009_5000_x000a_JP-004-260203-002212_x0009_03-02-2026_x0009_00:22:14_x0009_5000"/>
        <s v="Surat FRAUD dari BANK_x000a_(Dana Terpotong, Produk Tdk Diterima)_x000a__x000a_[O14c1072] Indikasi Penipuan: BAYAR2.COM/04022026/017_x000a__x000a_PT Envoiz Digital Indonesia_x000a_7900124900046168_x0009_15000000_x000a__x000a__x000a__x000a__x000a__x000a_"/>
        <s v="Surat FRAUD dari BANK_x000a_(Dana Terpotong, Produk Tdk Diterima)_x000a__x000a_[O67153aa] Indikasi Penipuan: BAYAR2.COM/04022026/019_x000a__x000a_PT Kreasi Kode Kreatif_x000a_7900119200449025_x0009_3400000_x000a__x000a__x000a__x000a__x000a_"/>
        <s v="Surat FRAUD dari BANK_x000a_(Dana Terpotong, Produk Tdk Diterima)_x000a__x000a__x000a_[O5d4d564] Indikasi Penipuan: BAYAR2.COM/04022026/018_x000a__x000a_PT Kreasi Kode Kreatif_x000a_7900119200449020_x0009_1600000_x000a_7900119200449018_x0009_1500000_x000a__x000a__x000a__x000a_"/>
        <s v="Request REFUND TRANSAKSI_x000a_(Product tidak diterima dan Cust request refund)_x000a__x000a_Refund 4 Februari 2026_x000a__x000a_JP-004-260204-212328_x0009_04-02-2026_x0009_21:23:29_x0009_2880_x000a_JP-016-260204-121837_x0009_04-02-2026_x0009_12:18:38_x0009_10000_x000a_JP-004-260204-113831_x0009_04-02-2026_x0009_11:38:33_x0009_2880_x000a_JP-003-260204-112902_x0009_04-02-2026_x0009_11:29:03_x0009_12412"/>
        <s v="Request STATUS TRANSAKSI dari Customer_x000a_(PRODUK Tdk Diterima, namun ada bukti TRANSFER double)_x000a__x000a_PT Daya Net Gemilang_x000a_4041910125016339_x0009_500000"/>
        <s v="Request BUKTI TRANSAKSI VOA dari BANK_x000a_(Customer request payment receipt)_x000a__x000a_Request for Indonesia e-visa receipt"/>
        <s v="Surat FRAUD dari BANK_x000a_(Dana Terpotong, Produk Tdk Diterima)_x000a__x000a_Surat Bilateral Bank Mandiri nomor NRO.CCR/CHM.2319/2026_x000a__x000a_PT Daya Net Gemilang_x000a_8903910125027706_x0009_8000000_x000a__x000a__x000a__x000a_"/>
        <s v="Request REFUND TRANSAKSI_x000a_(Product tidak diterima dan Cust request refund)_x000a__x000a_Refund 5 Februari 2026_x000a__x000a_JP-016-260205-120756_x0009_05-02-2026_x0009_12:07:57_x0009_10000_x000a_JP-019-260205-091142_x0009_05-02-2026_x0009_09:11:43_x0009_11000_x000a_JP-016-260205-081458_x0009_05-02-2026_x0009_08:14:59_x0009_11000_x000a_JP-016-260205-081356_x0009_05-02-2026_x0009_08:13:57_x0009_11000"/>
        <s v="Request STATUS TRANSAKSI_x000a_(PRODUK Tdk Diterima, namun ada bukti TRANSFER)_x000a__x000a_7900124900029798"/>
        <s v="Request STATUS TRANSAKSI_x000a_(PRODUK Tdk Diterima, namun ada bukti TRANSFER)_x000a__x000a_4041910117986475 / T3422430371014M6NNS"/>
        <s v="Request STATUS TRANSAKSI_x000a_(PRODUK Tdk Diterima, namun ada bukti TRANSFER)_x000a__x000a_4041910125056745 / NACL1351511663"/>
        <s v="Request STATUS TRANSAKSI_x000a_(PRODUK Tdk Diterima, namun ada bukti TRANSFER)_x000a__x000a_7900124900056239 / NACL1351676705"/>
        <s v="Request STATUS TRANSAKSI_x000a_(PRODUK Tdk Diterima, namun ada bukti TRANSFER)_x000a__x000a_T463983057318540S1I //_x000a_7900117900062502"/>
        <s v="Request STATUS TRANSAKSI_x000a_(PRODUK Tdk Diterima, namun ada bukti TRANSFER)_x000a__x000a_8903910125059726 / NACL1352424049"/>
        <s v="Request STATUS TRANSAKSI_x000a_(PRODUK Tdk Diterima, namun ada bukti TRANSFER)_x000a__x000a_8903910125071480 / NACL1352077593"/>
        <s v="Request STATUS TRANSAKSI_x000a_(PRODUK Tdk Diterima, namun ada bukti TRANSFER)_x000a__x000a_Tiket CRM - 28891424 - Virtual Account - Rekening Terdebet Tetapi Dana Belum Diterima - YUSUF_x000a__x000a_PT Daya Net Gemilang_x000a_9887101250373793_x0009_5000000"/>
        <s v="Request BUKTI TRANSAKSI VOA dari BANK_x000a_(Customer request payment receipt)_x000a__x000a_FW: [ASK] Request for visa on arrival payment receipt (RA0774771)"/>
        <s v="Request BUKTI TRANSAKSI VOA dari BANK_x000a_(Customer sanggah transaksi CC atas penerbitan Visa)_x000a__x000a_Permohonan bukti transaksi merchant PRISMALINK #09022026 JCB"/>
        <s v="Surat FRAUD dari BANK_x000a_(Dana Terpotong, Produk Tdk Diterima)_x000a__x000a_[O06cdab8] Indikasi Penipuan: BAYAR2.COM/09022026/020_x000a__x000a_PT TEKNOLOGI AWAN CERAH_x000a_7900121700022548_x0009_2000000_x000a__x000a__x000a_"/>
        <s v="Surat FRAUD dari BANK_x000a_(Dana Terpotong, Produk Tdk Diterima)_x000a__x000a_[O058f42d] Indikasi Penipuan: BAYAR2.COM/09022026/021_x000a__x000a_PT Kreasi Kode Kreatif_x000a_7900119200471136_x0009_1600000_x000a__x000a_PT TEKNOLOGI AWAN CERAH_x000a_7900121700005406_x0009_1500000_x000a__x000a_"/>
        <s v="Request REFUND TRANSAKSI_x000a_(Product tidak diterima dan Cust request refund)_x000a__x000a_Refund 9 Feb 2026_x000a__x000a_JP-003-260209-181456_x0009_09-02-2026_x0009_18:14:57_x0009_13000_x000a_JP-007-260209-180148_x0009_09-02-2026_x0009_18:01:49_x0009_12137_x000a_JP-012-260209-144034_x0009_09-02-2026_x0009_14:40:36_x0009_12412_x000a_JP-004-260209-135400_x0009_09-02-2026_x0009_13:54:02_x0009_5000_x000a_JP-001-260209-125236_x0009_09-02-2026_x0009_12:52:37_x0009_13000_x000a_JP-007-260209-103250_x0009_09-02-2026_x0009_10:32:51_x0009_12412_x000a_JP-013-260209-083600_x0009_09-02-2026_x0009_08:36:01_x0009_10000"/>
        <s v="Surat FRAUD dari BANK_x000a_(Dana Terpotong, Produk Tdk Diterima)_x000a__x000a_[O4fc7909] Indikasi Penipuan: BAYAR2.COM/10022026/022_x000a__x000a_PT Envoiz Digital Indonesia_x000a_7900124900027131_x0009_13000000_x000a_"/>
        <s v="Surat FRAUD dari BANK_x000a_(Dana Terpotong, Produk Tdk Diterima)_x000a__x000a_[O98fb5fd] Indikasi Penipuan: BAYAR2.COM/10022026/023_x000a__x000a_PT TEKNOLOGI AWAN CERAH_x000a_7900121700075125_x0009_2000000"/>
        <s v="Request BUKTI TRANSAKSI VOA dari BANK_x000a_(Customer sanggah transaksi CC atas penerbitan Visa)_x000a__x000a_Permohonan bukti transaksi merchant PRISMALINK #10022026 JCB"/>
        <s v="Request STATUS TRANSAKSI_x000a_(PRODUK Tdk Diterima, namun ada bukti TRANSFER)_x000a__x000a_ 7900125000092786 / NACL1354159953 "/>
        <s v="Request STATUS TRANSAKSI dari MERCHANT_x000a_(PRODUK diterima, dashboard belum update)_x000a__x000a_8919101249102581"/>
        <s v="Request STATUS TRANSAKSI dari MERCHANT_x000a_(PRODUK diterima, dashboard belum update)_x000a__x000a_P84799588"/>
        <s v="Request STATUS TRANSAKSI dari MERCHANT_x000a_(PRODUK diterima, dashboard belum update)_x000a__x000a_ 8919101249557168 / NACL1354173022"/>
        <s v="Request STATUS TRANSAKSI_x000a_(PRODUK Tdk Diterima, namun ada bukti TRANSFER)_x000a__x000a_8507000000165949"/>
        <s v="Request STATUS TRANSAKSI dari MERCHANT_x000a_(PRODUK diterima, dashboard belum update)_x000a__x000a_7900121700033081 / 2026020542500381048  "/>
        <s v="Request STATUS TRANSAKSI dari MERCHANT_x000a_(PRODUK diterima, dashboard belum update)_x000a__x000a_7900124900017522 / NACL1354750622"/>
        <s v="Request STATUS TRANSAKSI_x000a_(PRODUK Tdk Diterima, namun ada bukti TRANSFER)_x000a__x000a_7900125000092903 / NACL1354624702"/>
        <s v="Request STATUS TRANSAKSI dari MERCHANT_x000a_(PRODUK diterima, dashboard belum update)_x000a__x000a_1551200000089490 / 0011606022616514813"/>
        <s v="Request STATUS TRANSAKSI_x000a_(PRODUK Tdk Diterima, namun ada bukti TRANSFER)_x000a__x000a_4041913274578000"/>
        <s v="Request STATUS TRANSAKSI_x000a_(PRODUK Tdk Diterima, namun ada bukti TRANSFER)_x000a__x000a_4041910125089630"/>
        <s v="Request STATUS TRANSAKSI_x000a_(PRODUK Tdk Diterima, namun ada bukti TRANSFER)_x000a__x000a_4041910124910645 dengan ID NACL1359542459 "/>
        <s v="Request STATUS TRANSAKSI dari MERCHANT_x000a_(PRODUK diterima, dashboard belum update)_x000a__x000a_RRN 117342836 / Merchant Ref P85129951"/>
        <s v="Request STATUS TRANSAKSI dari MERCHANT_x000a_(PRODUK diterima, dashboard belum update)_x000a__x000a_RRN 604163150134 / RRN Qris 1llj77103939 / merchant ref no P85130928"/>
        <s v="Request STATUS TRANSAKSI dari MERCHANT_x000a_(PRODUK diterima, dashboard belum update)_x000a__x000a_RRN 017975853845 / merc ref no P85129952"/>
        <s v="Request STATUS TRANSAKSI dari MERCHANT_x000a_(PRODUK diterima, dashboard belum update)_x000a__x000a_RRN AX4UR577V3AN / merc ref no P85132190  "/>
        <s v="Request STATUS TRANSAKSI dari MERCHANT_x000a_(PRODUK diterima, dashboard belum update)_x000a__x000a_Reff no P85130928 // RRN 1llj77103939 _x000a_Reff no P85131460 // RRN 017903897263 _x000a_Reff no P85132190 // RRN AX4UR577V3AN  _x000a_Reff no P85131979 // RRN AX4UR577V0XY  _x000a_Reff no P85132010 // RRN 1lljs6l28537 _x000a_Reff no P85132301 // RRN 017859793086_x000a_Reff no P85132036 // RRN TNGD03180751 _x000a_Reff no P85131813 // RRN 000000M6GL9G _x000a_Reff no P85132299 // RRN 017882762737_x000a_Reff no P85131843 // RRN 018297528059 _x000a_Reff no P85131836 // RRN 018118986155_x000a_Reff no P85132218 // RRN 1c3228b71569  "/>
        <s v="Surat FRAUD dari BANK_x000a_(Dana Terpotong, Produk Tdk Diterima)_x000a__x000a_Re: Pengecekan Transaksi_x000a__x000a_PT ENVOIZ DIGITAL INDONESIA_x000a_8919101249219205_x0009_5610000"/>
        <s v="Request REFUND TRANSAKSI_x000a_(Product tidak diterima dan Cust request refund)_x000a__x000a_Refund 10 Februari 2026_x000a__x000a__x000a_JP-018-260210-224205_x0009_10-02-2026_x0009_22:42:20_x0009_VM Begawan LT 1_x0009_13000_x000a_JP-001-260210-185759_x0009_10-02-2026_x0009_18:58:00_x0009_VM RS Baptis 2_x0009_7289_x000a_JP-003-260210-141415_x0009_10-02-2026_x0009_14:14:16_x0009_VM Dinoyo Mall Lt 4_x0009_13000"/>
        <s v="Request BUKTI TRANSAKSI VOA dari BANK_x000a_(Customer sanggah transaksi CC atas penerbitan Visa)_x000a__x000a_PERMOHONAN BUKTI TRANSAKSI PRISMALINK*IND VISAARR #11/02/2026 22 RX"/>
        <s v="Request BUKTI TRANSAKSI VOA dari BANK_x000a_(Customer sanggah transaksi CC atas penerbitan Visa)_x000a__x000a_KONFIRMASI CHARGEBACK Prismalink*IND VISAARR 11/02/2026 43 TRX"/>
        <s v="Surat FRAUD dari BANK_x000a_(Dana Terpotong, Produk Tdk Diterima)_x000a__x000a_[O847270b] Indikasi Penipuan: BAYAR2.COM/11022026/025_x000a__x000a_PT Envoiz Digital Indonesia_x000a_7900124900061653_x0009_49756841"/>
        <s v="Request BUKTI TRANSAKSI VOA dari BANK_x000a_(Customer request payment receipt)_x000a__x000a_On Payment receipt__RE: FW: Arrival Card Submission – All Indonesia"/>
        <s v="Request REFUND TRANSAKSI_x000a_(Product tidak diterima dan Cust request refund)_x000a__x000a_Refund 11 Februari 2026_x000a__x000a_JP-001-260211-190859_x0009_11-02-2026_x0009_19:09:00_x0009_12412_x000a_JP-014-260211-133052_x0009_11-02-2026_x0009_13:30:52_x0009_13000_x000a_JP-017-260211-122004_x0009_11-02-2026_x0009_12:20:06_x0009_5000_x000a_JP-014-260211-024423_x0009_11-02-2026_x0009_02:44:24_x0009_12412"/>
        <s v="Surat FRAUD dari BANK_x000a_(Dana Terpotong, Produk Tdk Diterima)_x000a__x000a_[O1296dd1] Indikasi Penipuan: BAYAR2.COM/12022026/026_x000a__x000a_PT Kreasi Kode Kreatif_x000a_7900119200495477_x0009_4001234"/>
        <s v="Request BUKTI TRANSAKSI VOA dari BANK_x000a_(Customer request payment receipt)_x000a__x000a_URGENT REQUEST: Request for Receipt"/>
        <s v="Request REFUND TRANSAKSI_x000a_(Product tidak diterima dan Cust request refund)_x000a__x000a_Refund 12 Februari 2026_x000a__x000a_JP-004-260212-210207_x0009_12-02-2026_x0009_21:02:08_x0009_13000_x000a_JP-007-260212-144423_x0009_12-02-2026_x0009_14:44:24_x0009_11040_x000a_JP-012-260212-143809_x0009_12-02-2026_x0009_14:38:10_x0009_12412_x000a_"/>
        <s v="Request BUKTI TRANSAKSI VOA dari BANK_x000a_(Customer request payment receipt)_x000a__x000a_RE: Evoa Rece"/>
        <s v="Request LIMIT TRANSAKSI_x000a_(Permohonan kenaikan limit kartu kredit dr merchant atau pembukaan BIN untuk mendukung transaksi)_x000a__x000a_Penambahan limit transaksi"/>
        <s v="Request BUKTI TRANSAKSI VOA dari BANK_x000a_(Pengajuan Pre-Arb oleh Bank)_x000a__x000a_Permohonan bukti transaksi merchant PRISMALINK #13022026 JCB"/>
        <s v="Request BUKTI TRANSAKSI VOA dari BANK_x000a_(Customer sanggah transaksi CC atas penerbitan Visa)_x000a__x000a_ermohonan bukti transaksi merchant PRISMALINK #13022026 JCB"/>
        <s v="Request BUKTI TRANSAKSI VOA dari BANK_x000a_(Customer request payment receipt)_x000a__x000a_Request for Official Receipt – Indonesia e‑VOA Payment (Credit Card)"/>
        <s v="Request BUKTI TRANSAKSI VOA dari BANK_x000a_(Customer request payment receipt)_x000a__x000a_Receipt/invoice request"/>
        <s v="Request REFUND TRANSAKSI_x000a_(Product tidak diterima dan Cust request refund)_x000a__x000a_Refund 13,14,15 Februari 2026_x000a__x000a_JP-012-260213-201156_x0009_13-02-2026_x0009_20:11:57_x0009_5000_x000a_JP-014-260213-170040_x0009_13-02-2026_x0009_17:00:41_x0009_12412_x000a_JP-012-260213-161825_x0009_13-02-2026_x0009_16:18:27_x0009_5000_x000a_JP-012-260213-004532_x0009_13-02-2026_x0009_00:45:33_x0009_5000_x000a_JP-012-260214-204925_x0009_14-02-2026_x0009_20:49:26_x0009_12412_x000a_JP-016-260214-155957_x0009_14-02-2026_x0009_15:59:58_x0009_19528_x000a_JP-016-260214-155003_x0009_14-02-2026_x0009_15:50:04_x0009_16000_x000a_JP-017-260214-154946_x0009_14-02-2026_x0009_15:49:47_x0009_5000_x000a_JP-012-260214-151625_x0009_14-02-2026_x0009_15:16:27_x0009_5000_x000a_JP-012-260214-090231_x0009_14-02-2026_x0009_09:02:32_x0009_5000_x000a_JP-017-260214-084806_x0009_14-02-2026_x0009_08:48:07_x0009_8200_x000a_JP-012-260215-225938_x0009_15-02-2026_x0009_22:59:39_x0009_13000_x000a_JP-004-260215-213333_x0009_15-02-2026_x0009_21:33:34_x0009_7920_x000a_JP-003-260215-203902_x0009_15-02-2026_x0009_20:39:04_x0009_4392_x000a_JP-013-260215-182449_x0009_15-02-2026_x0009_18:24:51_x0009_12412_x000a_JP-013-260215-145222_x0009_15-02-2026_x0009_14:52:23_x0009_8960_x000a_JP-003-260215-141805_x0009_15-02-2026_x0009_14:18:07_x0009_5000_x000a_JP-013-260215-125120_x0009_15-02-2026_x0009_12:51:21_x0009_12412_x000a_JP-015-260215-121726_x0009_15-02-2026_x0009_12:17:28_x0009_16000_x000a_JP-015-260215-112302_x0009_15-02-2026_x0009_11:23:03_x0009_12000_x000a_JP-019-260215-103209_x0009_15-02-2026_x0009_10:32:10_x0009_11000_x000a_JP-015-260215-101617_x0009_15-02-2026_x0009_10:16:18_x0009_12000_x000a_JP-016-260215-100448_x0009_15-02-2026_x0009_10:04:49_x0009_16000_x000a_JP-012-260215-080152_x0009_15-02-2026_x0009_08:01:53_x0009_5000"/>
        <s v="Request BUKTI TRANSAKSI VOA dari BANK_x000a_(Customer request payment receipt)_x000a__x000a_Receipt E-VOA"/>
        <s v="Request STATUS TRANSAKSI_x000a_(PRODUK Tdk Diterima, namun ada bukti TRANSFER)_x000a__x000a_Saldo HFM saya tidak Bertamabah_x000a__x000a_PT Daya Net Gemilang_x000a_7900125000035413_x0009_100000"/>
        <s v="Request STATUS TRANSAKSI_x000a_(PRODUK Tdk Diterima, namun ada bukti TRANSFER)_x000a__x000a_DEPOSIT TIDAK MASUK_x000a__x000a_PT Daya Net Gemilang_x000a_7900125000006634_x0009_300000"/>
        <s v="Request REFUND TRANSAKSI_x000a_(Product tidak diterima dan Cust request refund)_x000a__x000a_Refund 16-17 Februari 2026_x000a__x000a_JP-016-260217-162348_x0009_17-02-2026_x0009_16:23:52_x0009_16000_x000a_JP-017-260217-154741_x0009_17-02-2026_x0009_15:47:42_x0009_8200_x000a_JP-006-260217-134000_x0009_17-02-2026_x0009_13:40:01_x0009_14000_x000a_JP-019-260217-071028_x0009_17-02-2026_x0009_07:10:30_x0009_11000_x000a_JP-004-260216-204856_x0009_16-02-2026_x0009_20:48:57_x0009_5467_x000a_JP-013-260216-190646_x0009_16-02-2026_x0009_19:06:47_x0009_12412_x000a_JP-017-260216-175113_x0009_16-02-2026_x0009_17:51:14_x0009_3029_x000a_JP-015-260216-155622_x0009_16-02-2026_x0009_15:56:24_x0009_9500_x000a_JP-012-260216-154226_x0009_16-02-2026_x0009_15:42:27_x0009_18000_x000a_JP-015-260216-151721_x0009_16-02-2026_x0009_15:17:22_x0009_12000_x000a_JP-020-260216-150501_x0009_16-02-2026_x0009_15:05:02_x0009_15500_x000a_JP-006-260216-144058_x0009_16-02-2026_x0009_14:41:01_x0009_10000_x000a_JP-020-260216-142146_x0009_16-02-2026_x0009_14:21:47_x0009_10320_x000a_JP-020-260216-140818_x0009_16-02-2026_x0009_14:08:19_x0009_10320_x000a_JP-020-260216-134857_x0009_16-02-2026_x0009_13:49:00_x0009_15500_x000a_JP-015-260216-123019_x0009_16-02-2026_x0009_12:30:20_x0009_12000_x000a_JP-020-260216-122814_x0009_16-02-2026_x0009_12:28:16_x0009_4000_x000a_JP-004-260216-121010_x0009_16-02-2026_x0009_12:10:12_x0009_4392_x000a_JP-006-260216-102536_x0009_16-02-2026_x0009_10:25:37_x0009_37800_x000a_JP-019-260216-093740_x0009_16-02-2026_x0009_09:37:41_x0009_13610_x000a_JP-007-260216-092019_x0009_16-02-2026_x0009_09:20:20_x0009_9500_x000a_JP-015-260216-090102_x0009_16-02-2026_x0009_09:01:03_x0009_11000_x000a_JP-012-260216-052427_x0009_16-02-2026_x0009_05:24:28_x0009_13000"/>
        <s v="Request STATUS TRANSAKSI_x000a_(PRODUK Tdk Diterima, namun ada bukti TRANSFER)_x000a__x000a_000000M3WCGJ"/>
        <s v="Request STATUS TRANSAKSI_x000a_(PRODUK Tdk Diterima, namun ada bukti TRANSFER)_x000a__x000a_8919101249080532"/>
        <s v="Request STATUS TRANSAKSI_x000a_(PRODUK Tdk Diterima, namun ada bukti TRANSFER)_x000a__x000a_602502662412"/>
        <s v="Request STATUS TRANSAKSI_x000a_(PRODUK Tdk Diterima, namun ada bukti TRANSFER)_x000a__x000a_P85132276, RRN AX4U1MEVM4QP "/>
        <s v="Request STATUS TRANSAKSI_x000a_(PRODUK Tdk Diterima, namun ada bukti TRANSFER)_x000a__x000a_000131476909 / NACL1361301912 "/>
        <s v="Request STATUS TRANSAKSI_x000a_(PRODUK Tdk Diterima, namun ada bukti TRANSFER)_x000a__x000a_7900125000090047 / NACL1361301858"/>
        <s v="Request STATUS TRANSAKSI dari MERCHANT_x000a_(PRODUK diterima, dashboard belum update)_x000a__x000a_P85130976, RRN TNGD03157280   "/>
        <s v="Request STATUS TRANSAKSI_x000a_(PRODUK Tdk Diterima, namun ada bukti TRANSFER)_x000a__x000a_8919101217435469"/>
        <s v="Request STATUS TRANSAKSI dari MERCHANT_x000a_(PRODUK diterima, dashboard belum update)_x000a__x000a_NACL1363464608 / 0012211022627001869  "/>
        <s v="Request STATUS TRANSAKSI dari MERCHANT_x000a_(PRODUK diterima, dashboard belum update)_x000a__x000a_NACL1363411164 // RRN 974528029699"/>
        <s v="Request STATUS TRANSAKSI dari MERCHANT_x000a_(PRODUK diterima, dashboard belum update)_x000a__x000a_0012211022636591571 // RRN 000162624943"/>
        <s v="Request STATUS TRANSAKSI dari MERCHANT_x000a_(PRODUK diterima, dashboard belum update)_x000a__x000a_NACL1364118431 / 8903910125073220"/>
        <s v="Request STATUS TRANSAKSI dari MERCHANT_x000a_(PRODUK diterima, dashboard belum update)_x000a__x000a_7900119200501488  / 2026021340100120177"/>
        <s v="Request STATUS TRANSAKSI dari MERCHANT_x000a_(PRODUK diterima, dashboard belum update)_x000a__x000a_7900119200501490 / 2026021340100120334"/>
        <s v="Request STATUS TRANSAKSI dari MERCHANT_x000a_(PRODUK diterima, dashboard belum update)_x000a__x000a_NACL1365474672 with RRN 602527504391"/>
        <s v="Request STATUS TRANSAKSI dari MERCHANT_x000a_(PRODUK diterima, dashboard belum update)_x000a__x000a_7900121700098603 / 2026021340100120391"/>
        <s v="Request STATUS TRANSAKSI_x000a_(PRODUK Tdk Diterima, namun ada bukti TRANSFER)_x000a__x000a_7900125000071732"/>
        <s v="Request STATUS TRANSAKSI dari MERCHANT_x000a_(PRODUK diterima, dashboard belum update)_x000a__x000a_7900121700094470"/>
        <s v="Request STATUS TRANSAKSI dari MERCHANT_x000a_(PRODUK diterima, dashboard belum update)_x000a__x000a_7900121700038986 /2026021340100119844 "/>
        <s v="Request STATUS TRANSAKSI dari MERCHANT_x000a_(PRODUK diterima, dashboard belum update)_x000a__x000a_7900121700098603"/>
        <s v="Request STATUS TRANSAKSI dari MERCHANT_x000a_(PRODUK diterima, dashboard belum update)_x000a__x000a_7900125000081846"/>
        <s v="Request STATUS TRANSAKSI dari MERCHANT_x000a_(PRODUK diterima, dashboard belum update)_x000a__x000a_7900125000071732"/>
        <s v="Request STATUS TRANSAKSI dari MERCHANT_x000a_(PRODUK diterima, dashboard belum update)_x000a__x000a_0000000MKFSVC"/>
        <s v="Request STATUS TRANSAKSI_x000a_(PRODUK Tdk Diterima, namun ada bukti TRANSFER)_x000a__x000a_602539449029"/>
        <s v="Request STATUS TRANSAKSI_x000a_(PRODUK Tdk Diterima, namun ada bukti TRANSFER)_x000a__x000a_NACL1366835049 / 7900125000098969"/>
        <s v="Request STATUS TRANSAKSI_x000a_(PRODUK Tdk Diterima, namun ada bukti TRANSFER)_x000a__x000a_NACL1366854083 / 8903910125032116"/>
        <s v="Request STATUS TRANSAKSI_x000a_(PRODUK Tdk Diterima, namun ada bukti TRANSFER)_x000a__x000a_NACL1366339379 / 7900125000008298"/>
        <s v="Request STATUS TRANSAKSI_x000a_(PRODUK Tdk Diterima, namun ada bukti TRANSFER)_x000a__x000a_NACL1366857934 / 7900125000086885"/>
        <s v="Request STATUS TRANSAKSI_x000a_(PRODUK Tdk Diterima, namun ada bukti TRANSFER)_x000a__x000a_NACL1366854859 / 7900125000094512"/>
        <s v="Request STATUS TRANSAKSI_x000a_(PRODUK Tdk Diterima, namun ada bukti TRANSFER)_x000a__x000a_NACL1367175675 / 018240468277"/>
        <s v="Request STATUS TRANSAKSI_x000a_(PRODUK Tdk Diterima, namun ada bukti TRANSFER)_x000a__x000a_NACL1367176561 / 000213702490"/>
        <s v="Request STATUS TRANSAKSI dari MERCHANT_x000a_(PRODUK diterima, dashboard belum update)_x000a__x000a_7900125000051597 / NACL1366854581"/>
        <s v="Request STATUS TRANSAKSI_x000a_(PRODUK Tdk Diterima, namun ada bukti TRANSFER)_x000a__x000a_7900125000060295 / NACL1366855505 "/>
        <s v="Request STATUS TRANSAKSI_x000a_(PRODUK Tdk Diterima, namun ada bukti TRANSFER)_x000a__x000a_7900125000012062 / NACL1366854518 "/>
        <s v="Request STATUS TRANSAKSI_x000a_(PRODUK Tdk Diterima, namun ada bukti TRANSFER)_x000a__x000a_NACL1366706815 / 7900125000079992"/>
        <s v="Request STATUS TRANSAKSI_x000a_(PRODUK Tdk Diterima, namun ada bukti TRANSFER)_x000a__x000a_NACL1367176272 / 1lpaiiv08236 "/>
        <s v="Request STATUS TRANSAKSI dari MERCHANT_x000a_(PRODUK diterima, dashboard belum update)_x000a__x000a_NACL1369297935 RRN 000245991398_x000a_NACL1369297562 RRN 000245988557_x000a_NACL1369290465 No ref: 000000MPVMDZ_x000a_NACL1369281125 RRN 000245874754_x000a_NACL1369281242 No ref: 000000MPVJPS_x000a_NACL1369281235 RRN 017819672633_x000a_NACL1369281125 RRN 000245874754"/>
        <s v="Request STATUS TRANSAKSI_x000a_(PRODUK Tdk Diterima, namun ada bukti TRANSFER)_x000a__x000a_NACL1367717823 / 018010459709"/>
        <s v="Request STATUS TRANSAKSI_x000a_(PRODUK Tdk Diterima, namun ada bukti TRANSFER)_x000a__x000a_7900125000001990 / NACL1368236774 "/>
        <s v="Request STATUS TRANSAKSI dari MERCHANT_x000a_(PRODUK diterima, dashboard belum update)_x000a__x000a_7900121700073313"/>
        <s v="Request STATUS TRANSAKSI_x000a_(PRODUK Tdk Diterima, namun ada bukti TRANSFER)_x000a__x000a_7900117900024848"/>
        <s v="Request STATUS TRANSAKSI_x000a_(PRODUK Tdk Diterima, namun ada bukti TRANSFER)_x000a__x000a_4041910117901473"/>
        <s v="Request STATUS TRANSAKSI dari MERCHANT_x000a_(PRODUK diterima, dashboard belum update)_x000a__x000a_0012214022667443438 / 000245947200_x000a_0012214022667443438 / 000245947200"/>
        <s v="Request STATUS TRANSAKSI dari MERCHANT_x000a_(PRODUK diterima, dashboard belum update)_x000a__x000a_NACL1369281077 / 1lqhrmh65214 _x000a_NACL1369297979 / 000245991440"/>
        <s v="Request STATUS TRANSAKSI dari MERCHANT_x000a_(PRODUK diterima, dashboard belum update)_x000a__x000a_NACL1370081169_x000a_RRN 021511464333  "/>
        <s v="Request STATUS TRANSAKSI dari MERCHANT_x000a_(PRODUK diterima, dashboard belum update)_x000a__x000a_NACL1370094414 // 602559464466"/>
        <s v="Request STATUS TRANSAKSI dari MERCHANT_x000a_(PRODUK diterima, dashboard belum update)_x000a__x000a_NACL1369300081 // 246038359"/>
        <s v="Request STATUS TRANSAKSI dari MERCHANT_x000a_(PRODUK diterima, dashboard belum update)_x000a__x000a_NACL1370072642 // 255910115"/>
        <s v="Request STATUS TRANSAKSI dari MERCHANT_x000a_(PRODUK diterima, dashboard belum update)_x000a__x000a_NACL1370075075 // 976138035006"/>
        <s v="Request STATUS TRANSAKSI dari MERCHANT_x000a_(PRODUK diterima, dashboard belum update)_x000a__x000a_NACL1370115936 // 017987442822"/>
        <s v="Request STATUS TRANSAKSI dari MERCHANT_x000a_(PRODUK diterima, dashboard belum update)_x000a__x000a_NACL1370115608 // 257122900"/>
        <s v="Request STATUS TRANSAKSI dari MERCHANT_x000a_(PRODUK diterima, dashboard belum update)_x000a__x000a_NACL1370132235 // 257670331"/>
        <s v="Request STATUS TRANSAKSI dari MERCHANT_x000a_(PRODUK diterima, dashboard belum update)_x000a__x000a_NACL1370134627 // 257762310"/>
        <s v="Request STATUS TRANSAKSI dari MERCHANT_x000a_(PRODUK diterima, dashboard belum update)_x000a__x000a_NACL1370142485 // 258010016"/>
        <s v="Request STATUS TRANSAKSI dari MERCHANT_x000a_(PRODUK diterima, dashboard belum update)_x000a__x000a_NACL1370091332 // 000000MRHMHN"/>
        <s v="Request STATUS TRANSAKSI dari MERCHANT_x000a_(PRODUK diterima, dashboard belum update)_x000a__x000a_NACL1370122054 // 001005859335"/>
        <s v="Request STATUS TRANSAKSI dari MERCHANT_x000a_(PRODUK diterima, dashboard belum update)_x000a__x000a_NACL1370104678 // 256850473"/>
        <s v="Request STATUS TRANSAKSI dari MERCHANT_x000a_(PRODUK diterima, dashboard belum update)_x000a__x000a_NACL1370129272 // 602550801833"/>
        <s v="Request STATUS TRANSAKSI dari MERCHANT_x000a_(PRODUK diterima, dashboard belum update)_x000a__x000a_NACL1370117797 // 1lr51pt26990"/>
        <s v="Request STATUS TRANSAKSI dari MERCHANT_x000a_(PRODUK diterima, dashboard belum update)_x000a__x000a_NACL1370082719 // 256174313"/>
        <s v="Request STATUS TRANSAKSI dari MERCHANT_x000a_(PRODUK diterima, dashboard belum update)_x000a__x000a_NACL1370138283 // 1lr5opl47953"/>
        <s v="Request STATUS TRANSAKSI dari MERCHANT_x000a_(PRODUK diterima, dashboard belum update)_x000a__x000a_T001230869800QIRHW_x000a_7900117900035323"/>
        <s v="Request STATUS TRANSAKSI dari MERCHANT_x000a_(PRODUK diterima, dashboard belum update)_x000a__x000a_NACL1370123787 / 018022395802"/>
        <s v="Request STATUS TRANSAKSI dari MERCHANT_x000a_(PRODUK diterima, dashboard belum update)_x000a__x000a_NACL1370114801 / 976155509926"/>
        <s v="Request STATUS TRANSAKSI dari MERCHANT_x000a_(PRODUK diterima, dashboard belum update)_x000a__x000a_NACL1370110066 / 976154527770"/>
        <s v="Request STATUS TRANSAKSI dari MERCHANT_x000a_(PRODUK diterima, dashboard belum update)_x000a__x000a_NACL1370088025 / 319292348608_x000a_NACL1370112965 / 017791140949_x000a_NACL1370094098 / 602559463598"/>
        <s v="Request STATUS TRANSAKSI dari MERCHANT_x000a_(PRODUK diterima, dashboard belum update)_x000a__x000a_NACL1370103355 / 018096275529_x000a_NACL1370097281 / 000000MRJ6YL_x000a_NACL1370124893 / 257442783_x000a_NACL1370132899 / 001005883196"/>
        <s v="Request STATUS TRANSAKSI dari MERCHANT_x000a_(PRODUK diterima, dashboard belum update)_x000a__x000a_NACL1370123129 / 296a03fb1778_x000a_NACL1370126785 / 257531270"/>
        <s v="Request STATUS TRANSAKSI dari MERCHANT_x000a_(PRODUK diterima, dashboard belum update)_x000a__x000a_NACL1369294518 / 602548312706"/>
        <s v="Request STATUS TRANSAKSI dari MERCHANT_x000a_(PRODUK diterima, dashboard belum update)_x000a__x000a_NACL1365776982 / 7900125000071732"/>
        <s v="Request STATUS TRANSAKSI_x000a_(PRODUK Tdk Diterima, namun ada bukti TRANSFER)_x000a__x000a_7900125000090368"/>
        <s v="Request STATUS TRANSAKSI_x000a_(PRODUK Tdk Diterima, namun ada bukti TRANSFER)_x000a__x000a_7900121700010913_x000a_2026021640100617501     "/>
        <s v="Request BUKTI TRANSAKSI VOA dari BANK_x000a_(Customer sanggah transaksi CC atas penerbitan Visa)_x000a__x000a_Permohonan bukti transaksi merchant PRISMALINK #18022026 JCB"/>
        <s v="Surat FRAUD dari BANK_x000a_(Dana Terpotong, Produk Tdk Diterima)_x000a__x000a_[Obb37ffa] Indikasi Penipuan: BAYAR2.COM/18022026/027_x000a__x000a_PT Kreasi Kode Kreatif_x000a_7900119200516784_x0009_5679000"/>
        <s v="Request STATUS TRANSAKSI_x000a_(PRODUK Tdk Diterima, namun ada bukti TRANSFER)_x000a__x000a_[spam][Bitdefender scam detection] Pesan Baru! Form Hubungi Kami_x000a__x000a_PT Daya Net Gemilang_x000a_4041910125063028_x0009_11000000"/>
        <s v="Request STATUS TRANSAKSI_x000a_(PRODUK Tdk Diterima, namun ada bukti TRANSFER)_x000a__x000a_[O550f45b] Rekap : 06/VA ONLINE/BAYAR2.COM_x000a__x000a_PT Envoiz Digital Indonesia_x000a_7900124900090110_x0009_500000_x000a_7900124900013783_x0009_1800000_x000a__x000a_PT Daya Net Gemilang_x000a_7900125000090943_x0009_320000_x000a_7900125000027358_x0009_20000000_x000a_7900125000054833_x0009_10000000_x000a_7900125000086593_x0009_500000_x000a__x000a_PT TEKNOLOGI AWAN CERAH_x000a_7900121700037987_x0009_50000"/>
        <s v="Request REFUND TRANSAKSI_x000a_(Product tidak diterima dan Cust request refund)_x000a__x000a_Refund 18 Feb 2026_x000a__x000a_JP-019-260218-183736_x0009_18-02-2026_x0009_18:37:37_x0009_15500_x000a_JP-013-260218-160121_x0009_18-02-2026_x0009_16:01:22_x0009_5000_x000a_JP-019-260218-123101_x0009_18-02-2026_x0009_12:31:02_x0009_19528_x000a_JP-006-260218-075509_x0009_18-02-2026_x0009_07:55:10_x0009_37800_x000a_JP-001-260218-060525_x0009_18-02-2026_x0009_06:05:26_x0009_17359"/>
        <s v="Request BUKTI TRANSAKSI VOA dari BANK_x000a_(Customer sanggah transaksi CC atas penerbitan Visa)_x000a__x000a_PERMOHONAN BUKTI TRANSAKSI PRISMALINK*IND VISAARR #19/02/2026 24 RX"/>
        <s v="Surat FRAUD dari BANK_x000a_(Dana Terpotong, Produk Tdk Diterima)_x000a__x000a_[O748a414] Indikasi Penipuan: BAYAR2.COM/19022026/028_x000a__x000a_PT Kreasi Kode Kreatif_x000a_7900119200524232_x0009_8536680"/>
        <s v="Surat FRAUD dari BANK_x000a_(Dana Terpotong, Produk Tdk Diterima)_x000a__x000a_[Oc023569] Indikasi Penipuan: BAYAR2.COM/19022026/029_x000a__x000a_PT Kreasi Kode Kreatif_x000a_7900119200478346_x0009_1600000"/>
        <s v="Surat FRAUD dari BANK_x000a_(Dana Terpotong, Produk Tdk Diterima)_x000a__x000a_[O9c6e4b7] Indikasi Penipuan: BAYAR2.COM/19022026/030_x000a__x000a_PT Envoiz Digital Indonesia_x000a_7900124900074226_x0009_2000000_x000a_7900124900008872_x0009_400000_x000a_7900124900095965_x0009_2500000_x000a_7900124900047442_x0009_500000_x000a__x000a_PT Daya Net Gemilang_x000a_7900125000047245_x0009_500000_x000a_7900125000085974_x0009_4500000"/>
        <s v="Surat FRAUD dari BANK_x000a_(Dana Terpotong, Produk Tdk Diterima)_x000a__x000a_Penipuan melalui prisma link (SEGERA BEKUKAN)_x000a__x000a_PT TEKNOLOGI AWAN CERAH_x000a_7900121700073485_x0009_1500000_x000a__x000a_PT Kreasi Kode Kreatif_x000a_7900119200528237_x0009_1600000"/>
        <s v="Request BUKTI TRANSAKSI VOA dari BANK_x000a_(Customer sanggah transaksi CC atas penerbitan Visa)_x000a__x000a_KONFIRMASI CHARGEBACK Prismalink*IND VISAARR 19/02/2026 33 TRX"/>
        <s v="Request REFUND TRANSAKSI_x000a_(Product tidak diterima dan Cust request refund)_x000a__x000a_Refund 19 Februari 2026_x000a__x000a_JP-001-260219-200200_x0009_19-02-2026_x0009_20:02:01_x0009_13000_x000a_JP-018-260219-112759_x0009_19-02-2026_x0009_11:28:00_x0009_12412"/>
        <s v="Request BUKTI TRANSAKSI VOA dari BANK_x000a_(Customer request payment receipt)_x000a__x000a_EVISA Payment"/>
        <s v="Request BUKTI TRANSAKSI VOA dari BANK_x000a_(Customer request payment receipt)_x000a__x000a_Invoice for VISA B12E1100JB260368335"/>
        <s v="Surat FRAUD dari BANK_x000a_(Dana Terpotong, Produk Tdk Diterima)_x000a__x000a_[O2b46036] Indikasi Penipuan: BAYAR2.COM/20022026/031_x000a__x000a_PT Kreasi Kode Kreatif_x000a_7900119200499089_x0009_3400000"/>
        <s v="Request STATUS TRANSAKSI dari BANK (ACQ NOBU)_x000a_(PRODUK Tdk Diterima Customer, _x000a_SWITCHING &amp; ACQ telah credit dana)_x000a__x000a_DISPUTE 19022026 PT PRISMALINK INTERNATIONAL_x000a__x000a_0011215022643362896_x000a_0011215022641605114"/>
        <s v="Request STATUS TRANSAKSI dari MERCHANT_x000a_(PRODUK diterima, dashboard belum update)_x000a__x000a_7900121700009950 / 2026020740100501246_x000a_8919101217465198 / 2026021240100079004"/>
        <s v="Request STATUS TRANSAKSI dari MERCHANT_x000a_(PRODUK diterima, dashboard belum update)_x000a__x000a_NACL1366876226"/>
        <s v="Request STATUS TRANSAKSI dari MERCHANT_x000a_(PRODUK diterima, dashboard belum update)_x000a__x000a_NACL1369094714"/>
        <s v="Request STATUS TRANSAKSI_x000a_(PRODUK Tdk Diterima, namun ada bukti TRANSFER)_x000a__x000a_4041913211500257"/>
        <s v="Request STATUS TRANSAKSI dari MERCHANT_x000a_(PRODUK diterima, dashboard belum update)_x000a__x000a_2521100003-260215131938 / 602559694183"/>
        <s v="Request STATUS TRANSAKSI dari MERCHANT_x000a_(PRODUK diterima, dashboard belum update)_x000a__x000a_7900121700040304 _x000a_8919101217968414"/>
        <s v="Request STATUS TRANSAKSI_x000a_(PRODUK Tdk Diterima, namun ada bukti TRANSFER)_x000a__x000a_7900117900010943"/>
        <s v="Request STATUS TRANSAKSI_x000a_(PRODUK Tdk Diterima, namun ada bukti TRANSFER)_x000a__x000a_P85949764 dengan RRN 001016215755   "/>
        <s v="Request STATUS TRANSAKSI_x000a_(PRODUK Tdk Diterima, namun ada bukti TRANSFER)_x000a__x000a_2189132221900002"/>
        <s v="Request STATUS TRANSAKSI dari BANK (ACQ NOBU)_x000a_(PRODUK Tdk Diterima Customer, _x000a_SWITCHING &amp; ACQ telah credit dana)_x000a__x000a_DISPUTE 18022026 PT PRISMALINK INTERNATIONAL_x000a__x000a_0011813022699661068_x000a_0011110022618158535"/>
        <s v="Request STATUS TRANSAKSI_x000a_(PRODUK Tdk Diterima, namun ada bukti TRANSFER)_x000a__x000a_7900124900009891 ID NACL1377974281   "/>
        <s v="Request STATUS TRANSAKSI_x000a_(PRODUK Tdk Diterima, namun ada bukti TRANSFER)_x000a__x000a_79001192003810 / 2026022140100713854"/>
        <s v="Request STATUS TRANSAKSI_x000a_(PRODUK Tdk Diterima, namun ada bukti TRANSFER)_x000a__x000a_7900119200538160"/>
        <s v="Request STATUS TRANSAKSI dari BANK (ACQ NOBU)_x000a_(PRODUK Tdk Diterima Customer, _x000a_SWITCHING &amp; ACQ telah credit dana)_x000a__x000a_Dispute 20022026 PT PRISMALINK INTERNATIONAL_x000a__x000a_0011115022602263873_x000a_0011115022681044769"/>
        <s v="Request REFUND TRANSAKSI_x000a_(Product tidak diterima dan Cust request refund)_x000a__x000a_Refund 20,21,22 Februari 2026_x000a__x000a_JP-018-260220-184940_x0009_20-02-2026_x0009_18:49:41_x0009_12412_x000a_JP-017-260220-145546_x0009_20-02-2026_x0009_14:55:47_x0009_8200_x000a_JP-007-260220-084801_x0009_20-02-2026_x0009_08:48:05_x0009_5000_x000a_JP-018-260221-225132_x0009_21-02-2026_x0009_22:51:33_x0009_13000_x000a_JP-017-260221-105127_x0009_21-02-2026_x0009_10:51:28_x0009_8200_x000a_JP-006-260221-104731_x0009_21-02-2026_x0009_10:47:31_x0009_37800_x000a_JP-006-260221-104341_x0009_21-02-2026_x0009_10:43:42_x0009_37800_x000a_JP-017-260221-101650_x0009_21-02-2026_x0009_10:16:51_x0009_5000_x000a_JP-001-260221-071005_x0009_21-02-2026_x0009_07:10:06_x0009_11000_x000a_JP-017-260222-182500_x0009_22-02-2026_x0009_18:25:01_x0009_12412_x000a_JP-015-260222-160519_x0009_22-02-2026_x0009_16:05:20_x0009_15500_x000a_JP-013-260222-125158_x0009_22-02-2026_x0009_12:52:00_x0009_4392_x000a_JP-001-260222-122234_x0009_22-02-2026_x0009_12:22:36_x0009_12412_x000a_JP-019-260222-084500_x0009_22-02-2026_x0009_08:45:01_x0009_16000_x000a_JP-019-260222-084120_x0009_22-02-2026_x0009_08:41:21_x0009_16000"/>
        <s v="Surat FRAUD dari BANK_x000a_(Dana Terpotong, Produk Tdk Diterima)_x000a__x000a_[O4843077] Indikasi Penipuan: BAYAR2.COM/23022026/032_x000a__x000a_PT Kreasi Kode Kreatif_x000a_7900119200478171_x0009_1400000"/>
        <s v="Request STATUS TRANSAKSI_x000a_(PRODUK Tdk Diterima, namun ada bukti TRANSFER)_x000a__x000a_Re: PERMINTAAN KLARIFIKASI RESMI - Transaksi VA 7900125000030059 Tertanggal 02-02-2026 sebesar IDR 10.200.000_x000a_7900125000030059"/>
        <s v="Surat FRAUD dari BANK_x000a_(Dana Terpotong, Produk Tdk Diterima)_x000a__x000a_[O42985c6] Indikasi Penipuan: BAYAR2.COM/23022026/033_x000a__x000a_PT TEKNOLOGI AWAN CERAH_x000a_7900121700039587_x0009_1500000"/>
        <s v="Request BUKTI TRANSAKSI VOA dari BANK_x000a_(Pengajuan Pre-Arb oleh Bank)_x000a__x000a_KONFIRMASI PRE ARBITRASI Prismalink*IND VISAARR 23/02/2026 26 TRX"/>
        <s v="Surat FRAUD dari BANK_x000a_(Dana Terpotong, Produk Tdk Diterima)_x000a__x000a_[O948b325] Indikasi Penipuan: BAYAR2.COM/23022026/034_x000a__x000a_PT Envoiz Digital Indonesia_x000a_7900124900020332_x0009_100000000_x000a__x000a_PT Daya Net Gemilang_x000a_7900125000025722_x0009_100000000_x000a_7900125000054239_x0009_100000000"/>
        <s v="Request STATUS TRANSAKSI (ACQ NOBU)_x000a_(PRODUK Tdk Diterima Customer, _x000a_SWITCHING &amp; ACQ telah credit dana)_x000a__x000a_Surat DISPUTE dari NOBU_x000a_DISPUTE 23022026 PT PRISMALINK INTERNATIONAL_x000a__x000a_0010413022673232630_x000a_0011118022655067913_x000a_0012312022666872929"/>
        <s v="Request REFUND TRANSAKSI_x000a_(Product tidak diterima dan Cust request refund)_x000a__x000a_Refund 23 Feb 2026_x000a__x000a_JP-001-260223-112225_x0009_23-02-2026_x0009_11:22:26_x0009_7289_x000a_JP-017-260223-104547_x0009_23-02-2026_x0009_10:45:50_x0009_8200_x000a_JP-001-260223-093632_x0009_23-02-2026_x0009_09:36:33_x0009_12412_x000a_JP-013-260223-002804_x0009_23-02-2026_x0009_00:28:06_x0009_5467"/>
        <s v="Request STATUS TRANSAKSI_x000a_(PRODUK Tdk Diterima, namun ada bukti TRANSFER)_x000a__x000a_7900124900099922_x0009_1000000"/>
        <s v="Request STATUS TRANSAKSI_x000a_(PRODUK Tdk Diterima, namun ada bukti TRANSFER)_x000a__x000a_RRN 456589067 NACL1380556062"/>
        <s v="Request STATUS TRANSAKSI dari MERCHANT_x000a_(PRODUK diterima, dashboard belum update)_x000a__x000a_7900121700061315"/>
        <s v="Request BUKTI TRANSAKSI VOA dari BANK_x000a_(Customer sanggah transaksi CC atas penerbitan Visa)_x000a__x000a_PERMOHONAN BUKTI TRANSAKSI PRISMALINK*IND VISAARR #25/02/2026 22 RX"/>
        <s v="Request BUKTI TRANSAKSI VOA dari BANK_x000a_(Customer sanggah transaksi CC atas penerbitan Visa)_x000a__x000a_PERMOHONAN BUKTI TRANSAKSI PRISMALINK*PT EIZEM IN #25/02/2026 1 TRX"/>
        <s v="Request BUKTI TRANSAKSI VOA dari BANK_x000a_(Customer sanggah transaksi CC atas penerbitan Visa)_x000a__x000a_Failed ATM Withdrawal – Lombok Airport – 04 February 2026"/>
        <s v="Request BUKTI TRANSAKSI VOA dari BANK_x000a_(Pengajuan Pre-Arb oleh Bank)_x000a__x000a_KONFIRMASI PRE ARBITRASI Prismalink*IND VISAARR 25/02/2026 33 TRX"/>
        <s v="Request BUKTI TRANSAKSI VOA dari BANK_x000a_(Pengajuan Pre-Arb oleh Bank)_x000a__x000a_KONFIRMASI PRE ARBITRASI PRISMALINK*PT CERDIK K 25/02/2026 1 TRX"/>
        <s v="Request STATUS TRANSAKSI_x000a_(PRODUK Tdk Diterima, namun ada bukti TRANSFER)_x000a__x000a_NACL1364325455 / 000171597831"/>
        <s v="Request STATUS TRANSAKSI_x000a_(PRODUK Tdk Diterima, namun ada bukti TRANSFER)_x000a__x000a_P86310732_x000a_P86310127"/>
        <s v="Request STATUS TRANSAKSI_x000a_(PRODUK Tdk Diterima, namun ada bukti TRANSFER)_x000a__x000a_7900125000002770 // ID NACL1381985184 "/>
        <s v="Request STATUS TRANSAKSI dari MERCHANT_x000a_(PRODUK diterima, dashboard belum update)_x000a__x000a_2511110028-260210110146 / 118234269"/>
        <s v="Request STATUS TRANSAKSI dari MERCHANT_x000a_(PRODUK diterima, dashboard belum update)_x000a__x000a_7900121700059960"/>
        <s v="Surat FRAUD dari BANK_x000a_(Dana Terpotong, Produk Tdk Diterima)_x000a__x000a_Pengecekan transakasi VA 7900119200553113 _x000a__x000a_PT Kreasi Kode Kreatif_x000a_7900119200553113_x0009_1700000"/>
        <s v="Request REFUND TRANSAKSI_x000a_(Product tidak diterima dan Cust request refund)_x000a__x000a_Refund 25 Feb 2026_x000a__x000a_JP-017-260225-192155_x0009_25-02-2026_x0009_19:21:56_x0009_8200_x000a_JP-001-260225-150228_x0009_25-02-2026_x0009_15:02:30_x0009_12412_x000a_JP-001-260225-111532_x0009_25-02-2026_x0009_11:15:33_x0009_6000_x000a_JP-006-260225-101058_x0009_25-02-2026_x0009_10:10:59_x0009_10000_x000a_JP-017-260225-063932_x0009_25-02-2026_x0009_06:39:33_x0009_9000_x000a_JP-018-260225-021644_x0009_25-02-2026_x0009_02:16:46_x0009_12412"/>
        <s v="Request BUKTI TRANSAKSI VOA dari BANK_x000a_(Pengajuan Pre-Arb oleh Bank)_x000a__x000a_Re: KONFIRMASI PRE ARBITRASI Prismalink*IND VISAARR 26/02/2026 40TRX"/>
        <s v="Surat FRAUD dari BANK_x000a_(Dana Terpotong, Produk Tdk Diterima)_x000a__x000a_Permintaan Penahanan Dana_x000a__x000a_PT Envoiz Digital Indonesia_x000a__x000a_7900124900006227_x0009_22448500"/>
        <s v="Request REFUND TRANSAKSI_x000a_(Product tidak diterima dan Cust request refund)_x000a__x000a_Refund 26 Februari2026_x000a__x000a_JP-013-260226-212351_x0009_26-02-2026_x0009_21:23:52_x0009_6867_x000a_JP-013-260226-212304_x0009_26-02-2026_x0009_21:23:05_x0009_5467_x000a_JP-013-260226-211621_x0009_26-02-2026_x0009_21:16:22_x0009_5467_x000a_JP-007-260226-202346_x0009_26-02-2026_x0009_20:23:47_x0009_20000_x000a_JP-003-260226-181605_x0009_26-02-2026_x0009_18:16:06_x0009_12412_x000a_JP-017-260226-110109_x0009_26-02-2026_x0009_11:01:10_x0009_8200"/>
        <s v="Request BUKTI TRANSAKSI VOA dari BANK_x000a_(Pengajuan Pre-Arb oleh Bank)_x000a__x000a_KONFIRMASI PRE-ARBRITASI PRISMALINK*PT CERDIK K#25/02/2026 3 TRX"/>
        <s v="Request BUKTI TRANSAKSI VOA dari BANK_x000a_(Customer sanggah transaksi CC atas penerbitan Visa)_x000a__x000a_***SPAM***  KONFIRMASI CHARGEBACK Prismalink*IND VISAARR 26/02/2026 26 TRX"/>
        <s v="Request STATUS TRANSAKSI_x000a_(PRODUK Tdk Diterima, namun ada bukti TRANSFER)_x000a__x000a_[VJI] Request Pengecekan Virtual Account Mandiri Direct - 27 Feb 2026_x000a__x000a_PT VISI JAYA INDONESIA_x000a_8903903600032571_x0009_2127654"/>
        <s v="Surat FRAUD dari BANK_x000a_(Dana Terpotong, Produk Tdk Diterima)_x000a__x000a_[Ofc47815] Indikasi Penipuan: BAYAR2.COM/27022026/035_x000a__x000a_PT TEKNOLOGI AWAN CERAH_x000a_7900121700032643_x0009_2800000"/>
        <s v="Request BUKTI TRANSAKSI VOA dari BANK_x000a_(Customer request payment receipt)_x000a__x000a_Requirements of Copy Invoice/Receipts - Visa on Arrival"/>
        <s v="Request BUKTI TRANSAKSI VOA dari BANK_x000a_(Pengajuan Pre-Arb oleh Bank)_x000a__x000a_KONFIRMASI PRE ARBITRASI Prismalink*IND VISAARR 27/02/2026 33 TRX"/>
        <s v="Surat FRAUD dari BANK_x000a_(Dana Terpotong, Produk Tdk Diterima)_x000a__x000a_[Oc35af30] Indikasi Penipuan: BAYAR2.COM/27022026/036_x000a__x000a_PT Envoiz Digital Indonesia_x000a_7900124900006227_x0009_22448500"/>
        <s v="Request BUKTI REFUND TRANSAKSI_x000a_(Customer request refund transaksi double)_x000a__x000a_Request for Refund – Duplicate Visa Transaction"/>
        <s v="Request REFUND TRANSAKSI_x000a_(Product tidak diterima dan Cust request refund)_x000a__x000a_Refund 27, 28 Feb -1 Mar 2026_x000a__x000a_JP-018-260227-192739_x0009_27-02-2026_x0009_5000_x000a_JP-003-260227-185140_x0009_27-02-2026_x0009_12412_x000a_JP-001-260227-155453_x0009_27-02-2026_x0009_12412_x000a_JP-015-260227-135811_x0009_27-02-2026_x0009_8000_x000a_JP-018-260227-103618_x0009_27-02-2026_x0009_12412_x000a_JP-018-260227-055111_x0009_27-02-2026_x0009_5000_x000a_JP-004-260227-011515_x0009_27-02-2026_x0009_6600_x000a_JP-003-260228-190428_x0009_28-02-2026_x0009_9433_x000a_JP-017-260228-111641_x0009_28-02-2026_x0009_8200_x000a_JP-013-260228-001937_x0009_28-02-2026_x0009_5467_x000a_JP-012-260301-212546_x0009_01-03-2026_x0009_13000_x000a_JP-001-260301-192221_x0009_01-03-2026_x0009_8960_x000a_JP-004-260301-175151_x0009_01-03-2026_x0009_5000_x000a_JP-017-260301-173139_x0009_01-03-2026_x0009_9000_x000a_JP-017-260301-173045_x0009_01-03-2026_x0009_9000_x000a_JP-016-260301-152620_x0009_01-03-2026_x0009_16000_x000a_JP-003-260301-145457_x0009_01-03-2026_x0009_12412_x000a_JP-012-260301-125155_x0009_01-03-2026_x0009_20000_x000a_JP-012-260301-124938_x0009_01-03-2026_x0009_20000_x000a_JP-015-260301-114627_x0009_01-03-2026_x0009_8000"/>
        <s v="Request STATUS TRANSAKSI_x000a_(PRODUK Tdk Diterima, namun ada bukti TRANSFER)_x000a__x000a_P86460043 dengan RRN QRIS 1m4f95v1831"/>
        <s v="Request STATUS TRANSAKSI dari MERCHANT_x000a_(PRODUK diterima, dashboard belum update)_x000a__x000a_8919101249116816"/>
        <s v="Request BUKTI TRANSAKSI VOA dari BANK_x000a_(Customer sanggah transaksi CC atas penerbitan Visa)_x000a__x000a_Permohonan bukti transaksi merchant PRISMALINK #02032026 JCB"/>
        <s v="Surat FRAUD dari BANK_x000a_(Dana Terpotong, Produk Tdk Diterima)_x000a__x000a_[O3d53c89] Indikasi Penipuan: BAYAR2.COM/02032026/037_x000a__x000a_PT Kreasi Kode Kreatif_x000a_7900119200499020_x0009_1700000"/>
        <s v="Request STATUS TRANSAKSI_x000a_(PRODUK Tdk Diterima, namun ada bukti TRANSFER)_x000a__x000a_7900104900000193173"/>
        <s v="Request STATUS TRANSAKSI_x000a_(PRODUK Tdk Diterima, namun ada bukti TRANSFER)_x000a__x000a_7900121700092431"/>
        <s v="Request STATUS TRANSAKSI dari MERCHANT_x000a_(PRODUK diterima, dashboard belum update)_x000a__x000a_8919101217249654"/>
        <s v="Request STATUS TRANSAKSI_x000a_(PRODUK Tdk Diterima, namun ada bukti TRANSFER)_x000a__x000a_7900121700059960"/>
        <s v="Request STATUS TRANSAKSI dari MERCHANT_x000a_(PRODUK diterima, dashboard belum update)_x000a__x000a_8919101212978989 _x000a_8919101212599863"/>
        <s v="Request BUKTI REFUND TRANSAKSI_x000a_(Customer request refund transaksi double)_x000a__x000a_535456**5198_x000a_516815**3874"/>
        <s v="Request STATUS TRANSAKSI_x000a_(PRODUK Tdk Diterima, namun ada bukti TRANSFER)_x000a__x000a_8919101249225538 / NACL1388820975"/>
        <s v="Request STATUS TRANSAKSI_x000a_(PRODUK Tdk Diterima, namun ada bukti TRANSFER)_x000a__x000a_7900117900031713"/>
        <s v="Request STATUS TRANSAKSI_x000a_(PRODUK Tdk Diterima, namun ada bukti TRANSFER)_x000a__x000a_4041910117945515_x000a_4041910117995682"/>
        <s v="Surat FRAUD dari BANK_x000a_(Dana Terpotong, Produk Tdk Diterima)_x000a__x000a_[O9bcaac6] Indikasi Penipuan: BAYAR2.COM/02032026/038_x000a__x000a_PT Kreasi Kode Kreatif_x000a_7900119200553113_x0009_1700000"/>
        <s v="Request BUKTI TRANSAKSI VOA dari BANK_x000a_(Customer sanggah transaksi CC atas penerbitan Visa)_x000a__x000a_PERMOHONAN BUKTI TRANSAKSI PRISMALINK*IND VISAARR #02/03/2026 19 TRX"/>
        <s v="Request REFUND TRANSAKSI_x000a_(Product tidak diterima dan Cust request refund)_x000a__x000a_Refund 2 Mar 2026_x000a__x000a_JP-019-260302-195045_x0009_02-03-2026_x0009_19:50:46_x0009_10000_x000a_JP-017-260302-121828_x0009_02-03-2026_x0009_12:18:35_x0009_12412_x000a_JP-017-260302-102402_x0009_02-03-2026_x0009_10:24:03_x0009_12412"/>
        <s v="Request BUKTI TRANSAKSI VOA dari BANK_x000a_(Customer request payment receipt)_x000a__x000a_Request for receipt – Jakarta Electronic Visa (24 Jan 2026)"/>
        <s v="Request STATUS TRANSAKSI_x000a_(PRODUK Tdk Diterima, namun ada bukti TRANSFER)_x000a__x000a_7900121700000501"/>
        <s v="Surat FRAUD dari BANK_x000a_(Dana Terpotong, Produk Tdk Diterima)_x000a__x000a_Surat Bilateral Bank Mandiri nomor OPT.CCG/CHM.4005/2026_x000a__x000a_PT Daya Net Gemilang_x000a_8903910125083059_x0009_3800000_x000a_8903910125009775_x0009_2800000_x000a_8903910125086578_x0009_1800000"/>
        <s v="Surat FRAUD dari BANK_x000a_(Dana Terpotong, Produk Tdk Diterima)_x000a__x000a_[Ocf4f473] Indikasi Penipuan: BAYAR2.COM/03032026/039_x000a__x000a_PT Envoiz Digital Indonesia_x000a_7900124900050444_x0009_3403500"/>
        <s v="Request BUKTI TRANSAKSI VOA dari BANK_x000a_(Customer sanggah transaksi CC atas penerbitan Visa)_x000a__x000a_Permohonan bukti transaksi merchant PRISMALINK #03032026 JCB"/>
        <s v="Request STATUS TRANSAKSI_x000a_(PRODUK Tdk Diterima, namun ada bukti TRANSFER)_x000a__x000a_[Ob08b7c4] Rekap : 07/VA ONLINE/BAYAR2.COM_x000a__x000a_PT Daya Net Gemilang_x000a_7900125000046322_x0009_8423000"/>
        <s v="Request REFUND TRANSAKSI_x000a_(Product tidak diterima dan Cust request refund)_x000a__x000a_Refund 3 Maret 2026_x000a__x000a_JP-012-260303-204500_x0009_03-03-2026_x0009_13000_x000a_JP-019-260303-193344_x0009_03-03-2026_x0009_12000_x000a_JP-016-260303-141621_x0009_03-03-2026_x0009_12000_x000a_JP-017-260303-110236_x0009_03-03-2026_x0009_5000_x000a_JP-017-260303-091047_x0009_03-03-2026_x0009_5000"/>
        <s v="Request STATUS TRANSAKSI dari MERCHANT_x000a_(PRODUK diterima, dashboard belum update)_x000a__x000a_000154285684 / 0011827022627956084"/>
        <s v="Request STATUS TRANSAKSI_x000a_(PRODUK Tdk Diterima, namun ada bukti TRANSFER)_x000a__x000a_4041910125027050 / NACL1391576152"/>
        <s v="Request STATUS TRANSAKSI_x000a_(PRODUK Tdk Diterima, namun ada bukti TRANSFER)_x000a__x000a_4041910125000856 / NACL1391575215"/>
        <s v="Request STATUS TRANSAKSI dari MERCHANT_x000a_(PRODUK diterima, dashboard belum update)_x000a__x000a_8919101212841210 / 0010912022688969384 _x000a_8919101212333857 / 0011713112534278633 "/>
        <s v="Request STATUS TRANSAKSI_x000a_(PRODUK Tdk Diterima, namun ada bukti TRANSFER)_x000a__x000a_7900117900091325"/>
        <s v="Request STATUS TRANSAKSI dari MERCHANT_x000a_(PRODUK diterima, dashboard belum update)_x000a__x000a_7900121700018239"/>
        <s v="Request STATUS TRANSAKSI_x000a_(PRODUK Tdk Diterima, namun ada bukti TRANSFER)_x000a__x000a_7900119200581819"/>
        <s v="Request STATUS TRANSAKSI_x000a_(PRODUK Tdk Diterima, namun ada bukti TRANSFER)_x000a__x000a_8903910125080264 / NACL1391576354 "/>
        <s v="Request STATUS TRANSAKSI_x000a_(PRODUK Tdk Diterima, namun ada bukti TRANSFER)_x000a__x000a_[O38484af] Indikasi Penipuan: BAYAR2.COM/04032026/040_x000a__x000a_PT Daya Net Gemilang_x000a_7900125000057895_x0009_2500000"/>
        <s v="Request BUKTI TRANSAKSI VOA dari BANK_x000a_(Customer sanggah transaksi CC atas penerbitan Visa)_x000a__x000a_KONFIRMASI CHARGEBACK Prismalink*IND VISAARR 04/03/2026 35 TRX"/>
        <s v="Request REFUND TRANSAKSI_x000a_(Product tidak diterima dan Cust request refund)_x000a__x000a_Refund 4 Maret 2026_x000a__x000a_JP-013-260304-211152_x0009_04-03-2026_x0009_21:11:53_x0009_6867_x000a_JP-020-260304-162400_x0009_04-03-2026_x0009_16:24:01_x0009_12000_x000a_JP-020-260304-081432_x0009_04-03-2026_x0009_08:14:34_x0009_4000_x000a_JP-012-260304-043920_x0009_04-03-2026_x0009_04:39:21_x0009_12412_x000a_JP-004-260304-023004_x0009_04-03-2026_x0009_02:30:05_x0009_13000_x000a_JP-004-260304-022835_x0009_04-03-2026_x0009_02:28:36_x0009_13000_x000a_JP-004-260304-022438_x0009_04-03-2026_x0009_02:24:39_x0009_33600"/>
        <s v="Request STATUS TRANSAKSI_x000a_(PRODUK Tdk Diterima, namun ada bukti TRANSFER)_x000a__x000a_7900117900001760 / T1682931311470D4WK7"/>
        <s v="Request STATUS TRANSAKSI_x000a_(PRODUK Tdk Diterima, namun ada bukti TRANSFER)_x000a__x000a_4041910117952394"/>
        <s v="Surat FRAUD_x000a_(Dana Terpotong, Produk Tdk Diterima)_x000a__x000a_[Oc1a9e11] Indikasi Penipuan: BAYAR2.COM/05032026/041_x000a__x000a_PT Daya Net Gemilang_x000a_7900125000062434_x0009_20000000"/>
        <s v="Request BUKTI TRANSAKSI VOA dari BANK_x000a_(Customer sanggah transaksi CC atas penerbitan Visa)_x000a__x000a_PERMOHONAN BUKTI TRANSAKSI PRISMALINK*IND VISAARR #25/03/2026 10 TRX"/>
        <s v="Request BUKTI TRANSAKSI VOA dari BANK_x000a_(Customer sanggah transaksi CC atas penerbitan Visa)_x000a__x000a_KONFIRMASI CHARGEBACK Prismalink*IND VISAARR 02/03/2026 46 TRX"/>
        <s v="Request REFUND TRANSAKSI_x000a_(Product tidak diterima dan Cust request refund)_x000a__x000a_Refund 6 Maret 2026_x000a__x000a_JP-018-260305-221405_x0009_05-03-2026_x0009_8000_x000a_JP-004-260305-175136_x0009_05-03-2026_x0009_5000_x000a_JP-007-260305-141631_x0009_05-03-2026_x0009_20000_x000a_JP-019-260305-111219_x0009_05-03-2026_x0009_8000"/>
        <s v="Request STATUS TRANSAKSI_x000a_(PRODUK Tdk Diterima, namun ada bukti TRANSFER)_x000a__x000a_8903910125071840"/>
        <s v="Request STATUS TRANSAKSI_x000a_(PRODUK Tdk Diterima, namun ada bukti TRANSFER)_x000a__x000a_8903910125050016"/>
        <s v="Request STATUS TRANSAKSI_x000a_(PRODUK Tdk Diterima, namun ada bukti TRANSFER)_x000a__x000a_4041910125095061"/>
        <s v="Request STATUS TRANSAKSI_x000a_(PRODUK Tdk Diterima, namun ada bukti TRANSFER)_x000a__x000a_8903910125083996"/>
        <s v="Request STATUS TRANSAKSI_x000a_(PRODUK Tdk Diterima, namun ada bukti TRANSFER)_x000a__x000a_4041910117931582 /T23076297614912B9IW"/>
        <s v="Request STATUS TRANSAKSI_x000a_(PRODUK Tdk Diterima, namun ada bukti TRANSFER)_x000a__x000a_4041913210500008"/>
        <s v="Request BUKTI TRANSAKSI VOA dari BANK_x000a_(Customer sanggah transaksi CC atas penerbitan Visa)_x000a__x000a_***SPAM***  KONFIRMASI CHARGEBACK Prismalink*IND VISAARR 05/03/2026 27 TRX"/>
        <s v="Request BUKTI TRANSAKSI VOA dari BANK_x000a_(Customer request payment receipt)_x000a__x000a_***SPAM***  Visa on Arrival Payment"/>
        <s v="Surat FRAUD_x000a_(Dana Terpotong, Produk Tdk Diterima)_x000a__x000a_[Oc12f268] Indikasi Penipuan: BAYAR2.COM/06032026/042_x000a__x000a_PT Envoiz Digital Indonesia_x000a_7900124900044069_x0009_1200000"/>
        <s v="Request LIMIT TRANSAKSI_x000a_(Permohonan kenaikan limit kartu kredit dr merchant atau pembukaan BIN untuk mendukung transaksi)_x000a__x000a_Permohonan penghapusan status blacklist atau memasukkan negara Barbados ke dalam daftar whitelist transaksi WCPP"/>
        <s v="Surat FRAUD_x000a_(Dana Terpotong, Produk Tdk Diterima)_x000a__x000a_[Od4f6f93] Indikasi Penipuan: BAYAR2.COM/06032026/043_x000a__x000a_PT Daya Net Gemilang_x000a_7900125000005836_x0009_7000000"/>
        <s v="Request STATUS TRANSAKSI (ACQ NOBU)_x000a_(PRODUK Tdk Diterima Customer, _x000a_SWITCHING &amp; ACQ telah credit dana)_x000a__x000a_Surat DISPUTE dari NOBU_x000a_email : DISPUTE 05032026 PT PRISMALINK INTERNATIONAL_x000a__x000a_Nominal_x0009_Merchant_Name_x0009_MTN_x0009_Nominal2_x000a_1000000_x0009_Dayanet  0010813022625177863_x0009_1000000_x000a_150000_x0009_Growcell 0011215022606200177_x0009_150000_x000a_150000_x0009_Growcell 0011215022677813109_x0009_150000_x000a_1000000_x0009_Dayanet  0010913022666978277_x0009_1000000_x000a_700000_x0009_Dayanet  0010413022662719342_x0009_700000"/>
        <s v="Request REFUND TRANSAKSI_x000a_(Product tidak diterima dan Cust request refund)_x000a__x000a_Refund 05 Maret 2026_x000a__x000a_JP-019-260305-111219 16.000_x000a_JP-007-260305-141631 20.000_x000a_JP-004-260305-175136 5.000_x000a_JP-018-260305-221405 8.000"/>
        <s v="Request REFUND TRANSAKSI_x000a_(Product tidak diterima dan Cust request refund)_x000a__x000a_salah transfer _x000a__x000a_Tripay_x000a_4041910117955640 (VA seharusnya) 148550_x000a_4041910117900684 (VA salah transfer) 203187"/>
        <s v="Request REFUND TRANSAKSI_x000a_(Product tidak diterima dan Cust request refund)_x000a__x000a_Refund 6,7,8 Maret 2026_x000a__x000a_JP-019-260306-231350_x0009_06-03-2026_x0009_12470_x000a_JP-012-260306-213958_x0009_06-03-2026_x0009_4392_x000a_JP-004-260306-211805_x0009_06-03-2026_x0009_5000_x000a_JP-017-260306-204900_x0009_06-03-2026_x0009_6000_x000a_JP-014-260306-200600_x0009_06-03-2026_x0009_8200_x000a_JP-006-260306-190803_x0009_06-03-2026_x0009_10000_x000a_JP-012-260306-182321_x0009_06-03-2026_x0009_5000_x000a_JP-001-260306-175937_x0009_06-03-2026_x0009_5000_x000a_JP-001-260306-175825_x0009_06-03-2026_x0009_5000_x000a_JP-018-260306-175236_x0009_06-03-2026_x0009_6867_x000a_JP-018-260306-175137_x0009_06-03-2026_x0009_6867_x000a_JP-013-260306-114702_x0009_06-03-2026_x0009_12412_x000a_JP-013-260306-072625_x0009_06-03-2026_x0009_10000_x000a_JP-003-260307-200443_x0009_07-03-2026_x0009_5000_x000a_JP-019-260307-185430_x0009_07-03-2026_x0009_16000_x000a_JP-016-260307-160653_x0009_07-03-2026_x0009_11000_x000a_JP-015-260307-154631_x0009_07-03-2026_x0009_10000_x000a_JP-012-260307-142849_x0009_07-03-2026_x0009_33600_x000a_JP-020-260307-114553_x0009_07-03-2026_x0009_12000_x000a_JP-019-260307-110743_x0009_07-03-2026_x0009_10000_x000a_JP-012-260307-000652_x0009_07-03-2026_x0009_11360_x000a_JP-018-260308-220006_x0009_08-03-2026_x0009_12412_x000a_JP-004-260308-213219_x0009_08-03-2026_x0009_5000_x000a_JP-020-260308-155933_x0009_08-03-2026_x0009_20000_x000a_JP-020-260308-154207_x0009_08-03-2026_x0009_13705_x000a_JP-004-260308-152752_x0009_08-03-2026_x0009_13000_x000a_JP-019-260308-140222_x0009_08-03-2026_x0009_10000_x000a_JP-020-260308-134225_x0009_08-03-2026_x0009_12470_x000a_JP-020-260308-133846_x0009_08-03-2026_x0009_6500_x000a_JP-014-260308-120213_x0009_08-03-2026_x0009_12412_x000a_JP-019-260308-102639_x0009_08-03-2026_x0009_12000"/>
        <s v="Request STATUS TRANSAKSI (ACQ NOBU)_x000a_(PRODUK Tdk Diterima Customer, _x000a_SWITCHING &amp; ACQ telah credit dana)_x000a__x000a_Surat DISPUTE dari NOBU_x000a_email : DISPUTE 09032026 PT PRISMALINK INTERNATIONAL_x000a__x000a_0011122022619192347_x000a_0012218022639259398_x000a_0011122022627377982_x000a_"/>
        <s v="Request BUKTI TRANSAKSI VOA dari BANK_x000a_(Customer request payment receipt)_x000a__x000a_FW: [Ticket ID: #1348146] FW: Invoice - Visa"/>
        <s v="Request BUKTI TRANSAKSI VOA dari BANK_x000a_(Customer request payment receipt)_x000a__x000a_Indonesia Arrival card- Payment Invoice"/>
        <s v="Request REFUND TRANSAKSI_x000a_(Product tidak diterima dan Cust request refund)_x000a__x000a_Refund 9 Mar 2026_x000a__x000a_JP-017-260309-204030 4392_x000a_JP-002-260309-175450 33600_x000a_JP-001-260309-142721 12412_x000a_JP-012-260309-032639 11084_x000a__x000a_JP-020-260308-133846_x0009_08-03-2026_x0009_6500_x000a_JP-014-260308-120213_x0009_08-03-2026_x0009_12412_x000a_JP-019-260308-102639_x0009_08-03-2026_x0009_12000"/>
        <s v="Surat FRAUD_x000a_(Dana Terpotong, Produk Tdk Diterima)_x000a__x000a_Ingin mengetahui nama penipu yang menerima dana_x000a__x000a_PT Wahana Pembayaran Digital_x000a_2189132130900079 6000000"/>
        <s v="Request BUKTI TRANSAKSI VOA dari BANK_x000a_(Customer request payment receipt)_x000a__x000a_Invoice for Visa on Arrival Payment"/>
        <s v="Surat FRAUD_x000a_(Dana Terpotong, Produk Tdk Diterima)_x000a__x000a_[O0661f24] Indikasi Penipuan: BAYAR2.COM/10032026/044_x000a__x000a_PT Kreasi Kode Kreatif_x000a_7900119200588925 977600_x000a_"/>
        <s v="Request STATUS TRANSAKSI_x000a_(PRODUK Tdk Diterima, namun ada bukti TRANSFER)_x000a__x000a_[Ob732862] Rekap : 08/VA ONLINE/BAYAR2.COM_x000a__x000a_PT Kreasi Kode Kreatif_x000a_7900119200605389 3000000_x000a__x000a_Tripay_x000a_7900117900037198 145000_x000a_"/>
        <s v="Surat FRAUD_x000a_(Dana Terpotong, Produk Tdk Diterima)_x000a__x000a_[Oe87e527] Indikasi Penipuan: BAYAR2.COM/10032026/045_x000a__x000a_PT Kreasi Kode Kreatif_x000a_7900119200546144 25218575_x000a_7900119200603438 25000000_x000a_7900119200571501 25000000_x000a__x000a_PT TEKNOLOGI AWAN CERAH_x000a_7900121700099140 25218575_x000a_7900121700063076 25218575_x000a_7900121700075609 25000000_x000a_7900121700068890 25409850_x000a_7900121700043473 25000000_x000a__x000a_"/>
        <s v="Request BUKTI TRANSAKSI VOA dari BANK_x000a_(Customer sanggah transaksi CC atas penerbitan Visa)_x000a__x000a_KONFIRMASI CHARGEBACK Prismalink*IND VISAARR 10/03/2026 69 TRX"/>
        <s v="Request STATUS TRANSAKSI_x000a_(PRODUK Tdk Diterima, namun ada bukti TRANSFER)_x000a__x000a_7900125000054178 / NACL1397534369     "/>
        <s v="Request STATUS TRANSAKSI_x000a_(PRODUK Tdk Diterima, namun ada bukti TRANSFER)_x000a__x000a_7900121700023089 "/>
        <s v="Request STATUS TRANSAKSI_x000a_(PRODUK Tdk Diterima, namun ada bukti TRANSFER)_x000a__x000a_9887101218041549"/>
        <s v="Request STATUS TRANSAKSI_x000a_(PRODUK Tdk Diterima, namun ada bukti TRANSFER)_x000a__x000a_nominal : 158.000 _x000a_nominal : 258.000"/>
        <s v="Request STATUS TRANSAKSI_x000a_(PRODUK Tdk Diterima, namun ada bukti TRANSFER)_x000a__x000a_nominal : 100.000"/>
        <s v="Request STATUS TRANSAKSI_x000a_(PRODUK Tdk Diterima, namun ada bukti TRANSFER)_x000a__x000a_7900119200605379 "/>
        <s v="Request STATUS TRANSAKSI_x000a_(PRODUK Tdk Diterima, namun ada bukti TRANSFER)_x000a__x000a_T4839531467706CXBYZ_x000a_7900117900012460"/>
        <s v="Request STATUS TRANSAKSI_x000a_(PRODUK Tdk Diterima, namun ada bukti TRANSFER)_x000a__x000a_7900117900037198 // T2858831468439GA5K"/>
        <s v="Request STATUS TRANSAKSI_x000a_(PRODUK Tdk Diterima, namun ada bukti TRANSFER)_x000a__x000a_T4566631425772TJJY3 dengan nomor VA 4041910117951353"/>
        <s v="Request STATUS TRANSAKSI_x000a_(PRODUK Tdk Diterima, namun ada bukti TRANSFER)_x000a__x000a_7900121700023089    "/>
        <s v="Request STATUS TRANSAKSI_x000a_(PRODUK Tdk Diterima, namun ada bukti TRANSFER)_x000a__x000a_7900125000043195"/>
        <s v="Request STATUS TRANSAKSI_x000a_(PRODUK Tdk Diterima, namun ada bukti TRANSFER)_x000a__x000a_7900121700068188 2026030939100830826"/>
        <s v="Request STATUS TRANSAKSI_x000a_(PRODUK Tdk Diterima, namun ada bukti TRANSFER)_x000a__x000a_7900125000061942_x000a_NACL1404704766_x000a__x000a_7900125000077112_x000a_NACL1404764501"/>
        <s v="Request STATUS TRANSAKSI_x000a_(PRODUK Tdk Diterima, namun ada bukti TRANSFER)_x000a__x000a_NACL1404880452_x000a_7900125000042728"/>
        <s v="Request STATUS TRANSAKSI_x000a_(PRODUK Tdk Diterima, namun ada bukti TRANSFER)_x000a__x000a_T4850531413322SRNLL_x000a_7900117900095085"/>
        <s v="Request STATUS TRANSAKSI_x000a_(PRODUK Tdk Diterima, namun ada bukti TRANSFER)_x000a__x000a_7900125000099804 / NACL1404060657 "/>
        <s v="Request STATUS TRANSAKSI_x000a_(PRODUK Tdk Diterima, namun ada bukti TRANSFER)_x000a__x000a_7900125000064965 / NACL1404062414 "/>
        <s v="Request STATUS TRANSAKSI_x000a_(PRODUK Tdk Diterima, namun ada bukti TRANSFER)_x000a__x000a_2026030840100980322_x000a_7900121700007835_x000a__x000a_2026031040100097614_x000a_8919101217225273"/>
        <s v="Request STATUS TRANSAKSI_x000a_(PRODUK Tdk Diterima, namun ada bukti TRANSFER)_x000a__x000a_NACL1404060281_x000a_8903910125038584_x000a__x000a_NACL1404063975_x000a_4041910125097815_x000a__x000a_7900125000052354_x000a_NACL1404067724_x000a__x000a_NACL1404083264_x000a_7900125000046851"/>
        <s v="Request STATUS TRANSAKSI_x000a_(PRODUK Tdk Diterima, namun ada bukti TRANSFER)_x000a__x000a_8903910117956828_x000a_T2518531487669HAGVD"/>
        <s v="Request STATUS TRANSAKSI dari MERCHANT_x000a_(PRODUK diterima, dashboard belum update)_x000a__x000a_T1254731487620EMK5X_x000a_7900117900081645_x000a__x000a_T12547314875746D4JV_x000a_7900117900084591"/>
        <s v="Request REFUND TRANSAKSI_x000a_(Product tidak diterima dan Cust request refund)_x000a__x000a_Refund 10 Maret 2026_x000a__x000a_JP-004-260310-131906 10-03-2026 13000_x000a_JP-020-260310-123539 10-03-2026 12000_x000a_JP-019-260310-105433 10-03-2026 10000_x000a_"/>
        <s v="Surat FRAUD_x000a_(Dana Terpotong, Produk Tdk Diterima)_x000a__x000a_[O3371713] Indikasi Penipuan: BAYAR2.COM/11032026/046_x000a__x000a_PT Daya Net Gemilang_x000a_7900125000074329 99791991_x000a__x000a__x000a_"/>
        <s v="Request REFUND TRANSAKSI_x000a_(Product tidak diterima dan Cust request refund)_x000a__x000a_Refund 11 Maret 2026_x000a__x000a_JP-017-260311-211945 10000_x000a_JP-017-260311-192424 5000_x000a_JP-004-260311-123744 12412_x000a__x000a_"/>
        <s v="Request BUKTI TRANSAKSI VOA dari BANK_x000a_(Customer request payment receipt)_x000a__x000a_Request for Invoice"/>
        <s v="Surat FRAUD_x000a_(Dana Terpotong, Produk Tdk Diterima)_x000a__x000a_[Ob2e1c28] Indikasi Penipuan: BAYAR2.COM/12032026/047_x000a__x000a_PT Daya Net Gemilang_x000a_7900125000016079 120000_x000a__x000a__x000a_"/>
        <s v="Request BUKTI TRANSAKSI VOA dari BANK_x000a_(Customer sanggah transaksi CC atas penerbitan Visa)_x000a__x000a_Permohonan bukti transaksi merchant PRISMALINK #12032026 JCB"/>
        <s v="Request STATUS TRANSAKSI dari MERCHANT_x000a_(PRODUK diterima, dashboard belum update)_x000a__x000a_7900119200605389        "/>
        <s v="Request STATUS TRANSAKSI dari MERCHANT_x000a_(PRODUK diterima, dashboard belum update)_x000a__x000a_7900121700077365_x000a_7900121700007835  "/>
        <s v="Request STATUS TRANSAKSI dari MERCHANT_x000a_(PRODUK diterima, dashboard belum update)_x000a__x000a_7900121700057792"/>
        <s v="Request STATUS TRANSAKSI_x000a_(PRODUK Tdk Diterima, namun ada bukti TRANSFER)_x000a__x000a_7900117900073206 "/>
        <s v="Request STATUS TRANSAKSI_x000a_(PRODUK Tdk Diterima, namun ada bukti TRANSFER)_x000a__x000a_T370313148439105K7E_x000a_7900117900080086 "/>
        <s v="Request STATUS TRANSAKSI dari MERCHANT_x000a_(PRODUK diterima, dashboard belum update)_x000a__x000a_7900119200608707"/>
        <s v="Request STATUS TRANSAKSI dari MERCHANT_x000a_(PRODUK diterima, dashboard belum update)_x000a__x000a_7900121700084417 2026031040100494039"/>
        <s v="Request STATUS TRANSAKSI dari MERCHANT_x000a_(PRODUK diterima, dashboard belum update)_x000a__x000a_T4449031487496GLYBN_x000a_8903910117923022"/>
        <s v="Request STATUS TRANSAKSI_x000a_(PRODUK Tdk Diterima, namun ada bukti TRANSFER)_x000a__x000a_2026031140100218726 // 7900121700020502 "/>
        <s v="Request STATUS TRANSAKSI_x000a_(PRODUK Tdk Diterima, namun ada bukti TRANSFER)_x000a__x000a_4041910120332515 "/>
        <s v="Request STATUS TRANSAKSI_x000a_(PRODUK Tdk Diterima, namun ada bukti TRANSFER)_x000a__x000a_8919101065010895  "/>
        <s v="Request STATUS TRANSAKSI_x000a_(PRODUK Tdk Diterima, namun ada bukti TRANSFER)_x000a__x000a_ 8903910125001849 / NACL1408789726"/>
        <s v="Request STATUS TRANSAKSI_x000a_(PRODUK Tdk Diterima, namun ada bukti TRANSFER)_x000a__x000a_7900121700046919   "/>
        <s v="Request STATUS TRANSAKSI dari MERCHANT_x000a_(PRODUK diterima, dashboard belum update)_x000a__x000a_8903910125031663 / NACL1402726533 "/>
        <s v="Request STATUS TRANSAKSI dari MERCHANT_x000a_(PRODUK diterima, dashboard belum update)_x000a__x000a_7900119200608712_x000a_7900119200608708_x000a_2026030937000642107 (7900119200608710)_x000a_2026030940100761198 (7900119200608943)"/>
        <s v="Request STATUS TRANSAKSI dari MERCHANT_x000a_(PRODUK diterima, dashboard belum update)_x000a__x000a_7900125000046949_x000a_NACL1404064651_x000a__x000a_NACL1404061558_x000a_7900125000054663_x000a__x000a_7900125000099804_x000a_NACL1404060657_x000a__x000a_7900125000060131_x000a_NACL1404062827_x000a__x000a_7900125000064965_x000a_NACL1404062414_x000a__x000a_NACL1399349966_x000a_8919101250757697_x000a__x000a_NACL1404066648_x000a_7900125000046851"/>
        <s v="Request STATUS TRANSAKSI dari MERCHANT_x000a_(PRODUK diterima, dashboard belum update)_x000a__x000a_7900121700024171 2026030840100972432_x000a_7900121700097702_x000a_7900121700085306 2026030940100643473_x000a_7900121700097699 - 2026030640100901017 | Amount 100,000_x000a_7900121700079114 - 2026030740100075146 | Amount 50,000"/>
        <s v="Request STATUS TRANSAKSI dari MERCHANT_x000a_(PRODUK diterima, dashboard belum update)_x000a__x000a_7900117900047439_x000a__x000a_T1140731487590OFXNK_x000a_7900117900039054"/>
        <s v="Request STATUS TRANSAKSI_x000a_(PRODUK Tdk Diterima, namun ada bukti TRANSFER)_x000a__x000a_900125000050518_x000a__x000a_7900125000046949_x000a_NACL1404064651_x000a__x000a_NACL1398922821_x000a_NACL1399076103_x000a_NACL1398618325_x000a_NACL1397988934_x000a_NACL1399014913_x000a_NACL1399349966_x000a__x000a_NACL1404407147_x000a_7900125000066985"/>
        <s v="Request STATUS TRANSAKSI dari MERCHANT_x000a_(PRODUK diterima, dashboard belum update)_x000a__x000a_7900125000062913_x000a_7900125000052354"/>
        <s v="Request STATUS TRANSAKSI dari MERCHANT_x000a_(PRODUK diterima, dashboard belum update)_x000a__x000a_7900119200605346"/>
        <s v="Request STATUS TRANSAKSI_x000a_(PRODUK Tdk Diterima, namun ada bukti TRANSFER)_x000a__x000a_[O0140ae3] Rekap : 09/VA ONLINE/BAYAR2.COM_x000a__x000a_Tripay_x000a_7900117900012460 228000"/>
        <s v="Request REFUND TRANSAKSI_x000a_(Product tidak diterima dan Cust request refund)_x000a__x000a_Refund 12 Maret 2026_x000a__x000a_JP-017-260312-204950 12-03-2026 4392_x000a_JP-002-260312-182621 12-03-2026 12412_x000a_JP-017-260312-175218 12-03-2026 6600_x000a_JP-019-260312-130737 12-03-2026 10000_x000a_JP-020-260312-111547 12-03-2026 9900_x000a_JP-018-260312-044826 12-03-2026 3500_x000a__x000a__x000a_"/>
        <s v="Request BUKTI TRANSAKSI VOA dari BANK_x000a_(Customer sanggah transaksi CC atas penerbitan Visa)_x000a__x000a_Permohonan bukti transaksi merchant PRISMALINK #13032026 JCB First Chargeback"/>
        <s v="Request STATUS TRANSAKSI dari MERCHANT_x000a_(PRODUK diterima, dashboard belum update)_x000a__x000a_7900119200605383"/>
        <s v="Request STATUS TRANSAKSI_x000a_(PRODUK Tdk Diterima, namun ada bukti TRANSFER)_x000a__x000a_8903910125001849 / NACL1408789726  "/>
        <s v="Request STATUS TRANSAKSI_x000a_(PRODUK Tdk Diterima, namun ada bukti TRANSFER)_x000a__x000a_7900125000094154     "/>
        <s v="Request BUKTI TRANSAKSI VOA dari BANK_x000a_(Pengajuan Pre-Arb oleh Bank)_x000a__x000a_Permohonan Konfirmasi Pre-Arbitrasi Prismalink #13032026 JCB"/>
        <s v="Surat FRAUD_x000a_(Dana Terpotong, Produk Tdk Diterima)_x000a__x000a_FRAUD ALIRAN DANA REK BCA TIFFANY ADORA TJHIN - PRISMALINK PT BAYAR2.COM_x000a__x000a_PT Kreasi Kode Kreatif_x000a_7900119200618263 2700000_x000a__x000a_"/>
        <s v="Request REFUND TRANSAKSI_x000a_(Product tidak diterima dan Cust request refund)_x000a__x000a_Refund 13,14,15 Maret 2026_x000a__x000a_JP-001-260315-200133 7920_x000a_JP-013-260315-173612 5000_x000a_JP-020-260315-134842 15500_x000a_JP-020-260315-105734 20000_x000a_JP-013-260314-201652 5467_x000a_JP-006-260314-155125 16000_x000a_JP-020-260314-151026 19528_x000a_JP-001-260314-122122 7920_x000a_JP-013-260314-115048 18700_x000a_JP-001-260313-154202 10000_x000a_JP-019-260313-150050 12000_x000a_JP-001-260313-145504 12600_x000a_JP-018-260313-025657 3500_x000a__x000a__x000a__x000a_"/>
        <s v="Surat FRAUD_x000a_(Dana Terpotong, Produk Tdk Diterima)_x000a__x000a_FRAUD ALIRAN DANA REK BCA JULIAN ARDIANSYAH - BAYAR2.COM_x000a__x000a_PT Daya Net Gemilang_x000a_7900125000087550       29812345_x000a__x000a_"/>
        <s v="Request STATUS TRANSAKSI_x000a_(PRODUK Tdk Diterima, namun ada bukti TRANSFER)_x000a__x000a_[O06530bc] Rekap : 10/VA ONLINE/BAYAR2.COM_x000a__x000a_PT ENVOIZ DIGITAL INDONESIA_x000a_7900124900012645 500000_x000a__x000a_PT Daya Net Gemilang_x000a_7900125000078971 160000_x000a_"/>
        <s v="Surat FRAUD_x000a_(Dana Terpotong, Produk Tdk Diterima)_x000a__x000a_Berita Pengaduan Terkait Penipuan yang Saya Alami dengan transfer melalui referensi plink pay berikut._x000a__x000a_PT VISI JAYA INDONESI_x000a_8903903600032688 6000000_x000a__x000a_"/>
        <s v="Request REFUND TRANSAKSI_x000a_(Product tidak diterima dan Cust request refund)_x000a__x000a_Refund 16 maret 2026_x000a__x000a_JP-001-260316-203014 12412_x000a_JP-013-260316-161658 12412_x000a_JP-020-260316-135619 20700_x000a_JP-020-260316-135319 9900_x000a_JP-019-260316-102912 11000_x000a_JP-019-260316-102632 11000_x000a__x000a__x000a__x000a__x000a_"/>
        <s v="Request BUKTI TRANSAKSI VOA dari BANK_x000a_(Customer sanggah transaksi CC atas penerbitan Visa)_x000a__x000a_KONFIRMASI CHARGEBACK Prismalink*IND VISAARR 16/03/2026 34 TRX"/>
        <s v="Request STATUS TRANSAKSI_x000a_(PRODUK Tdk Diterima, namun ada bukti TRANSFER)_x000a__x000a_7900119200626903 "/>
        <s v="Request STATUS TRANSAKSI_x000a_(PRODUK Tdk Diterima, namun ada bukti TRANSFER)_x000a__x000a_7900119200627429 // 2026031340100648868"/>
        <s v="Request STATUS TRANSAKSI dari MERCHANT_x000a_(PRODUK diterima, dashboard belum update)_x000a__x000a_2026030940100643085 - 7900121700093119 | Amount 10,000_x000a_2026030840100980892 - 7900121700080340 | Amount 10,000_x000a_2026030840100980986 - 7900121700015301 | Amount 32,000_x000a_2026030840100972592 - 7900121700029458 | Amount 50,500_x000a_2026030940100643407 - 7900121700068295 | Amount 30,000_x000a_2026030840100972781 - 7900121700090783 | Amount 30,000_x000a_2026030840100972482 - 7900121700043091 | Amount 50,000_x000a_2026030940100642982 - 7900121700046919 | Amount 90,000_x000a_2026030840100972336 - 7900121700082764 | Amount 100,000_x000a_2026030940100642633 - 7900121700076260 | Amount 113,000_x000a_2026030840100972623 - 7900121700081452 | Amount 10,000_x000a_2026030940100642106 - 7900121700087155 | Amount 25,000_x000a_2026030840100972682 - 7900121700087955 | Amount 39,000_x000a_2026030840100980823 - 7900121700047052 | Amount 20,000_x000a_2026030940100643076 - 7900121700052255 | Amount 247,000_x000a_2026030840100981052 - 7900121700004289 | Amount 50,000_x000a_2026031040101028453 - 7900121700037492 | Amount 10,000_x000a_2026031140100218382 - 8919101217787315 | Amount 10,000_x000a_2026031140100218468 - 8919101217817116 | Amount 10,000"/>
        <s v="Request STATUS TRANSAKSI dari MERCHANT_x000a_(PRODUK diterima, dashboard belum update)_x000a__x000a_2026031340101049118 //_x000a_7900119200627706"/>
        <s v="Request STATUS TRANSAKSI_x000a_(PRODUK Tdk Diterima, namun ada bukti TRANSFER)_x000a__x000a_7900119200627727"/>
        <s v="Request STATUS TRANSAKSI dari MERCHANT_x000a_(PRODUK diterima, dashboard belum update)_x000a__x000a_7900119200627729 / 2026031340101058709"/>
        <s v="Request STATUS TRANSAKSI dari MERCHANT_x000a_(PRODUK diterima, dashboard belum update)_x000a__x000a_P87768167 dengan RRN QRIS 1ml368v48830"/>
        <s v="Request STATUS TRANSAKSI dari MERCHANT_x000a_(PRODUK diterima, dashboard belum update)_x000a__x000a_P87768116 dengan RRN b500eaff6024"/>
        <s v="Request STATUS TRANSAKSI dari MERCHANT_x000a_(PRODUK diterima, dashboard belum update)_x000a__x000a_P87767224 dengan RRN TNGD03129842 "/>
        <s v="Request STATUS TRANSAKSI dari MERCHANT_x000a_(PRODUK diterima, dashboard belum update)_x000a__x000a_P87769791 dengan RRN 001060409531"/>
        <s v="Request STATUS TRANSAKSI dari MERCHANT_x000a_(PRODUK diterima, dashboard belum update)_x000a__x000a_P87767307 dengan RRN 74c68bd5958d"/>
        <s v="Request STATUS TRANSAKSI dari MERCHANT_x000a_(PRODUK diterima, dashboard belum update)_x000a__x000a_P87770955 dengan RRN 018311727461"/>
        <s v="Request STATUS TRANSAKSI dari MERCHANT_x000a_(PRODUK diterima, dashboard belum update)_x000a__x000a_P87770952 dengan RRN 018272115124 "/>
        <s v="Request STATUS TRANSAKSI dari MERCHANT_x000a_(PRODUK diterima, dashboard belum update)_x000a__x000a_P87769795 dengan RRN 1ml3v9036944 "/>
        <s v="Request STATUS TRANSAKSI dari MERCHANT_x000a_(PRODUK diterima, dashboard belum update)_x000a__x000a_P87767252 dengan RRN 1ml2u8s68399 "/>
        <s v="Request STATUS TRANSAKSI dari MERCHANT_x000a_(PRODUK diterima, dashboard belum update)_x000a__x000a_P87768126 dengan RRN 018225531984 "/>
        <s v="Request STATUS TRANSAKSI dari MERCHANT_x000a_(PRODUK diterima, dashboard belum update)_x000a__x000a_P87768155 RRN  001060381456 "/>
        <s v="Request STATUS TRANSAKSI dari MERCHANT_x000a_(PRODUK diterima, dashboard belum update)_x000a__x000a_P87769153 RRN  c30ae611a0ec "/>
        <s v="Request STATUS TRANSAKSI dari MERCHANT_x000a_(PRODUK diterima, dashboard belum update)_x000a__x000a_P87770863 RRN  1ml4a9800870"/>
        <s v="Request STATUS TRANSAKSI_x000a_(PRODUK Tdk Diterima, namun ada bukti TRANSFER)_x000a__x000a_NACL1408619381 / 7900125000099494 "/>
        <s v="Request STATUS TRANSAKSI_x000a_(PRODUK Tdk Diterima, namun ada bukti TRANSFER)_x000a__x000a_7900119200621104 "/>
        <s v="Request BUKTI TRANSAKSI VOA dari BANK_x000a_(Customer sanggah transaksi CC atas penerbitan Visa)_x000a__x000a_PERMOHONAN BUKTI TRANSAKSI PRISMALINK*IND VISAARR #25/03/2026 35 TRX"/>
        <s v="Request BUKTI TRANSAKSI VOA dari BANK_x000a_(Customer sanggah transaksi CC atas penerbitan Visa)_x000a__x000a_KONFIRMASI CHARGEBACK Prismalink*IND VISAARR 17/03/2026 60 TRX"/>
        <s v="Request BUKTI REFUND TRANSAKSI_x000a_(Customer request refund transaksi double)_x000a__x000a_Refund for duplicate transactions"/>
        <s v="Request BUKTI REFUND TRANSAKSI_x000a_(Customer request refund transaksi double)_x000a__x000a_Request for Refund - Double Charge for Visa on Arrival "/>
        <s v="Request REFUND TRANSAKSI_x000a_(Product tidak diterima dan Cust request refund)_x000a__x000a_Refund 17 Maret 2026_x000a__x000a_JP-013-260317-203208 5000_x000a_JP-004-260317-192345 4392_x000a_JP-017-260317-181612 4867_x000a_JP-017-260317-181355 3500_x000a_JP-019-260317-171210 12000_x000a_JP-019-260317-171006 8000_x000a__x000a__x000a__x000a__x000a_"/>
        <s v="Request BUKTI REFUND TRANSAKSI_x000a_(Customer request refund transaksi double)_x000a__x000a_Duplicate payment – e-visa Indonesia – Refund request"/>
        <s v="Surat FRAUD_x000a_(Dana Terpotong, Produk Tdk Diterima)_x000a__x000a_Kronologis Penipuan LP_Muhammad Rivani_x000a_PT Envoiz Digital Indonesia_x000a_4041910124942485 3960000_x000a__x000a_"/>
        <s v="Surat FRAUD_x000a_(Dana Terpotong, Produk Tdk Diterima)_x000a__x000a_[NOBUCRM] Tiket R-620676 Telah Ditugaskan Pada Anda_x000a__x000a_Digicell_x000a_0141319032696803130 3000000_x000a_0141319032672353952 1000000_x000a_0141219032607013975 700000_x000a__x000a_"/>
        <s v="Surat FRAUD_x000a_(Dana Terpotong, Produk Tdk Diterima)_x000a__x000a_MELAPORKAN KASUS PENIPUAN MELALUI BAYAR2.COM_x000a__x000a_PT Teknologi Awan Cerah_x000a_7900121700075614 3500000_x000a_"/>
        <s v="Request BUKTI REFUND TRANSAKSI_x000a_(Customer request refund transaksi double)_x000a__x000a_RE: ***SPAM***  Kartu visa saya ke cas 2 kali mohon untuk merifund"/>
        <s v="Request BUKTI REFUND TRANSAKSI_x000a_(Customer request refund transaksi double)_x000a__x000a_Visa fee overcharged"/>
        <s v="Request BUKTI REFUND TRANSAKSI_x000a_(Customer request refund transaksi double)_x000a__x000a_Request for Refund – Duplicate Visa on Arrival Charge (Bali Immigration)"/>
        <s v="Request BUKTI REFUND TRANSAKSI_x000a_(Customer request refund transaksi double)_x000a__x000a_RE: Request for Refund – Duplicate Payment for Indonesia Visa"/>
        <s v="Request BUKTI REFUND TRANSAKSI_x000a_(Customer request refund transaksi double)_x000a__x000a_Request Refund transaction #3585889798"/>
        <s v="Request REFUND TRANSAKSI_x000a_(Product tidak diterima dan Cust request refund)_x000a__x000a_Refund 18-24 Maret 2026_x000a__x000a__x000a__x000a__x000a_"/>
        <s v="Surat FRAUD_x000a_(Dana Terpotong, Produk Tdk Diterima)_x000a__x000a_[NOBUCRM] Tiket R-620832 Telah Ditugaskan Pada Anda_x000a_PT Daya Net Gemilang_x000a_1mrjr6m98474 9000000_x000a_000351193456 850000_x000a_000351186547 6000000_x000a_1mrjl6r60168 900000_x000a_000351185436 2000000_x000a_000351168521 850000_x000a_1mrja6h86073 900000_x000a_000351128507 850000_x000a_000351122549 1000000_x000a_000351121435 850000_x000a_000351114288 1000000_x000a_000000R7DJDP 8000000_x000a_000351112861 847321_x000a_000351097844 850000_x000a_000000R7GKV4 2000000_x000a_000000R7FDXN 1750000_x000a_000000R7DFHR 2000000_x000a_1mriu6x31794 1000000_x000a_000351048040 848000_x000a_000000R7FTBV 1100000_x000a_000350992338 5000000_x000a_000350990352 2000000_x000a_000350985387 850000_x000a__x000a_"/>
        <s v="Request BUKTI REFUND TRANSAKSI_x000a_(Customer request refund transaksi double)_x000a__x000a_Return my money back "/>
        <s v="Surat FRAUD_x000a_(Dana Terpotong, Produk Tdk Diterima)_x000a__x000a_[NOBUCRM] Tiket R-621172 Telah Ditugaskan Pada Anda_x000a__x000a_Dnd Cell_x000a_1ms7g9131588 9871020_x000a_1ms7k8x83856 9871020_x000a_1ms7k8883123 9871020_x000a_1ms7l9135479 9871020_x000a_1ms7m9607768 9871020_x000a_1ms7o8t81742 9871020_x000a_1ms7p9137980 850950_x000a__x000a__x000a_"/>
        <s v="Request BUKTI REFUND TRANSAKSI_x000a_(Customer request refund transaksi double)_x000a__x000a_Возврат средств"/>
        <s v="Surat FRAUD_x000a_(Dana Terpotong, Produk Tdk Diterima)_x000a__x000a_[NOBUCRM] Tiket R-622009 Telah Ditugaskan Pada Anda_x000a__x000a_SAVER CELL_x000a_1mwbnnf09249 169800_x000a_000444401523 2547000_x000a_000444429773 849000_x000a_000444443491 1698000_x000a_1mwbune29636 169800_x000a_000444457592 1698000_x000a_000444457800 3396000_x000a_000444525867 509400_x000a_1mwbxng12397 169800_x000a_000444549811 8490000_x000a_000444568006 1698000_x000a_1mwbzmt86217 169800_x000a_000444578120 3396000_x000a_1mwbznb41375 339600_x000a_000000RN7CMG 339600_x000a_000444612995 407520_x000a_1mwc1n286657 169800_x000a_1mwc1n480100 849000_x000a_000444639257 849000_x000a_000444724365 849000_x000a_000444818798 509400_x000a_000444948646 3396000_x000a_000444981529 1698000_x000a_000445107092 3396000_x000a_000445207497 8490000_x000a_000445243409 3396000_x000a_000445258809 1681020_x000a_1mwcymv85940 339600_x000a_000445435474 339600_x000a_000445513992 849000_x000a__x000a__x000a_"/>
        <s v="Surat FRAUD_x000a_(Dana Terpotong, Produk Tdk Diterima)_x000a__x000a_[NOBUCRM] Tiket R-622210 Telah Ditugaskan Pada Anda_x000a__x000a_SAVER CELL_x000a_000460622545 1698800_x000a_1mx3xph90595 509640_x000a_000460583057 509640_x000a_000460573625 499447_x000a_000460521797 169880_x000a_000000RQBN2V 8494000_x000a_000460512168 169880_x000a_000460502077 849000_x000a_000460495189 1443980_x000a_000460494464 3397600_x000a_000460494076 169880_x000a_000460486793 509640_x000a_000460464749 339760_x000a_000460462743 3397600_x000a_000460446376 169880_x000a_000000RQCB6Q 3397600_x000a_000460433983 3397600_x000a_000000RQBK45 3397600_x000a_000460415209 1698800_x000a_000000RQBTGR 3397600_x000a_000460401346 169880_x000a_000000RQBQXM 3397600_x000a_000000RQBG9P 3397600_x000a_000460338315 2548200_x000a_000460336597 169880_x000a_000460333101 169880_x000a_000000RQB5RP 1698800_x000a_000460328524 849400_x000a__x000a_1mwcymv85940 339600_x000a_000445435474 339600_x000a_000445513992 849000_x000a__x000a__x000a_"/>
        <s v="Request BUKTI REFUND TRANSAKSI_x000a_(Customer request refund transaksi double)_x000a__x000a_Multiple Payment Charged"/>
        <s v="Surat FRAUD_x000a_(Dana Terpotong, Produk Tdk Diterima)_x000a__x000a_[O5dc0594] Indikasi Penipuan: BAYAR2.COM/25032026/048_x000a__x000a_PT Daya Net Gemilang_x000a_7900125000078825 23123456_x000a__x000a_"/>
        <s v="Surat FRAUD_x000a_(Dana Terpotong, Produk Tdk Diterima)_x000a__x000a_[NOBUCRM] Tiket R-621171 Telah Ditugaskan Pada Anda_x000a__x000a_Growcell_x000a_'000352895038 '10000000_x000a_'000352848159 '7000000_x000a_'000352824785 '200000_x000a_'000352763626 '200000_x000a_'000352729253 '200000_x000a_'000352706014 '390000_x000a_'000352635089 '2000000_x000a_'000352609555 '1000000_x000a_'000000R7PW0X '200000_x000a_'000352527121 '200000_x000a_'000352485315 '2000000_x000a_'000352379744 '10000000_x000a_'000352368391 '200000_x000a_'000352366790 '3000000_x000a_'000352290216 '8000000_x000a_'000352275249 '515000_x000a_'000000R7MLV4 '300000_x000a_'000352226655 '5000000_x000a_'000352219167 '500000_x000a__x000a_000460328524 849400_x000a__x000a_1mwcymv85940 339600_x000a_000445435474 339600_x000a_000445513992 849000_x000a__x000a__x000a_"/>
        <s v="Request STATUS TRANSAKSI_x000a_(PRODUK Tdk Diterima, namun ada bukti TRANSFER)_x000a__x000a_[O4227576] Rekap : 11/VA ONLINE/BAYAR2.COM_x000a__x000a_PT Teknologi Awan Cerah_x000a_7900121700020955 5082447"/>
        <s v="Request BUKTI REFUND TRANSAKSI_x000a_(Customer request refund transaksi double)_x000a__x000a_Visa application charged twice on arrival!"/>
        <s v="Request BUKTI TRANSAKSI VOA dari BANK_x000a_(Pengajuan Pre-Arb oleh Bank)_x000a__x000a_KONFIRMASI PRE ARBITRASI Prismalink*IND VISAARR 26/03/2026 91 TRX"/>
        <s v="Request REFUND TRANSAKSI_x000a_(Product tidak diterima dan Cust request refund)_x000a__x000a_Refund 25 Maret 2026_x000a__x000a_JP-004-260325-235158 6600_x000a_JP-004-260325-225032 5000_x000a_JP-018-260325-224115 4392_x000a_JP-004-260325-223656 5000_x000a_JP-016-260325-200018 19528_x000a_JP-004-260325-194450 12412_x000a_JP-011-260325-190532 4000_x000a_JP-011-260325-190453 11500_x000a_JP-011-260325-185144 10000_x000a_JP-011-260325-185053 10000_x000a_JP-011-260325-184546 11000_x000a_JP-011-260325-184603 11000_x000a_JP-011-260325-184409 11000_x000a_JP-011-260325-184359 11000_x000a_JP-011-260325-172717 10000_x000a_JP-015-260325-171731 8000_x000a_JP-019-260325-145631 14000_x000a_JP-020-260325-145214 9500_x000a_JP-002-260325-144737 12412_x000a_JP-016-260325-144720 12470_x000a_JP-016-260325-144404 12470_x000a_JP-018-260325-143308 13000_x000a_JP-016-260325-131320 19528_x000a_JP-020-260325-121850 9500_x000a_JP-016-260325-115517 18010_x000a_JP-020-260325-114647 9500_x000a_JP-004-260325-112813 5000_x000a_JP-015-260325-105709 12000_x000a_JP-015-260325-103729 16000_x000a_JP-007-260325-102223 7360_x000a_JP-015-260325-102213 12000_x000a_JP-015-260325-101309 9500_x000a_JP-006-260325-071919 37800_x000a__x000a__x000a__x000a_"/>
        <s v="Request BUKTI TRANSAKSI VOA dari BANK_x000a_(Pengajuan Pre-Arb oleh Bank)_x000a__x000a_Permohonan Konfirmasi Pre-Arbitrasi Prismalink #25032026 JCB"/>
        <s v="Request BUKTI TRANSAKSI CC dari BANK_x000a_(Customer sanggah transaksi CC)_x000a__x000a_KONFIRMASI CHARGEBACK Prismalink*IND VISAARR 26/03/2026 63 TRX"/>
        <s v="Request STATUS TRANSAKSI_x000a_(PRODUK Tdk Diterima, namun ada bukti TRANSFER)_x000a__x000a_7900125000023890 // NACL1419391372"/>
        <s v="Request STATUS TRANSAKSI_x000a_(PRODUK Tdk Diterima, namun ada bukti TRANSFER)_x000a__x000a_NACL1423407356 / 018162942608"/>
        <s v="Request STATUS TRANSAKSI_x000a_(PRODUK Tdk Diterima, namun ada bukti TRANSFER)_x000a__x000a_ID NACL1424240335 // RRN 000314104914"/>
        <s v="Request STATUS TRANSAKSI_x000a_(PRODUK Tdk Diterima, namun ada bukti TRANSFER)_x000a__x000a_NACL1424436502 // RRN 000316650626 "/>
        <s v="Request STATUS TRANSAKSI dari MERCHANT_x000a_(PRODUK diterima, dashboard belum update)_x000a__x000a_4041910124989996  // NACL1420438634 "/>
        <s v="Request STATUS TRANSAKSI dari MERCHANT_x000a_(PRODUK diterima, dashboard belum update)_x000a__x000a_018476687715"/>
        <s v="Request STATUS TRANSAKSI dari MERCHANT_x000a_(PRODUK diterima, dashboard belum update)_x000a__x000a_ 018130462932 "/>
        <s v="Request STATUS TRANSAKSI dari MERCHANT_x000a_(PRODUK diterima, dashboard belum update)_x000a__x000a_NACL1425185497 RRN 603591010917 "/>
        <s v="Request STATUS TRANSAKSI dari MERCHANT_x000a_(PRODUK diterima, dashboard belum update)_x000a__x000a_NACL1424485309 RRN 000000R2QY0C "/>
        <s v="Request STATUS TRANSAKSI_x000a_(PRODUK Tdk Diterima, namun ada bukti TRANSFER)_x000a__x000a_NACL1423618331 / 000000R1HDG6"/>
        <s v="Request STATUS TRANSAKSI_x000a_(PRODUK Tdk Diterima, namun ada bukti TRANSFER)_x000a__x000a_NACL1426837348 / 0000341471982"/>
        <s v="Request STATUS TRANSAKSI dari MERCHANT_x000a_(PRODUK diterima, dashboard belum update)_x000a__x000a_359910915622 // NACL1427268983 "/>
        <s v="Request STATUS TRANSAKSI dari MERCHANT_x000a_(PRODUK diterima, dashboard belum update)_x000a__x000a_018358850083"/>
        <s v="Request STATUS TRANSAKSI dari MERCHANT_x000a_(PRODUK diterima, dashboard belum update)_x000a__x000a_346410723"/>
        <s v="Request STATUS TRANSAKSI dari MERCHANT_x000a_(PRODUK diterima, dashboard belum update)_x000a__x000a_NACL1427294665 RRN 1mr6n5c35159"/>
        <s v="Request STATUS TRANSAKSI dari MERCHANT_x000a_(PRODUK diterima, dashboard belum update)_x000a__x000a_NACL1427294524 RRN 018333337939"/>
        <s v="Request STATUS TRANSAKSI dari MERCHANT_x000a_(PRODUK diterima, dashboard belum update)_x000a__x000a_NACL1427294117 RRN 000000R6CDJF"/>
        <s v="Request STATUS TRANSAKSI dari MERCHANT_x000a_(PRODUK diterima, dashboard belum update)_x000a__x000a_NACL1427142102 RRN 000345004624"/>
        <s v="Request STATUS TRANSAKSI dari MERCHANT_x000a_(PRODUK diterima, dashboard belum update)_x000a__x000a_NACL1424327115 RRN/No Ref JQI575514570"/>
        <s v="Request STATUS TRANSAKSI dari MERCHANT_x000a_(PRODUK diterima, dashboard belum update)_x000a__x000a_NACL1427001732 RRN 603597289429"/>
        <s v="Request STATUS TRANSAKSI dari MERCHANT_x000a_(PRODUK diterima, dashboard belum update)_x000a__x000a_NACL1426630152 RRN 603596782416"/>
        <s v="Request STATUS TRANSAKSI dari MERCHANT_x000a_(PRODUK diterima, dashboard belum update)_x000a__x000a_NACL1421276008_x000a_NACL1423384005_x000a_NACL1424358984_x000a_NACL1425189466_x000a_NACL1425192007_x000a_NACL1427345268_x000a_NACL1427346879_x000a_NACL1427348094_x000a_NACL1427348107_x000a_NACL1427348513"/>
        <s v="Request STATUS TRANSAKSI_x000a_(PRODUK Tdk Diterima, namun ada bukti TRANSFER)_x000a__x000a_018167389919"/>
        <s v="Request STATUS TRANSAKSI dari MERCHANT_x000a_(PRODUK diterima, dashboard belum update)_x000a__x000a_8903910117916006 "/>
        <s v="Request STATUS TRANSAKSI dari MERCHANT_x000a_(PRODUK diterima, dashboard belum update)_x000a__x000a_4041910117980762  "/>
        <s v="Request STATUS TRANSAKSI_x000a_(PRODUK Tdk Diterima, namun ada bukti TRANSFER)_x000a__x000a_P88595369 dengan RRN  018273003799"/>
        <s v="Request STATUS TRANSAKSI_x000a_(PRODUK Tdk Diterima, namun ada bukti TRANSFER)_x000a__x000a_7900119200675422  "/>
        <s v="Request STATUS TRANSAKSI_x000a_(PRODUK Tdk Diterima, namun ada bukti TRANSFER)_x000a__x000a_P88595369 dengan RRN  018273003799  "/>
        <s v="Request STATUS TRANSAKSI_x000a_(PRODUK Tdk Diterima, namun ada bukti TRANSFER)_x000a__x000a_7900121700014860 "/>
        <s v="Request STATUS TRANSAKSI_x000a_(PRODUK Tdk Diterima, namun ada bukti TRANSFER)_x000a__x000a_420460567"/>
        <s v="Request STATUS TRANSAKSI_x000a_(PRODUK Tdk Diterima, namun ada bukti TRANSFER)_x000a__x000a_000000R68JZ3"/>
        <s v="Request STATUS TRANSAKSI_x000a_(PRODUK Tdk Diterima, namun ada bukti TRANSFER)_x000a__x000a_018381511293"/>
        <s v="Request STATUS TRANSAKSI dari MERCHANT_x000a_(PRODUK diterima, dashboard belum update)_x000a__x000a_018424502593"/>
        <s v="Request STATUS TRANSAKSI_x000a_(PRODUK Tdk Diterima, namun ada bukti TRANSFER)_x000a__x000a_7900119200662830 "/>
        <s v="Request STATUS TRANSAKSI_x000a_(PRODUK Tdk Diterima, namun ada bukti TRANSFER)_x000a__x000a_AX4U1MFJA3LU_x000a_AX4U1MFIK45N_x000a_AX4UR57UTBHA_x000a_000364282469_x000a_AX4UR57VK7IR_x000a_AX4UEDTOC3ZB"/>
        <s v="Request STATUS TRANSAKSI dari MERCHANT_x000a_(PRODUK diterima, dashboard belum update)_x000a__x000a_INTERNALCELL_x000a_RRN 438689490 // ID NACL1434388282_x000a_SITRACELL _x000a_NACL1428346146_x000a_INTEGRACELL_x000a_NACL1431750502_x000a_NACL1432135977_x000a_Growcell_x000a_NACL1433767104_x000a_DND CEll_x000a_NACL1431987531_x000a_NACL1432655103_x000a_NACL1432654628_x000a_NACL1432653587_x000a_NACL1432621337"/>
        <s v="Request STATUS TRANSAKSI dari MERCHANT_x000a_(PRODUK diterima, dashboard belum update)_x000a__x000a_RRN: 018467618945 "/>
        <s v="Request STATUS TRANSAKSI_x000a_(PRODUK Tdk Diterima, namun ada bukti TRANSFER)_x000a__x000a_7900125000052304"/>
        <s v="Request STATUS TRANSAKSI dari MERCHANT_x000a_(PRODUK diterima, dashboard belum update)_x000a__x000a_RRN: 018384772839 "/>
        <s v="Request STATUS TRANSAKSI dari MERCHANT_x000a_(PRODUK diterima, dashboard belum update)_x000a__x000a_RRN: 603647887494"/>
        <s v="Request STATUS TRANSAKSI dari MERCHANT_x000a_(PRODUK diterima, dashboard belum update)_x000a__x000a_NACL1435771579 /  018284786001"/>
        <s v="Request STATUS TRANSAKSI dari MERCHANT_x000a_(PRODUK diterima, dashboard belum update)_x000a__x000a_ID NACL1436212771 // dengan RRN 603651408953"/>
        <s v="Request STATUS TRANSAKSI dari MERCHANT_x000a_(PRODUK diterima, dashboard belum update)_x000a__x000a_NACL1435652848_x000a_NACL1435570506_x000a_NACL1435613598"/>
        <s v="Request STATUS TRANSAKSI dari MERCHANT_x000a_(PRODUK diterima, dashboard belum update)_x000a__x000a_NACL1434364483"/>
        <s v="Request STATUS TRANSAKSI dari MERCHANT_x000a_(PRODUK diterima, dashboard belum update)_x000a__x000a_7900121700018278  "/>
        <s v="Request STATUS TRANSAKSI dari MERCHANT_x000a_(PRODUK diterima, dashboard belum update)_x000a__x000a_2026030840100954245 _x000a_7900119200604854 _x000a_2026030840100969636 _x000a_7900119200605302 _x000a_2026030840100969583 _x000a_7900119200605301"/>
        <s v="Request STATUS TRANSAKSI dari MERCHANT_x000a_(PRODUK diterima, dashboard belum update)_x000a__x000a_RRN: 115175846558"/>
        <s v="Request BUKTI REFUND TRANSAKSI_x000a_(Customer request refund transaksi double)_x000a__x000a_Visa for Koketso Macheru"/>
        <s v="Request STATUS TRANSAKSI_x000a_(PRODUK Tdk Diterima, namun ada bukti TRANSFER)_x000a__x000a_Tiket CRM - 29020041 - Virtual Account - Rekening Terdebet Tetapi Dana Belum Diterima - AFIF APRILANA MARZUQ _x000a_9887101250555149 852000"/>
        <s v="Request BUKTI TRANSAKSI VOA dari BANK_x000a_(Customer sanggah transaksi CC atas penerbitan Visa)_x000a__x000a_PERMOHONAN BUKTI TRANSAKSI PRISMALINK*IND VISAARR #26/03/2026 36 RX"/>
        <s v="Surat FRAUD_x000a_(Dana Terpotong, Produk Tdk Diterima)_x000a__x000a_[O50bcaf6] Indikasi Penipuan: BAYAR2.COM/26032026/049_x000a__x000a_PT Daya Net Gemilang_x000a_7900125000097116 99999999_x000a__x000a__x000a_"/>
        <s v="Request STATUS TRANSAKSI (ACQ NOBU)_x000a_(PRODUK Tdk Diterima Customer, _x000a_SWITCHING &amp; ACQ telah credit dana)_x000a__x000a_DISPUTE 25032026 PT PRISMALINK INTERNATIONAL_x000a__x000a_Sitracell               0142219032634796838_x000a_UNIV SAINS INDONESIA 0010916032613471526_x000a_Sitracell    0142219032692417597_x000a_Asia Cell    0141419032643017225_x000a_Alfacell    0140819032628447792_x000a__x000a_"/>
        <s v="Request REFUND TRANSAKSI_x000a_(Product tidak diterima dan Cust request refund)_x000a__x000a_Refund 26 Maret 2026_x000a__x000a_JP-018-260326-225442 5000_x000a_JP-004-260326-211300 17359_x000a_JP-013-260326-175257 12412_x000a_JP-001-260326-172916 10000_x000a_JP-001-260326-171038 10000_x000a_JP-007-260326-170617 11360_x000a_JP-001-260326-170520 13000_x000a_JP-019-260326-163816 18010_x000a_JP-015-260326-163741 20000_x000a_JP-008-260326-160919 10000_x000a_JP-006-260326-160211 9500_x000a_JP-020-260326-151930 11000_x000a_JP-020-260326-140910 9900_x000a_JP-008-260326-134238 10000_x000a_JP-020-260326-133311 20000_x000a_JP-004-260326-131942 13000_x000a_JP-004-260326-125245 12412_x000a_JP-004-260326-125220 12412_x000a_JP-003-260326-122854 12412_x000a_JP-020-260326-121139 10000_x000a_JP-007-260326-113951 5000_x000a_JP-020-260326-105648 6500_x000a_JP-015-260326-103610 6000_x000a_JP-006-260326-095832 11000_x000a_JP-007-260326-084340 8200_x000a_JP-019-260326-083708 10000_x000a__x000a_JP-020-260325-114647 9500_x000a_JP-004-260325-112813 5000_x000a_JP-015-260325-105709 12000_x000a_JP-015-260325-103729 16000_x000a_JP-007-260325-102223 7360_x000a_JP-015-260325-102213 12000_x000a_JP-015-260325-101309 9500_x000a_JP-006-260325-071919 37800_x000a__x000a__x000a__x000a_"/>
        <s v="Surat FRAUD dari BANK_x000a_(Dana Terpotong, Produk Tdk Diterima)_x000a__x000a_Surat Bilateral Bank Mandiri nomor OPT.CCG/CHM.5551/2026_x000a__x000a_PT VISI JAYA INDONESI_x000a_8903903600033042 1990000_x000a_8903903600033042 1970000"/>
        <s v="Request BUKTI TRANSAKSI VOA dari BANK_x000a_(Customer request payment receipt)_x000a__x000a_Request for Receipt of Visa on Arrival"/>
        <s v="Surat FRAUD dari BANK_x000a_(Dana Terpotong, Produk Tdk Diterima)_x000a__x000a_FRAUD ALIRAN DANA REK BCA ALPHA EPSILON - PRISMALINK PT BAYAR2.COM_x000a__x000a_PT ENVOIZ DIGITAL INDONESIA_x000a_7900124900060477 5950000"/>
        <s v="Request STATUS TRANSAKSI_x000a_(PRODUK Tdk Diterima, namun ada bukti TRANSFER)_x000a__x000a_4041910125009083"/>
        <s v="Request STATUS TRANSAKSI dari MERCHANT_x000a_(PRODUK diterima, dashboard belum update)_x000a__x000a_8903910125044109"/>
        <s v="Request STATUS TRANSAKSI_x000a_(PRODUK Tdk Diterima, namun ada bukti TRANSFER)_x000a__x000a_7900121700067092 "/>
        <s v="Request BUKTI REFUND TRANSAKSI_x000a_(Customer request refund transaksi double)_x000a__x000a_Request for Refund of Duplicate Visa Payment"/>
        <s v="Request BUKTI REFUND TRANSAKSI_x000a_(Customer request refund transaksi double)_x000a__x000a_I got one extra payment for evisa"/>
        <s v="Request BUKTI TRANSAKSI VOA dari BANK_x000a_(Customer sanggah transaksi CC atas penerbitan Visa)_x000a__x000a_Permohonan bukti transaksi merchant PRISMALINK #27032026 JCB First Chargeback"/>
        <s v="Surat FRAUD_x000a_(Dana Terpotong, Produk Tdk Diterima)_x000a__x000a_[Of5b81ff] Indikasi Penipuan: BAYAR2.COM/27032026/050_x000a__x000a_PT Daya Net Gemilang_x000a_7900125000024130 255000_x000a__x000a__x000a__x000a_"/>
        <s v="Request STATUS TRANSAKSI dari CUSTOMER_x000a_(PRODUK Tdk Diterima, namun ada bukti TRANSFER))_x000a__x000a_Konfirmasi Status Pembayaran Visa Turis"/>
        <s v="Request STATUS TRANSAKSI_x000a_(PRODUK Tdk Diterima, namun ada bukti TRANSFER)_x000a__x000a_[O1123f7b] Rekap : 12/VA ONLINE/BAYAR2.COM_x000a__x000a_Tripay Sub_x000a_7900117900073206 170500"/>
        <s v="Request STATUS TRANSAKSI (ACQ NOBU)_x000a_(PRODUK Tdk Diterima Customer, _x000a_SWITCHING &amp; ACQ telah credit dana)_x000a__x000a_DISPUTE 26032026 PT PRISMALINK INTERNATIONAL_x000a__x000a_Asia Cell 0141920032696599182_x000a_Saver Cell 0142220032630333620_x000a_"/>
        <s v="Request BUKTI REFUND TRANSAKSI_x000a_(Customer request refund transaksi double)_x000a__x000a_Request for Refund – Duplicate Payment for VOA at Denpasar Airport"/>
        <s v="Request BUKTI REFUND TRANSAKSI_x000a_(Customer request refund transaksi double)_x000a__x000a_Urgent: Refund Request for Duplicate e-VOA Charges"/>
        <s v="Request BUKTI REFUND TRANSAKSI_x000a_(Customer request refund transaksi double)_x000a__x000a_Charged twice"/>
        <s v="Request BUKTI REFUND TRANSAKSI_x000a_(Customer request refund transaksi double)_x000a__x000a_Fwd: Visa card charge claim upon arrival"/>
        <s v="Request BUKTI REFUND TRANSAKSI_x000a_(Customer request refund transaksi double)_x000a__x000a_Request for Refund of E-VoA payments"/>
        <s v="Request BUKTI REFUND TRANSAKSI_x000a_(Customer request refund transaksi double)_x000a__x000a_Duplicate Payment Refund Request – eVOA (Ref: 2200326B1936770)"/>
        <s v="Request BUKTI REFUND TRANSAKSI_x000a_(Customer request refund transaksi double)_x000a__x000a_Refund Request – Unsuccessful e-Visa Payment"/>
        <s v="Request BUKTI REFUND TRANSAKSI_x000a_(Customer request refund transaksi double)_x000a__x000a_Double charge for my EVOA"/>
        <s v="Request BUKTI REFUND TRANSAKSI_x000a_(Customer request refund transaksi double)_x000a__x000a_Request for transaction refund"/>
        <s v="Request BUKTI REFUND TRANSAKSI_x000a_(Customer request refund transaksi double)_x000a__x000a_Refund request"/>
        <s v="Request REFUND TRANSAKSI_x000a_(Product tidak diterima dan Cust request refund)_x000a__x000a_Refund 27,28,29 Mret 2026_x000a__x000a_JP-001-260328-214552 12600_x000a_JP-004-260328-211621 5000_x000a_JP-019-260328-204259 15500_x000a_JP-004-260328-193528 18700_x000a_JP-004-260328-190335 5000_x000a_JP-001-260328-174724 5000_x000a_JP-006-260328-170513 8000_x000a_JP-004-260328-163716 5000_x000a_JP-004-260328-145318 5000_x000a_JP-015-260328-132506 15500_x000a_JP-015-260328-132152 15500_x000a_JP-001-260328-131956 15000_x000a_JP-015-260328-130856 8000_x000a_JP-012-260328-115441 33600_x000a_JP-001-260328-113403 10000_x000a_JP-001-260328-113130 10000_x000a_JP-001-260328-113013 10000_x000a_JP-001-260328-082106 7920_x000a_JP-004-260328-002149 11998_x000a_JP-009-260329-215318 10000_x000a_JP-003-260329-203548 12412_x000a_JP-004-260329-202919 12412_x000a_JP-004-260329-201543 5000_x000a_JP-018-260329-190427 12600_x000a_JP-017-260329-160652 3500_x000a_JP-003-260329-142649 33600_x000a_JP-020-260329-135753 8900_x000a_JP-015-260329-135421 9500_x000a_JP-020-260329-134850 8900_x000a_JP-008-260329-134829 14000_x000a_JP-020-260329-123012 15500_x000a_JP-006-260329-110424 8000_x000a_JP-004-260329-104746 5000_x000a_JP-004-260329-104410 5000_x000a_JP-015-260329-100902 8000_x000a_JP-016-260329-092707 37800_x000a_JP-015-260329-082715 12000_x000a_JP-006-260329-082611 10000_x000a_JP-001-260329-081500 5000_x000a_JP-006-260329-063605 14000_x000a_JP-001-260327-200025 7920_x000a_JP-004-260327-174747 11360_x000a_JP-001-260327-132853 3500_x000a_JP-019-260327-095641 15500_x000a_JP-006-260327-094237 37800_x000a_JP-016-260327-093422 11000_x000a_JP-006-260327-092814 14000_x000a_JP-001-260327-071824 12412_x000a_JP-004-260327-034645 4392_x000a__x000a__x000a__x000a__x000a_"/>
        <s v="Request BUKTI TRANSAKSI VOA dari BANK_x000a_(Pengajuan Pre-Arb oleh Bank)_x000a__x000a_Permohonan Konfirmasi Pre-Arbitrasi Prismalink #30032026 JCB"/>
        <s v="Request STATUS TRANSAKSI_x000a_(PRODUK Tdk Diterima, namun ada bukti TRANSFER)_x000a__x000a_000000R68JZ3 "/>
        <s v="Request STATUS TRANSAKSI dari MERCHANT_x000a_(PRODUK diterima, dashboard belum update)_x000a__x000a_8919101250538338 / NACL1439894719"/>
        <s v="Request STATUS TRANSAKSI dari MERCHANT_x000a_(PRODUK diterima, dashboard belum update)_x000a__x000a_8919101250524768 / NACL1440496233"/>
        <s v="Request STATUS TRANSAKSI_x000a_(PRODUK Tdk Diterima, namun ada bukti TRANSFER)_x000a__x000a_AX4UEDTSIZRK"/>
        <s v="Request BUKTI TRANSAKSI VOA dari BANK_x000a_(Customer sanggah transaksi CC atas penerbitan Visa)_x000a__x000a_KONFIRMASI CHARGEBACK Prismalink*IND VISAARR 30/03/2026 21 TRX"/>
        <s v="Request BUKTI TRANSAKSI VOA dari BANK_x000a_(Pengajuan Pre-Arb oleh Bank)_x000a__x000a_KONFIRMASI PRE ARBITRASI Prismalink*IND VISAARR 26/03/2026 127 TRX"/>
        <s v="Request BUKTI TRANSAKSI VOA dari BANK_x000a_(Customer sanggah transaksi CC atas penerbitan Visa)_x000a__x000a_PERMOHONAN BUKTI TRANSAKSI PRISMALINK*IND VISAARR #30/03/2026 19 TRX"/>
        <s v="Request BUKTI TRANSAKSI VOA dari BANK_x000a_(Customer sanggah transaksi CC atas penerbitan Visa)_x000a__x000a_RE: VOA"/>
        <s v="Request REFUND TRANSAKSI_x000a_(Product tidak diterima dan Cust request refund)_x000a__x000a_refund 30 Maret 2026_x000a__x000a_JP-006-260330-214305 8000_x000a_JP-009-260330-202951 10000_x000a_JP-001-260330-201822 9900_x000a_JP-001-260330-201513 9900_x000a_JP-001-260330-200052 18000_x000a_JP-003-260330-182728 9000_x000a_JP-004-260330-173922 5000_x000a_JP-007-260330-161501 6000_x000a_JP-004-260330-142232 5000_x000a_JP-001-260330-123815 12600_x000a_JP-019-260330-094417 15500_x000a_JP-001-260330-045256 10000_x000a_JP-001-260330-045117 10000_x000a__x000a__x000a__x000a__x000a_"/>
        <s v="Request STATUS TRANSAKSI dari MERCHANT_x000a_(PRODUK diterima, dashboard belum update)_x000a__x000a_NACL1444377895_x000a_8919101250044413"/>
        <s v="Surat FRAUD_x000a_(Dana Terpotong, Produk Tdk Diterima)_x000a__x000a_[O5eda71d] Indikasi Penipuan: BAYAR2.COM/31032026/051_x000a__x000a_PT Daya Net Gemilang_x000a_7900125000000852 18780000_x000a__x000a__x000a__x000a__x000a_"/>
        <s v="Request BUKTI REFUND TRANSAKSI_x000a_(Customer request refund transaksi double)_x000a__x000a_Visa charges"/>
        <s v="Request REFUND TRANSAKSI_x000a_(Product tidak diterima dan Cust request refund)_x000a__x000a_Refund 31 Maret 2026_x000a__x000a_JP-018-260331-200057 12600_x000a_JP-018-260331-192325 12412_x000a_JP-018-260331-191508 12412_x000a_JP-011-260331-182848 16000_x000a_JP-001-260331-165836 8960_x000a_JP-001-260331-164314 10000_x000a_JP-001-260331-151726 10000_x000a_JP-014-260331-151725 33600_x000a_JP-006-260331-104854 16000_x000a_JP-007-260331-104026 17359_x000a_JP-006-260331-095804 37800_x000a_JP-001-260331-094538 18000_x000a_JP-018-260331-084324 12600_x000a_JP-001-260331-083012 10000_x000a_JP-001-260331-081323 15000_x000a__x000a__x000a__x000a__x000a_"/>
        <s v="Surat FRAUD dari BANK_x000a_(Dana Terpotong, Produk Tdk Diterima)_x000a__x000a_Surat Bilateral Bank Mandiri nomor OPT.CCG/CHM.6047/2026_x000a__x000a_PT Envoiz Digital Indonesia_x000a_8903910124904952 30000000_x000a_8903910124966802 50000000_x000a__x000a_PT Daya Net Gemilang_x000a_8903910125013957 4250000"/>
        <s v="Request BUKTI TRANSAKSI VOA dari BANK_x000a_(Customer sanggah transaksi CC atas penerbitan Visa)_x000a__x000a_Permohonan bukti transaksi merchant PRISMALINK #01042026 JCB First Chargeback"/>
        <s v="Request STATUS TRANSAKSI_x000a_(PRODUK Tdk Diterima, namun ada bukti TRANSFER)_x000a__x000a_RRN 603696616156 _x000a_RRN 163780506_x000a_RRN 164688451_x000a_RRN ESB460500169_x000a_RRN 166612822_x000a_RRN 001087643405_x000a_RRN 167056727_x000a_RRN 167177796_x000a_RRN 167372844_x000a_RRN 167593936_x000a_RRN 010000BTGWFJ_x000a_RRN 167616211_x000a_RRN 167743187_x000a_RRN 010000BTGM0H_x000a_RRN AX4U1MFNH93G_x000a_RRN AX4UEDTSJUR2_x000a_RRN AX4UR57ZPLZF_x000a_RRN AX4UEDTSJ1XS_x000a_RRN AX4UR57ZPXR2_x000a_RRN AX4U1MFNGRLQ_x000a_RRN c78fd7788a66_x000a_RRN AX4UEDTOC3ZB_x000a_RRN 11c0ea4ceb41_x000a_RRN fe4cd6ce3615_x000a_RRN AX4UR57ZQE7U _x000a_RRN AX4UR57ZQHZA_x000a_RRN 167748962 _x000a_RRN 603696616156_x000a_RRN 603696547314_x000a_RRN 603696616156_x000a_RRN 000029835126_x000a_"/>
        <s v="Request STATUS TRANSAKSI_x000a_(PRODUK Tdk Diterima, namun ada bukti TRANSFER)_x000a__x000a_AX4UEDTSIZRK_x000a_RRN 603696616156_x000a_RRN 603696547314_x000a_RRN 603696616156_x000a_RRN 000029835126_x000a_"/>
        <s v="Request STATUS TRANSAKSI dari MERCHANT_x000a_(PRODUK diterima, dashboard belum update)_x000a__x000a_7900125000066483"/>
        <s v="Request STATUS TRANSAKSI dari MERCHANT_x000a_(PRODUK diterima, dashboard belum update)_x000a__x000a_NACL1444506413 // RRN Qris 1n2pmeq59036"/>
        <s v="Request STATUS TRANSAKSI dari MERCHANT_x000a_(PRODUK diterima, dashboard belum update)_x000a__x000a_8919101250243932"/>
        <s v="Request STATUS TRANSAKSI dari MERCHANT_x000a_(PRODUK diterima, dashboard belum update)_x000a__x000a_8919101250044413"/>
        <s v="Request STATUS TRANSAKSI dari MERCHANT_x000a_(PRODUK diterima, dashboard belum update)_x000a__x000a_7900125000054501 0044413"/>
        <s v="Request STATUS TRANSAKSI dari MERCHANT_x000a_(PRODUK diterima, dashboard belum update)_x000a__x000a_8919101249407534"/>
        <s v="Request STATUS TRANSAKSI dari MERCHANT_x000a_(PRODUK diterima, dashboard belum update)_x000a__x000a_000218120072"/>
        <s v="Request STATUS TRANSAKSI dari MERCHANT_x000a_(PRODUK diterima, dashboard belum update)_x000a__x000a_8919101123045129"/>
        <s v="Request BUKTI TRANSAKSI VOA dari BANK_x000a_(Customer request payment receipt)_x000a__x000a_kindly request to send the receipt/invoice of my E-visa"/>
        <s v="Request BUKTI REFUND TRANSAKSI_x000a_(Customer request refund transaksi double)_x000a__x000a_Double payment for visa"/>
        <s v="Request REFUND TRANSAKSI_x000a_(Product tidak diterima dan Cust request refund)_x000a__x000a_Refund 1 April 2026_x000a__x000a_JP-016-260401-222226 9500_x000a_JP-016-260401-221803 9500_x000a_JP-001-260401-195901 12412_x000a_JP-001-260401-190836 10000_x000a_JP-004-260401-171738 5000_x000a_JP-017-260401-162654 12183_x000a_JP-017-260401-162302 12600_x000a_JP-015-260401-133547 4000_x000a_JP-001-260401-115230 10000_x000a_JP-001-260401-114156 7920_x000a_JP-015-260401-113025 16500_x000a_JP-006-260401-101046 16000_x000a_JP-006-260401-093122 11000_x000a_JP-008-260401-092847 14000_x000a_JP-015-260401-092032 11000_x000a_JP-006-260401-080851 37800_x000a_JP-018-260401-053159 12100_x000a_JP-001-260401-011534 10000_x000a_JP-001-260401-011235 10000_x000a__x000a__x000a__x000a__x000a__x000a_"/>
        <s v="Request STATUS TRANSAKSI_x000a_(PRODUK Tdk Diterima, namun ada bukti TRANSFER)_x000a__x000a_297503f28943_x000a__x000a_"/>
        <s v="Request BUKTI REFUND TRANSAKSI_x000a_(Customer request refund transaksi double)_x000a__x000a_REFUND REQUEST - DOUBLE CHARGE VoA"/>
        <s v="Request BUKTI TRANSAKSI VOA dari BANK_x000a_(Customer sanggah transaksi CC atas penerbitan Visa)_x000a__x000a_KONFIRMASI CHARGEBACK Prismalink*IND VISAARR 02/04/2026 20 TRX"/>
        <s v="Request BUKTI TRANSAKSI VOA dari BANK_x000a_(Customer sanggah transaksi CC atas penerbitan Visa)_x000a__x000a_KONFIRMASI CHARGEBACK Prismalink*IND VISAARR 02/04/2026 11 TRX"/>
        <s v="Surat FRAUD_x000a_(Dana Terpotong, Produk Tdk Diterima)_x000a__x000a_RE: Pengecekan VA 4041910125005166_x000a__x000a_PT Daya Net Gemilang_x000a_4041910125005166 1000000_x000a__x000a__x000a__x000a__x000a_"/>
        <s v="Surat FRAUD_x000a_(Dana Terpotong, Produk Tdk Diterima)_x000a__x000a_[O301c8e4] Indikasi Penipuan: BAYAR2.COM/02042026/052_x000a__x000a_PT Daya Net Gemilang_x000a_7900125000087550 29812345_x000a__x000a__x000a__x000a__x000a__x000a_"/>
        <s v="Request BUKTI TRANSAKSI VOA dari BANK_x000a_(Pengajuan Pre-Arb oleh Bank)_x000a__x000a_KONFIRMASI PRE ARBITRASI Prismalink*IND VISAARR 02/04/2026 34 TRX"/>
        <s v="Request BUKTI TRANSAKSI VOA dari BANK_x000a_(Customer sanggah transaksi CC atas penerbitan Visa)_x000a__x000a_Permohonan bukti transaksi merchant PRISMALINK #02042026 JCB First Chargeback"/>
        <s v="Request BUKTI REFUND TRANSAKSI_x000a_(Customer request refund transaksi double)_x000a__x000a_Charged twice for visa "/>
        <s v="Request STATUS TRANSAKSI (ACQ NOBU)_x000a_(PRODUK Tdk Diterima Customer, _x000a_SWITCHING &amp; ACQ telah credit dana)_x000a__x000a_Surat DISPUTE dari NOBU_x000a_email : DISPUTE 31032026 PT PRISMALINK INTERNATIONAL_x000a__x000a_Dayanet 0010513022669172040_x000a_Dela Cell 0141026032659587312"/>
        <s v="Request BUKTI REFUND TRANSAKSI_x000a_(Customer request refund transaksi double)_x000a__x000a_Request for Refund of Overcharged Visa Fee"/>
        <s v="Request BUKTI REFUND TRANSAKSI_x000a_(Customer request refund transaksi double)_x000a__x000a_Re: Duplicate payment issue - Indonesia eVoA"/>
        <s v="Surat FRAUD_x000a_(Dana Terpotong, Produk Tdk Diterima)_x000a__x000a_RE: 4041910125005166_x000a__x000a_PT Daya Net Gemilang_x000a_4041910125005166 1000000_x000a__x000a__x000a__x000a__x000a__x000a_"/>
        <s v="Request BUKTI REFUND TRANSAKSI_x000a_(Customer request refund transaksi double)_x000a__x000a_Re: Request for Refund of Duplicate Visa Payment"/>
        <s v="Request STATUS TRANSAKSI (ACQ NOBU)_x000a_(PRODUK Tdk Diterima Customer, _x000a_SWITCHING &amp; ACQ telah credit dana)_x000a__x000a_Surat DISPUTE dari NOBU_x000a_email : DISPUTE 01042026 PT PRISMALINK INTERNATIONAL_x000a__x000a_Dayanet      0141030032633956186_x000a_Integra Cell 0140623032652496787_x000a_Dela Cell 0140726032628559946_x000a_"/>
        <s v="Request STATUS TRANSAKSI (ACQ NOBU)_x000a_(PRODUK Tdk Diterima Customer, _x000a_SWITCHING &amp; ACQ telah credit dana)_x000a__x000a_Surat DISPUTE dari NOBU_x000a_email : DISPUTE 02042026 PT PRISMALINK INTERNATIONAL_x000a__x000a_Alomogada 0011211032603162072_x000a__x000a_"/>
        <s v="Request BUKTI REFUND TRANSAKSI_x000a_(Customer request refund transaksi double)_x000a__x000a_Bali Airport - Card changed twice for the Visa on Arrival"/>
        <s v="Surat FRAUD_x000a_(Dana Terpotong, Produk Tdk Diterima)_x000a__x000a_Pengaduan Transaksi &amp; Refund_x000a__x000a_PT Teknologi Awan Cerah_x000a_7900121700029133 4660000_x000a__x000a__x000a__x000a__x000a_"/>
        <s v="Request BUKTI REFUND TRANSAKSI_x000a_(Customer request refund transaksi double)_x000a__x000a_Refund Request – Duplicate Visa Payment (Jakarta Arrival)"/>
        <s v="Request BUKTI REFUND TRANSAKSI_x000a_(Customer request refund transaksi double)_x000a__x000a_Paid for visa twice - Membayar visa dua kali"/>
        <s v="Request REFUND TRANSAKSI_x000a_(Product tidak diterima dan Cust request refund)_x000a__x000a_Refund 2,3,4,5 April 2026_x000a__x000a__x000a__x000a__x000a__x000a_"/>
        <s v="Request BUKTI TRANSAKSI VOA dari BANK_x000a_(Customer request payment receipt)_x000a__x000a_FW: Konfirmasi Kontak PrismaLink International"/>
        <s v="Request BUKTI TRANSAKSI VOA dari BANK_x000a_(Pengajuan Pre-Arb oleh Bank)_x000a__x000a_Permohonan Konfirmasi Pre-Arbitrasi Prismalink #060426 JCB"/>
        <s v="Request BUKTI TRANSAKSI VOA dari BANK_x000a_(Customer sanggah transaksi CC atas penerbitan Visa)_x000a__x000a_Permohonan Bukti Transaksi Merchant PRISMALINK #06042026 JCB First Chargeback"/>
        <s v="Request STATUS TRANSAKSI dari MERCHANT_x000a_(PRODUK diterima, dashboard belum update)_x000a__x000a_8903910112851953"/>
        <s v="Request STATUS TRANSAKSI dari MERCHANT_x000a_(PRODUK diterima, dashboard belum update)_x000a__x000a_000282518993 / NACL1449813605"/>
        <s v="Request STATUS TRANSAKSI_x000a_(PRODUK Tdk Diterima, namun ada bukti TRANSFER)_x000a__x000a_099113371215_x000a__x000a_"/>
        <s v="Request STATUS TRANSAKSI_x000a_(PRODUK Tdk Diterima, namun ada bukti TRANSFER)_x000a__x000a_7900117900027356_x000a__x000a_"/>
        <s v="Request STATUS TRANSAKSI_x000a_(PRODUK Tdk Diterima, namun ada bukti TRANSFER)_x000a__x000a_7900125000096785_x000a__x000a_"/>
        <s v="Request STATUS TRANSAKSI_x000a_(PRODUK Tdk Diterima, namun ada bukti TRANSFER)_x000a__x000a_1n8vx6887563_x000a__x000a_"/>
        <s v="Request STATUS TRANSAKSI_x000a_(PRODUK Tdk Diterima, namun ada bukti TRANSFER)_x000a__x000a_41942930f2b5_x000a__x000a_"/>
        <s v="Request BUKTI REFUND TRANSAKSI_x000a_(Customer request refund transaksi double)_x000a__x000a_Refund Request: Duplicate Payment for e-VOA - Freya Paige Johnson "/>
        <s v="Request BUKTI REFUND TRANSAKSI_x000a_(Customer request refund transaksi double)_x000a__x000a_Fwd: Fwd: Request for Refund – Duplicate Visa Payment"/>
        <s v="Surat FRAUD_x000a_(Dana Terpotong, Produk Tdk Diterima)_x000a__x000a_[O00045a0] Indikasi Penipuan: BAYAR2.COM/06042026/053_x000a__x000a_PT Daya Net Gemilang_x000a_7900125000067223 90000000_x000a_7900125000043973 100000000_x000a_7900125000094521 100000000_x000a__x000a__x000a__x000a__x000a__x000a__x000a_"/>
        <s v="Surat FRAUD_x000a_(Dana Terpotong, Produk Tdk Diterima)_x000a__x000a_[O8fa05eb] Indikasi Penipuan: BAYAR2.COM/06042026/054_x000a__x000a_PT Kreasi Kode Kreatif_x000a_7900119200715702 1600000_x000a__x000a__x000a__x000a__x000a__x000a__x000a_"/>
        <s v="Request BUKTI REFUND TRANSAKSI_x000a_(Customer request refund transaksi double)_x000a__x000a_Subject: Duplicate Payment Request – eVOA (Prismalink)"/>
        <s v="Request BUKTI REFUND TRANSAKSI_x000a_(Customer request refund transaksi double)_x000a__x000a_Visa On Arrival"/>
        <s v="Request BUKTI TRANSAKSI VOA dari BANK_x000a_(Customer request payment receipt)_x000a__x000a_Receipt request for Feb 23 visa payment"/>
        <s v="Request REFUND TRANSAKSI_x000a_(Product tidak diterima dan Cust request refund)_x000a__x000a_Refund 6 April 2026_x000a__x000a__x000a__x000a__x000a__x000a_"/>
        <s v="Request BUKTI TRANSAKSI VOA dari BANK_x000a_(Customer request payment receipt)_x000a__x000a_I would like to request a refund for the visa payment."/>
        <s v="Request BUKTI REFUND TRANSAKSI_x000a_(Customer request refund transaksi double)_x000a__x000a_RE: Visa double charge"/>
        <s v="Request BUKTI TRANSAKSI VOA dari BANK_x000a_(Customer sanggah transaksi CC atas penerbitan Visa)_x000a__x000a_Permohonan bukti transaksi merchant PRISMALINK #07042026 JCB First Chargeback"/>
        <s v="Surat FRAUD_x000a_(Dana Terpotong, Produk Tdk Diterima)_x000a__x000a_[O3726b65] Indikasi Penipuan: BAYAR2.COM/07042026/055_x000a__x000a_PT Kreasi Kode Kreatif_x000a_7900119200713479 2370000_x000a__x000a__x000a__x000a__x000a__x000a__x000a__x000a_"/>
        <s v="Request STATUS TRANSAKSI_x000a_(PRODUK Tdk Diterima, namun ada bukti TRANSFER)_x000a__x000a_TIKET CRM 29061351 - KELUHAN TRANSFER VA PT PRISMALINK INTERNATIONAL an FABIAN RIZKY TANDIARRANG_x000a__x000a_PT Daya Net Gemilang_x000a_9887101250144159 17020000"/>
        <s v="Surat FRAUD_x000a_(Dana Terpotong, Produk Tdk Diterima)_x000a__x000a_[O67457bc] Indikasi Penipuan: BAYAR2.COM/07042026/056_x000a__x000a_PT Teknologi Awan Cerah_x000a_7900121700069808 1950000_x000a__x000a__x000a__x000a__x000a__x000a__x000a__x000a__x000a_"/>
        <s v="Surat FRAUD_x000a_(Dana Terpotong, Produk Tdk Diterima)_x000a__x000a_[O6ded67b] Indikasi Penipuan: BAYAR2.COM/07042026/057_x000a__x000a_PT Daya Net Gemilang_x000a_7900125000050143 2415000_x000a__x000a_PT ENVOIZ DIGITAL INDONESIA_x000a_7900124900002640 2000785_x000a__x000a__x000a__x000a__x000a__x000a__x000a__x000a__x000a__x000a_"/>
        <s v="Surat FRAUD_x000a_(Dana Terpotong, Produk Tdk Diterima)_x000a__x000a_[O22a28f4] Indikasi Penipuan: BAYAR2.COM/07042026/058_x000a__x000a_PT Teknologi Awan Cerah_x000a_7900121700015293 1350000_x000a__x000a__x000a__x000a__x000a__x000a__x000a__x000a__x000a__x000a_"/>
        <s v="Request REFUND TRANSAKSI_x000a_(Customer request refund transaksi double)_x000a__x000a_Fwd: Visa"/>
        <s v="Surat FRAUD_x000a_(Dana Terpotong, Produk Tdk Diterima)_x000a__x000a_FRAUD ALIRAN DANA REK BCA CHIKA RIZKA RAHMADINNA 1978519997 - PRISMALINK PT BAYAR2.COM_x000a__x000a_7900121700027517       2700000_x000a__x000a__x000a__x000a__x000a__x000a__x000a__x000a__x000a__x000a_"/>
        <s v="Request BUKTI TRANSAKSI VOA dari BANK_x000a_(Customer request payment receipt)_x000a__x000a_FW: Receipt for Payment"/>
        <s v="Request REFUND TRANSAKSI_x000a_(Product tidak diterima dan Cust request refund)_x000a__x000a_Refund 7 April 2026_x000a__x000a__x000a__x000a__x000a__x000a_"/>
        <s v="Surat FRAUD_x000a_(Dana Terpotong, Produk Tdk Diterima)_x000a__x000a_[Ob5e9c34] Indikasi Penipuan: BAYAR2.COM/08042026/060_x000a__x000a_PT Kreasi Kode Kreatif_x000a_7900119200723061 1755000_x000a__x000a__x000a__x000a__x000a__x000a__x000a__x000a__x000a__x000a__x000a__x000a_"/>
        <s v="Surat FRAUD_x000a_(Dana Terpotong, Produk Tdk Diterima)_x000a__x000a_[Oe420498] Indikasi Penipuan: BAYAR2.COM/08042026/061_x000a__x000a_PT Envoiz Digital Indonesia_x000a_7900124900064760 4524500_x000a__x000a__x000a__x000a__x000a__x000a__x000a__x000a__x000a__x000a__x000a__x000a_"/>
        <s v="Request BUKTI TRANSAKSI VOA dari BANK_x000a_(Customer request payment receipt)_x000a__x000a_The Receipt of e-Visa"/>
        <s v="Request REFUND TRANSAKSI_x000a_(Product tidak diterima dan Cust request refund)_x000a__x000a_Refund 8 April 2026_x000a__x000a__x000a__x000a__x000a_"/>
        <s v="Request BUKTI TRANSAKSI VOA dari BANK_x000a_(Customer sanggah transaksi CC atas penerbitan Visa)_x000a__x000a_Permohonan Bukti Transaksi Merchant PRISMALINK #08042026 JCB First Chargeback"/>
        <s v="Request REFUND TRANSAKSI_x000a_(Customer request refund transaksi double)_x000a__x000a_Double payment"/>
        <s v="Request REFUND TRANSAKSI_x000a_(Customer request refund transaksi double)_x000a__x000a_Error Payment Refund"/>
        <s v="Surat FRAUD_x000a_(Dana Terpotong, Produk Tdk Diterima)_x000a__x000a_[O5e1b26f] Indikasi Penipuan: BAYAR2.COM/09042026/062_x000a__x000a_PT ENVOIZ DIGITAL INDONESIA_x000a_7900124900064626 4600000_x000a__x000a__x000a__x000a__x000a__x000a__x000a__x000a__x000a__x000a__x000a__x000a_"/>
        <s v="Surat FRAUD_x000a_(Dana Terpotong, Produk Tdk Diterima)_x000a__x000a_[O03fc1d7] Indikasi Penipuan: BAYAR2.COM/09042026/063_x000a__x000a_PT ENVOIZ DIGITAL INDONESIA_x000a_7900124900063039 2587500_x000a__x000a__x000a__x000a__x000a__x000a__x000a__x000a__x000a__x000a__x000a__x000a__x000a_"/>
        <s v="Request STATUS TRANSAKSI (ACQ NOBU)_x000a_(PRODUK Tdk Diterima Customer, _x000a_SWITCHING &amp; ACQ telah credit dana)_x000a__x000a_Surat DISPUTE dari NOBU_x000a_email : DISPUTE 06042026 PT PRISMALINK INTERNATIONAL"/>
        <s v="Request BUKTI TRANSAKSI VOA dari BANK_x000a_(Customer request payment receipt)_x000a__x000a_Request for Indonesia visa invoice"/>
        <s v="Request REFUND TRANSAKSI_x000a_(Customer request refund transaksi double)_x000a__x000a_Fw: Inquiry about refund for duplicate payment of Indonesia entry card"/>
        <s v="Request REFUND TRANSAKSI_x000a_(Product tidak diterima dan Cust request refund)_x000a__x000a_Refund 09 April 2026_x000a__x000a__x000a__x000a__x000a_"/>
        <s v="Surat FRAUD_x000a_(Dana Terpotong, Produk Tdk Diterima)_x000a__x000a_[Oeb8570d] Indikasi Penipuan: BAYAR2.COM/10042026/064_x000a__x000a_PT ENVOIZ DIGITAL INDONESIA_x000a_7900124900086555 10000000_x000a__x000a__x000a__x000a__x000a__x000a__x000a__x000a__x000a__x000a__x000a__x000a__x000a__x000a_"/>
        <s v="Request BUKTI TRANSAKSI VOA_x000a_(Customer sanggah transaksi CC atas penerbitan Visa)_x000a__x000a_E-Visa On Arrival"/>
        <s v="Request BUKTI TRANSAKSI VOA dari BANK_x000a_(Pengajuan Pre-Arb oleh Bank)_x000a__x000a_KONFIRMASI PRE ARBITRASI Prismalink*IND VISAARR 10/04/2026 72 TRX"/>
        <s v="Request REFUND TRANSAKSI_x000a_(Customer request refund transaksi double)_x000a__x000a_Payment Deducted but Visa Not Issued"/>
        <s v="Request REFUND TRANSAKSI_x000a_(Customer request refund transaksi double)_x000a__x000a_Visa on arrival"/>
        <s v="Surat FRAUD_x000a_(Dana Terpotong, Produk Tdk Diterima)_x000a__x000a_RE: Pengecekan VA 700701131100675_x000a__x000a_PT Wahana Pembayaran Digital_x000a_700701131100675 4113212_x000a__x000a__x000a__x000a__x000a__x000a__x000a__x000a__x000a__x000a__x000a__x000a__x000a__x000a_"/>
        <s v="Surat FRAUD_x000a_(Dana Terpotong, Produk Tdk Diterima)_x000a__x000a_Pemohonan Informasi Indikasi Fraud PT. Prismalink International VA 4041910125034269 dan 4041910124970806_x000a__x000a_PT Daya Net Gemilang_x000a_4041910125034269 12000000_x000a__x000a_PT ENVOIZ DIGITAL INDONESIA_x000a_4041910124970806 12000000_x000a__x000a__x000a__x000a__x000a__x000a__x000a__x000a__x000a__x000a__x000a__x000a__x000a_"/>
        <s v="Surat FRAUD_x000a_(Dana Terpotong, Produk Tdk Diterima)_x000a__x000a_REPORT PENIPUAN VIRTUAL ACCOUNT MANDIRI PRISMA LINK_x000a__x000a_PT Wahana Pembayaran Digital_x000a_700701130100643 4113212_x000a__x000a__x000a__x000a__x000a__x000a__x000a__x000a__x000a__x000a__x000a__x000a__x000a_"/>
        <s v="Request BUKTI TRANSAKSI VOA dari BANK_x000a_(Customer sanggah transaksi CC atas penerbitan Visa)_x000a__x000a_PERMOHONAN BUKTI TRANSAKSI PRISMALINK*IND VISAARR #10/04/2026 50 TRX"/>
        <s v="Request STATUS TRANSAKSI (ACQ NOBU)_x000a_(PRODUK Tdk Diterima Customer, _x000a_SWITCHING &amp; ACQ telah credit dana)_x000a__x000a_Surat DISPUTE dari NOBU_x000a_email : DISPUTE 08042026 PT PRISMALINK INTERNATIONAL11120012625936300"/>
        <s v="Request STATUS TRANSAKSI (ACQ NOBU)_x000a_(PRODUK Tdk Diterima Customer, _x000a_SWITCHING &amp; ACQ telah credit dana)_x000a__x000a_Surat DISPUTE dari NOBU_x000a_email : DISPUTE 09042026 PT PRISMALINK INTERNATIONAL"/>
        <s v="Request REFUND TRANSAKSI_x000a_(Product tidak diterima dan Cust request refund)_x000a__x000a_Refund 10,11,12 April 2026_x000a__x000a__x000a__x000a__x000a_"/>
        <s v="Request BUKTI TRANSAKSI VOA dari BANK_x000a_(Customer sanggah transaksi CC atas penerbitan Visa)_x000a__x000a_Permohonan Bukti Transaksi Merchant PRISMALINK #10042026 JCB First Chargeback"/>
        <s v="Request BUKTI TRANSAKSI VOA dari BANK_x000a_(Customer sanggah transaksi CC atas penerbitan Visa)_x000a__x000a_KONFIRMASI CHARGEBACK Prismalink*IND VISAARR 10/04/2026 57 TRX"/>
        <s v="Request STATUS TRANSAKSI_x000a_(PRODUK Tdk Diterima, namun ada bukti TRANSFER)_x000a__x000a_4041910117953187_x000a__x000a_"/>
        <s v="Request STATUS TRANSAKSI_x000a_(PRODUK Tdk Diterima, namun ada bukti TRANSFER)_x000a__x000a_8919101250782847_x000a__x000a_"/>
        <s v="Request STATUS TRANSAKSI_x000a_(PRODUK Tdk Diterima, namun ada bukti TRANSFER)_x000a__x000a_4041913277194067_x000a__x000a_"/>
        <s v="Request STATUS TRANSAKSI_x000a_(PRODUK Tdk Diterima, namun ada bukti TRANSFER)_x000a__x000a_000430657368 / NACL1456392222_x000a__x000a_"/>
        <s v="Request STATUS TRANSAKSI_x000a_(PRODUK Tdk Diterima, namun ada bukti TRANSFER)_x000a__x000a_000430657368 / NACL1456392222_x000a_000430264122 / NACL1456377174_x000a_000430915260 / NACL1456401243_x000a_000000T1FC71 / NACL1456380849 _x000a_000430779435 / NACL1456396402_x000a_000430776123 / NACL1456396292_x000a_018406537749 / NACL1456417629_x000a_018406537749 / NACL1456417629_x000a_018854361362 / NACL1456390804 _x000a_122090175272 / NACL1456417509_x000a_000430921244 / NACL1456401392 _x000a_018434368468 / NACL1456422614_x000a_122102674572 / NACL1456439859_x000a_121720855873 / NACL1455156109_x000a_604070590792 / NACL1456318893_x000a__x000a_"/>
        <s v="Request STATUS TRANSAKSI_x000a_(PRODUK Tdk Diterima, namun ada bukti TRANSFER)_x000a__x000a_7900117900088248_x000a__x000a_"/>
        <s v="Request STATUS TRANSAKSI_x000a_(PRODUK Tdk Diterima, namun ada bukti TRANSFER)_x000a__x000a_7900117900097009_x000a__x000a_"/>
        <s v="Request STATUS TRANSAKSI_x000a_(PRODUK Tdk Diterima, namun ada bukti TRANSFER)_x000a__x000a_8919101250411384_x000a__x000a_"/>
        <s v="Request STATUS TRANSAKSI dari MERCHANT_x000a_(PRODUK diterima, dashboard belum update)_x000a__x000a_8919101250357922 / NACL1457908778  "/>
        <s v="Request STATUS TRANSAKSI dari MERCHANT_x000a_(PRODUK diterima, dashboard belum update)_x000a__x000a_000000T48JX4 / NACL1457980556    "/>
        <s v="Request STATUS TRANSAKSI dari MERCHANT_x000a_(PRODUK diterima, dashboard belum update)_x000a__x000a_NACL1456317515 with RRN 000428905516"/>
        <s v="Request STATUS TRANSAKSI dari MERCHANT_x000a_(PRODUK diterima, dashboard belum update)_x000a__x000a_7900121700081614"/>
        <s v="Request STATUS TRANSAKSI dari MERCHANT_x000a_(PRODUK diterima, dashboard belum update)_x000a__x000a_4041910117919768"/>
        <s v="Request STATUS TRANSAKSI_x000a_(PRODUK Tdk Diterima, namun ada bukti TRANSFER)_x000a__x000a_8919101250743363_x000a__x000a_"/>
        <s v="Request STATUS TRANSAKSI_x000a_(PRODUK Tdk Diterima, namun ada bukti TRANSFER)_x000a__x000a_7900117900032004_x000a__x000a_"/>
        <s v="Request STATUS TRANSAKSI_x000a_(PRODUK Tdk Diterima, namun ada bukti TRANSFER)_x000a__x000a_7900125000043019_x000a__x000a_"/>
        <s v="Request STATUS TRANSAKSI_x000a_(PRODUK Tdk Diterima, namun ada bukti TRANSFER)_x000a__x000a_4041910125037899_x000a__x000a_"/>
        <s v="Request STATUS TRANSAKSI dari MERCHANT_x000a_(PRODUK diterima, dashboard belum update)_x000a__x000a_000000TBKVV4 / 0151210042688533681_x000a_000031086602 / 0151310042623097019_x000a_000119515562 / 0151310042657439111_x000a_1nf721365270 / 0151310042650918142_x000a_000119609638 / 0151310042635291250_x000a_000119847069 / 0151310042632385186_x000a_ESB750008526 / 0151310042641393781_x000a_000120097637 / 0151310042683525915_x000a_1nf781168744 / 0151310042612178292_x000a_000119715994 / 0151310042658440104_x000a_943288861976 / 0151310042606396485_x000a_000120836588 / 0151410042628132144_x000a_000000TBNP2T / 0151210042689097830_x000a_000121787560 / 0151410042622159150_x000a_000121003267 / 0151410042646568497"/>
        <s v="Request STATUS TRANSAKSI_x000a_(PRODUK Tdk Diterima, namun ada bukti TRANSFER)_x000a__x000a_7900125000075464_x000a__x000a_"/>
        <s v="Request STATUS TRANSAKSI dari MERCHANT_x000a_(PRODUK diterima, dashboard belum update)_x000a__x000a_000000TBKVV4 / 0151210042688533681000129502540_x000a_018839770967_x000a_000129818448_x000a_000134192106"/>
        <s v="Request STATUS TRANSAKSI_x000a_(PRODUK Tdk Diterima, namun ada bukti TRANSFER)_x000a__x000a_8919101217049421_x000a__x000a_"/>
        <s v="Request STATUS TRANSAKSI_x000a_(PRODUK Tdk Diterima, namun ada bukti TRANSFER)_x000a__x000a_8919101217501008_x000a__x000a_"/>
        <s v="Surat FRAUD_x000a_(Dana Terpotong, Produk Tdk Diterima)_x000a__x000a_[O00ad3d6] Indikasi Penipuan: BAYAR2.COM/13042026/065_x000a__x000a_PT Daya Net Gemilang_x000a_7900125000066698 10800000_x000a__x000a__x000a__x000a__x000a__x000a__x000a__x000a__x000a__x000a__x000a__x000a__x000a__x000a__x000a_"/>
        <s v="Surat FRAUD_x000a_(Dana Terpotong, Produk Tdk Diterima)_x000a__x000a_URGENT – Laporan Penipuan Transaksi VA Bayar2.com\_x000a__x000a_PT Kreasi Kode Kreatif_x000a_7900121700061387 4350000_x000a__x000a__x000a__x000a__x000a__x000a__x000a__x000a__x000a__x000a__x000a__x000a__x000a__x000a__x000a_"/>
        <s v="Surat FRAUD_x000a_(Dana Terpotong, Produk Tdk Diterima)_x000a__x000a_[O5798ec5] Indikasi Penipuan: BAYAR2.COM/13042026/066_x000a__x000a_PT Envoiz_x000a_7900124900034427 4025000_x000a__x000a__x000a__x000a__x000a__x000a__x000a__x000a__x000a__x000a__x000a__x000a__x000a__x000a__x000a__x000a_"/>
        <s v="Surat FRAUD_x000a_(Dana Terpotong, Produk Tdk Diterima)_x000a__x000a_[O704531d] Indikasi Penipuan: BAYAR2.COM/13042026/067_x000a__x000a_Envoiz_x000a_7900124900042281 6000000_x000a__x000a__x000a__x000a__x000a__x000a__x000a__x000a__x000a__x000a__x000a__x000a__x000a__x000a__x000a__x000a__x000a_"/>
        <s v="Surat FRAUD_x000a_(Dana Terpotong, Produk Tdk Diterima)_x000a__x000a_[O26fc2fa] Indikasi Penipuan: BAYAR2.COM/13042026/068_x000a__x000a_KVoucher_x000a_7900119200733271 1170000_x000a__x000a__x000a__x000a__x000a__x000a__x000a__x000a__x000a__x000a__x000a__x000a__x000a__x000a__x000a__x000a__x000a__x000a__x000a_"/>
        <s v="Surat FRAUD_x000a_(Dana Terpotong, Produk Tdk Diterima)_x000a__x000a_[Ofe8d600] Indikasi Penipuan: BAYAR2.COM/13042026/069_x000a__x000a_DNT_x000a_7900125000017519 10800000_x000a_7900125000038356 10800986_x000a_7900125000022816 7560000_x000a__x000a__x000a__x000a__x000a__x000a__x000a__x000a__x000a__x000a__x000a__x000a__x000a__x000a__x000a__x000a__x000a__x000a__x000a_"/>
        <s v="Surat FRAUD_x000a_(Dana Terpotong, Produk Tdk Diterima)_x000a__x000a_[O686ed37] Indikasi Penipuan: BAYAR2.COM/13042026/070_x000a__x000a_nobecul_x000a_7900121700041386 4200000_x000a__x000a__x000a__x000a__x000a__x000a__x000a__x000a__x000a__x000a__x000a__x000a__x000a__x000a__x000a__x000a__x000a__x000a__x000a__x000a_"/>
        <s v="Request REFUND TRANSAKSI_x000a_(Product tidak diterima dan Cust request refund)_x000a__x000a_Refund 13 April 2026_x000a__x000a__x000a__x000a__x000a_"/>
        <s v="Request BUKTI TRANSAKSI VOA dari BANK_x000a_(Pengajuan Pre-Arb oleh Bank)_x000a__x000a_KONFIRMASI PRE ARBITRASI Prismalink*IND VISAARR 14/04/2026 91 TRX"/>
        <s v="Request BUKTI TRANSAKSI VOA dari BANK_x000a_(Customer sanggah transaksi CC atas penerbitan Visa)_x000a__x000a_PERMOHONAN BUKTI TRANSAKSI PRISMALINK*IND VISAARR #14/04/2026 41 TRX"/>
        <s v="Surat FRAUD_x000a_(Dana Terpotong, Produk Tdk Diterima)_x000a__x000a_Surat Bilateral Bank Mandiri nomor OPT.CCG/CHM.7113/2026_x000a__x000a_Paylabs_x000a_700701130100643 4113212_x000a_700701131100675 4113212_x000a__x000a__x000a__x000a__x000a__x000a__x000a__x000a__x000a__x000a__x000a__x000a__x000a__x000a__x000a__x000a__x000a__x000a__x000a__x000a_"/>
        <s v="Request BUKTI TRANSAKSI VOA dari BANK_x000a_(Pengajuan Pre-Arb oleh Bank)_x000a__x000a_KONFIRMASI PRE-ARBRITASI PRISMALINK*PT EIZEM IN #14/04/2026 1 TRX"/>
        <s v="Request BUKTI TRANSAKSI VOA dari BANK_x000a_(Customer sanggah transaksi CC atas penerbitan Visa)_x000a__x000a_KONFIRMASI CHARGEBACK Prismalink*IND VISAARR 14/04/2026 87 TRX"/>
        <s v="Surat FRAUD_x000a_(Dana Terpotong, Produk Tdk Diterima)_x000a__x000a_[O5fa2d45] Indikasi Penipuan: BAYAR2.COM/14042026/071_x000a__x000a_Nobecul_x000a_7900121700061387_x0009_4350000_x000a__x000a__x000a__x000a__x000a__x000a__x000a__x000a__x000a__x000a__x000a__x000a_"/>
        <s v="Request BUKTI TRANSAKSI VOA dari BANK_x000a_(Customer request payment receipt)_x000a__x000a_FW:  Invoice request"/>
        <s v="Request REFUND TRANSAKSI_x000a_(Customer request refund transaksi double)_x000a__x000a_Request for Refund – Transaction Details Provided"/>
        <s v="Request REFUND TRANSAKSI_x000a_(Product tidak diterima dan Cust request refund)_x000a__x000a_Refund 14 April 2026_x000a__x000a__x000a__x000a__x000a_"/>
        <s v="Request REFUND TRANSAKSI_x000a_(Customer request refund transaksi double)_x000a__x000a_e-visa pay error"/>
        <s v="Request REFUND TRANSAKSI_x000a_(Customer request refund transaksi double)_x000a__x000a_REFUND REQUEST: Double Payment for Visa Application - Reg No. 2100426B1593996"/>
        <s v="Surat FRAUD_x000a_(Dana Terpotong, Produk Tdk Diterima)_x000a__x000a_[Ob50620f] Indikasi Penipuan: BAYAR2.COM/15042026/072_x000a__x000a_Envoiz_x000a_7900124900039448_x0009_1202000_x000a_7900124900042257_x0009_3040000_x000a_7900124900097556_x0009_1152000_x000a_7900124900048403_x0009_3820000_x000a_7900124900001774_x0009_6214000_x000a_7900124900094054_x0009_1488000_x000a__x000a__x000a__x000a__x000a__x000a__x000a__x000a__x000a__x000a__x000a_"/>
        <s v="Request BUKTI TRANSAKSI VOA dari BANK_x000a_(Customer request payment receipt)_x000a__x000a_Request for VISA Application Invoice"/>
        <s v="Surat FRAUD_x000a_(Dana Terpotong, Produk Tdk Diterima)_x000a__x000a_[Od7c9a22] Indikasi Penipuan: BAYAR2.COM/15042026/073_x000a__x000a_DNT_x000a_7900125000094417_x0009_22000000_x000a__x000a__x000a__x000a__x000a__x000a__x000a__x000a__x000a__x000a_"/>
        <s v="Surat FRAUD_x000a_(Dana Terpotong, Produk Tdk Diterima)_x000a__x000a_[Oa710d64] Indikasi Penipuan: BAYAR2.COM/15042026/074_x000a__x000a_Envoiz_x000a_7900124900011576_x0009_1810000_x000a__x000a__x000a__x000a__x000a__x000a__x000a__x000a__x000a_"/>
        <s v="Request STATUS TRANSAKSI dari BANK (ACQ NOBU)_x000a_(PRODUK Tdk Diterima Customer, _x000a_SWITCHING &amp; ACQ telah credit dana)_x000a__x000a_DISPUTE 13042026 PT PRISMALINK INTERNATIONAL"/>
        <s v="Request REFUND TRANSAKSI_x000a_(Customer request refund transaksi double)_x000a__x000a_Overcharged for visa"/>
        <s v="Request STATUS TRANSAKSI dari BANK (ACQ NOBU)_x000a_(PRODUK Tdk Diterima Customer, _x000a_SWITCHING &amp; ACQ telah credit dana)_x000a__x000a_DISPUTE 14042026 PT PRISMALINK INTERNATIONAL"/>
        <s v="Request REFUND TRANSAKSI_x000a_(Product tidak diterima dan Cust request refund)_x000a__x000a_Refund 15 April 2026_x000a__x000a__x000a__x000a_"/>
        <s v="Request REFUND TRANSAKSI_x000a_(Customer request refund transaksi double)_x000a__x000a_Visa overpayment"/>
        <s v="Request REFUND TRANSAKSI_x000a_(Customer request refund transaksi double)_x000a__x000a_Fw: Arrival Card Submission – All Indonesia"/>
        <s v="Surat FRAUD_x000a_(Dana Terpotong, Produk Tdk Diterima)_x000a__x000a_Surat Bilateral Bank Mandiri nomor OPT.CCG/CHM.7353/2026_x000a__x000a_700701130140350_x0009_4292000_x000a__x000a__x000a__x000a__x000a__x000a__x000a__x000a_"/>
        <s v="Surat FRAUD_x000a_(Dana Terpotong, Produk Tdk Diterima)_x000a__x000a_Laporan Kendala Pembayaran Virtual Account - Adila Hasna Andari_x000a__x000a_700701131150503 16472000_x000a__x000a__x000a__x000a_"/>
        <s v="Surat FRAUD_x000a_(Dana Terpotong, Produk Tdk Diterima)_x000a__x000a_[Od31ef88] Indikasi Penipuan: BAYAR2.COM/08042026/059_x000a__x000a_7900125000061285_x0009_1800000_x000a__x000a__x000a__x000a__x000a__x000a_"/>
        <s v="Request REFUND TRANSAKSI_x000a_(Product tidak diterima dan Cust request refund)_x000a__x000a_Refund 16 April 2026_x000a__x000a__x000a__x000a_"/>
        <s v="Request BUKTI TRANSAKSI VOA dari BANK_x000a_(Customer request payment receipt)_x000a__x000a_Permohonan Bantuan Terkait Bukti Pembayaran eVOA"/>
        <s v="Request REFUND TRANSAKSI_x000a_(Customer request refund transaksi double)_x000a__x000a_فيزا"/>
        <s v="Request REFUND TRANSAKSI_x000a_(Customer request refund transaksi double)_x000a__x000a_Subject: Refund Request – Visa Application Ref No. 147273"/>
        <s v="Request REFUND TRANSAKSI_x000a_(Customer request refund transaksi double)_x000a__x000a_Re: ALL INDONESIA PAYMENT TROUBLE"/>
        <s v="Request REFUND TRANSAKSI_x000a_(Customer request refund transaksi double)_x000a__x000a_Saya membayar pajak visa dan ternyata pembayarannya gagal (Saya membayar pajak Visa dan ternyata pembayarannya gagal)"/>
        <s v="Request REFUND TRANSAKSI_x000a_(Customer request refund transaksi double)_x000a__x000a_RE: Pending Transaction"/>
        <s v="Request REFUND TRANSAKSI_x000a_(Customer request refund transaksi double)_x000a__x000a_VOA Payment refund"/>
        <s v="Request REFUND TRANSAKSI_x000a_(Customer request refund transaksi double)_x000a__x000a_Evisa on arrival "/>
        <s v="Request REFUND TRANSAKSI_x000a_(Customer request refund transaksi double)_x000a__x000a_James wapshott visa payment"/>
        <s v="Request REFUND TRANSAKSI_x000a_(Customer request refund transaksi double)_x000a__x000a_Refund of Visa on Arrival Panagiotis Kouvatsos"/>
        <s v="Request REFUND TRANSAKSI_x000a_(Product tidak diterima dan Cust request refund)_x000a__x000a_Refund 17,18,19 April 2026_x000a__x000a__x000a__x000a_"/>
        <s v="Request REFUND TRANSAKSI_x000a_(Customer request refund transaksi double)_x000a__x000a_Fwd: VOA - overcharged"/>
        <s v="Pengajuan Pre-Arb_x000a_(Pengajuan Pre-Arb oleh Bank)_x000a__x000a_Permohonan bukti transaksi merchant PRISMALINK #16042026 JCB First Chargeback"/>
        <s v="Request BUKTI TRANSAKSI VOA dari BANK_x000a_(Customer sanggah transaksi CC atas penerbitan Visa)_x000a__x000a_KONFIRMASI CHARGEBACK Prismalink*IND VISAARR 16/04/2026 24 TRX"/>
        <s v="Request STATUS TRANSAKSI_x000a_(PRODUK Tdk Diterima, namun ada bukti TRANSFER)_x000a__x000a_2189132240800029_x000a__x000a_"/>
        <s v="Request STATUS TRANSAKSI_x000a_(PRODUK Tdk Diterima, namun ada bukti TRANSFER)_x000a__x000a_018465954032_x000a__x000a_"/>
        <s v="Request STATUS TRANSAKSI dari MERCHANT_x000a_(PRODUK diterima, dashboard belum update)_x000a__x000a_000000TD4M4B 0152210042633488519_x000a_000135027761 0152210042694592398_x000a_000134649872 0152110042624205556_x000a_293e03ef9816 0152110042675689802_x000a_124040071733 0151910042665965386_x000a_000134288081 0151910042669824652_x000a_018648954217 0152110042633516490_x000a_604101598368 0152110042616723685_x000a_018501538520 0151810042637683885_x000a_000129862505 0151910042638272076_x000a_000000TCHTS9 0151810042683645082_x000a_000129912215 0151910042657191491_x000a_604105123301 0151610042688625825_x000a_000101911968 0151910042614712941_x000a_ESB543904200 0151910042636056496_x000a_000031119385 0151910042680456573_x000a_000000TCGLTX 0151910042674450919_x000a_014095047789 0151910042621203035_x000a_123962303835 0151910042608578718_x000a_000129319298 0151610042661375560_x000a_000137156246 0150011042619575954_x000a_000000TDL2RN 0150111042697621409_x000a_000139089814 0150311042623067923_x000a_000139252292 0150411042680254624_x000a_124146659271 0150711042600605590_x000a_604112426048 0150811042683048556_x000a_000141090238 0150811042636691275_x000a_124188784829 0150911042613245285"/>
        <s v="Request STATUS TRANSAKSI dari MERCHANT_x000a_(PRODUK diterima, dashboard belum update)_x000a__x000a_1551200000006380"/>
        <s v="Request STATUS TRANSAKSI_x000a_(PRODUK Tdk Diterima, namun ada bukti TRANSFER)_x000a__x000a_7900121700091027_x000a__x000a_"/>
        <s v="Request STATUS TRANSAKSI_x000a_(PRODUK Tdk Diterima, namun ada bukti TRANSFER)_x000a__x000a_7900119200763393_x000a__x000a_"/>
        <s v="Request STATUS TRANSAKSI dari MERCHANT_x000a_(PRODUK diterima, dashboard belum update)_x000a__x000a_000211798130 0151613042680116458_x000a_000211550967 0151613042621101752_x000a_604138712145 0151613042669293076_x000a_000000TN7VTS 0151713042696320629_x000a_604138721132 0151613042687562157_x000a_000214936924 0151813042671346887_x000a_621189738995 0151813042662293117_x000a_000214530983 0151813042673161381"/>
        <s v="Request STATUS TRANSAKSI_x000a_(PRODUK Tdk Diterima, namun ada bukti TRANSFER)_x000a__x000a_7900125000064115_x000a__x000a_"/>
        <s v="Request STATUS TRANSAKSI_x000a_(PRODUK Tdk Diterima, namun ada bukti TRANSFER)_x000a__x000a_1nitwda73851_x000a__x000a_"/>
        <s v="Request STATUS TRANSAKSI_x000a_(PRODUK Tdk Diterima, namun ada bukti TRANSFER)_x000a__x000a_0151114042696748152 / 000000TQBBDN_x000a__x000a_"/>
        <s v="Request STATUS TRANSAKSI_x000a_(PRODUK Tdk Diterima, namun ada bukti TRANSFER)_x000a__x000a_000244678616_x000a__x000a_"/>
        <s v="Request STATUS TRANSAKSI_x000a_(PRODUK Tdk Diterima, namun ada bukti TRANSFER)_x000a__x000a_7900119200765170_x000a__x000a_"/>
        <s v="Request STATUS TRANSAKSI dari MERCHANT_x000a_(PRODUK diterima, dashboard belum update)_x000a__x000a_8919101205072269"/>
        <s v="Request STATUS TRANSAKSI dari MERCHANT_x000a_(PRODUK diterima, dashboard belum update)_x000a__x000a_8919101250910073"/>
        <s v="Request STATUS TRANSAKSI dari MERCHANT_x000a_(PRODUK diterima, dashboard belum update)_x000a__x000a_8919101217845603 / 2026041640100156451  "/>
        <s v="Request STATUS TRANSAKSI dari MERCHANT_x000a_(PRODUK diterima, dashboard belum update)_x000a__x000a_NACL1468492824_x000a_NACL1467856044"/>
        <s v="Request STATUS TRANSAKSI_x000a_(PRODUK Tdk Diterima, namun ada bukti TRANSFER)_x000a__x000a_7900121700040045_x000a__x000a_"/>
        <s v="Request STATUS TRANSAKSI_x000a_(PRODUK Tdk Diterima, namun ada bukti TRANSFER)_x000a__x000a_4041910125059392 // NACL1460304666 _x000a__x000a_"/>
        <s v="Request STATUS TRANSAKSI_x000a_(PRODUK Tdk Diterima, namun ada bukti TRANSFER)_x000a__x000a_1nmykq682011 / 2521120080-260417131855 _x000a_"/>
        <s v="Request STATUS TRANSAKSI_x000a_(PRODUK Tdk Diterima, namun ada bukti TRANSFER)_x000a__x000a_7900125000071636_x000a_"/>
        <s v="Request STATUS TRANSAKSI_x000a_(PRODUK Tdk Diterima, namun ada bukti TRANSFER)_x000a__x000a_7900125000049957_x000a_7900125000047677"/>
        <s v="Request STATUS TRANSAKSI_x000a_(PRODUK Tdk Diterima, namun ada bukti TRANSFER)_x000a__x000a_2026041763600871649_x000a_7900119200783913"/>
        <s v="Request STATUS TRANSAKSI_x000a_(PRODUK Tdk Diterima, namun ada bukti TRANSFER)_x000a__x000a_7900119200783898"/>
        <s v="Request STATUS TRANSAKSI_x000a_(PRODUK Tdk Diterima, namun ada bukti TRANSFER)_x000a__x000a_2026041740100868652 // 7900119200783901 "/>
        <s v="Request STATUS TRANSAKSI_x000a_(PRODUK Tdk Diterima, namun ada bukti TRANSFER)_x000a__x000a_8903910121294578 "/>
        <s v="Request STATUS TRANSAKSI_x000a_(PRODUK Tdk Diterima, namun ada bukti TRANSFER)_x000a__x000a_000299153962"/>
        <s v="Request STATUS TRANSAKSI dari MERCHANT_x000a_(PRODUK diterima, dashboard belum update)_x000a__x000a_NACL1473100029 / 7900125000069529"/>
        <s v="Request STATUS TRANSAKSI dari MERCHANT_x000a_(PRODUK diterima, dashboard belum update)_x000a__x000a_7900121700059483"/>
        <s v="Request STATUS TRANSAKSI dari MERCHANT_x000a_(PRODUK diterima, dashboard belum update)_x000a__x000a_7900125000027976 / NACL1472679611 "/>
        <s v="Request STATUS TRANSAKSI dari MERCHANT_x000a_(PRODUK diterima, dashboard belum update)_x000a__x000a_7900125000033028"/>
        <s v="Request STATUS TRANSAKSI dari MERCHANT_x000a_(PRODUK diterima, dashboard belum update)_x000a__x000a_7900125000011365 / NACL1473093465  "/>
        <s v="Request STATUS TRANSAKSI dari MERCHANT_x000a_(PRODUK diterima, dashboard belum update)_x000a__x000a_7900125000024518 / NACL1473115759 "/>
        <s v="Request STATUS TRANSAKSI_x000a_(PRODUK Tdk Diterima, namun ada bukti TRANSFER)_x000a__x000a_8919101217821964"/>
        <s v="Request STATUS TRANSAKSI_x000a_(PRODUK Tdk Diterima, namun ada bukti TRANSFER)_x000a__x000a_7900121700052085"/>
        <s v="Request STATUS TRANSAKSI_x000a_(PRODUK Tdk Diterima, namun ada bukti TRANSFER)_x000a__x000a_7900121700090627"/>
        <s v="Request STATUS TRANSAKSI_x000a_(PRODUK Tdk Diterima, namun ada bukti TRANSFER)_x000a__x000a_Deposit ke vantage market"/>
        <s v="Request REFUND TRANSAKSI_x000a_(Customer request refund transaksi double)_x000a__x000a_CRITICAL: System Error Creating Multiple Unpaid Applications and Payment Failure"/>
        <s v="Request BUKTI TRANSAKSI VOA dari BANK_x000a_(Customer request payment receipt)_x000a__x000a_Receipt request"/>
        <s v="Surat FRAUD_x000a_(Dana Terpotong, Produk Tdk Diterima)_x000a__x000a_[O68332ad] Indikasi Penipuan: BAYAR2.COM/20042026/075_x000a__x000a_Nubecul_x000a_7900121700084304_x0009_1100000_x000a__x000a__x000a__x000a__x000a_"/>
        <s v="Surat FRAUD_x000a_(Dana Terpotong, Produk Tdk Diterima)_x000a__x000a_[O68102b9] Indikasi Penipuan: BAYAR2.COM/20042026/076_x000a__x000a_DNT_x000a_7900125000040256_x0009_61111111_x000a__x000a__x000a__x000a_"/>
        <s v="Request REFUND TRANSAKSI_x000a_(Customer request refund transaksi double)_x000a__x000a_Additional Case – New Payment Error (Urgent)"/>
        <s v="Surat FRAUD_x000a_(Dana Terpotong, Produk Tdk Diterima)_x000a__x000a_[NOBUCRM] Tiket R-635182 Telah Ditugaskan Pada Anda_x000a__x000a__x000a_"/>
        <s v="Request STATUS TRANSAKSI_x000a_(PRODUK Tdk Diterima, namun ada bukti TRANSFER)_x000a__x000a_[Oe39a22a] Rekap : 13/VA ONLINE/BAYAR2.COM"/>
        <s v="Request REFUND TRANSAKSI_x000a_(Customer request refund transaksi double)_x000a__x000a_No confirmation"/>
        <s v="Request BUKTI TRANSAKSI VOA dari BANK_x000a_(Customer request payment receipt)_x000a__x000a_Re: Request to Re-send Payment Receipt for eVOA Payment"/>
        <s v="Request REFUND TRANSAKSI_x000a_(Customer request refund transaksi double)_x000a__x000a_Refund Request – Duplicate Payment for B1 eVOA Visa"/>
        <s v="Request REFUND TRANSAKSI_x000a_(Customer request refund transaksi double)_x000a__x000a_استرداد أموال فيزه"/>
        <s v="Request REFUND TRANSAKSI_x000a_(Customer request refund transaksi double)_x000a__x000a_Refund for visa application payment"/>
        <s v="Request REFUND TRANSAKSI_x000a_(Customer request refund transaksi double)_x000a__x000a_Clarification: Refund Request for Only One Transaction"/>
        <s v="Request BUKTI TRANSAKSI VOA dari BANK_x000a_(Customer sanggah transaksi CC atas penerbitan Visa)_x000a__x000a_PERMOHONAN BUKTI TRANSAKSI PRISMALINK*IND VISAARR #21/04/2026 90 TRX"/>
        <s v="Request BUKTI TRANSAKSI VOA dari BANK_x000a_(Customer sanggah transaksi CC atas penerbitan Visa)_x000a__x000a_PERMOHONAN BUKTI TRANSAKSI PRISMALINK*IND VISAARR #21/04/2026 19 TRX"/>
        <s v="Request BUKTI TRANSAKSI VOA dari BANK_x000a_(Pengajuan Pre-Arb oleh Bank)_x000a__x000a_Re: Permohonan bukti transaksi merchant PRISMALINK #16042026 JCB Second Chargeback"/>
        <s v="Request BUKTI TRANSAKSI VOA dari BANK_x000a_(Pengajuan Pre-Arb oleh Bank)_x000a__x000a_Permohonan bukti transaksi merchant PRISMALINK #21042026 JCB Second Chargeback"/>
        <s v="Request BUKTI TRANSAKSI VOA dari BANK_x000a_(Customer sanggah transaksi CC atas penerbitan Visa)_x000a__x000a_Permohonan Bukti Transaksi Merchant PRISMALINK #21042026 JCB First Chargeback"/>
        <s v="Request BUKTI TRANSAKSI VOA dari BANK_x000a_(Pengajuan Pre-Arb oleh Bank)_x000a__x000a_KONFIRMASI PRE ARBITRASI Prismalink*IND VISAARR 21/04/2026 30 TRX"/>
        <s v="Request BUKTI TRANSAKSI VOA dari BANK_x000a_(Customer request payment receipt)_x000a__x000a_Payment receipt request"/>
        <s v="Request REFUND TRANSAKSI_x000a_(Customer request refund transaksi double)_x000a__x000a_Refund request"/>
        <s v="Request REFUND TRANSAKSI_x000a_(Customer request refund transaksi double)_x000a__x000a_Fw: [Urgent] Request for Refund: Double Payment Issue for e-VOA Application - [CHULYOON YEOM] / M422C0246"/>
        <s v="Request REFUND TRANSAKSI_x000a_(Customer request refund transaksi double)_x000a__x000a_Refund Request – Single Transaction Only"/>
        <s v="Request REFUND TRANSAKSI_x000a_(Product tidak diterima dan Cust request refund)_x000a__x000a_Refund 21 April 2026_x000a__x000a__x000a__x000a_"/>
        <s v="Request REFUND TRANSAKSI_x000a_(Product tidak diterima dan Cust request refund)_x000a__x000a_Refund Request - Duplicate Visa Payment Valeria Abatto Salazar_x000a__x000a__x000a__x000a_"/>
        <s v="Surat FRAUD_x000a_(Dana Terpotong, Produk Tdk Diterima)_x000a__x000a_[NOBUCRM] Tiket R-636187 Telah Ditugaskan Pada Anda_x000a__x000a__x000a_"/>
      </sharedItems>
    </cacheField>
    <cacheField name="Bank" numFmtId="0">
      <sharedItems/>
    </cacheField>
    <cacheField name="Detail Category" numFmtId="0">
      <sharedItems/>
    </cacheField>
    <cacheField name="Status" numFmtId="0">
      <sharedItems count="2">
        <s v="Closed"/>
        <s v="Open"/>
      </sharedItems>
    </cacheField>
    <cacheField name="Note_x000a_Detail" numFmtId="0">
      <sharedItems longText="1"/>
    </cacheField>
    <cacheField name="Handling SOP Code" numFmtId="0">
      <sharedItems containsBlank="1"/>
    </cacheField>
    <cacheField name="Investigation Process _x000a_(SOP Complaint Handling)" numFmtId="0">
      <sharedItems containsBlank="1" longText="1"/>
    </cacheField>
    <cacheField name="Closed Date" numFmtId="0">
      <sharedItems containsDate="1" containsBlank="1" containsMixedTypes="1" minDate="2025-01-06T09:23:00" maxDate="3036-03-06T00:00:00"/>
    </cacheField>
    <cacheField name="Report_x000a_Date" numFmtId="14">
      <sharedItems containsSemiMixedTypes="0" containsNonDate="0" containsDate="1" containsString="0" minDate="2026-01-05T00:00:00" maxDate="2026-04-23T00:00:00" count="30">
        <d v="2026-01-05T00:00:00"/>
        <d v="2026-01-07T00:00:00"/>
        <d v="2026-01-15T00:00:00"/>
        <d v="2026-01-22T00:00:00"/>
        <d v="2026-01-29T00:00:00"/>
        <d v="2026-02-10T00:00:00"/>
        <d v="2026-02-20T00:00:00"/>
        <d v="2026-02-23T00:00:00"/>
        <d v="2026-02-24T00:00:00"/>
        <d v="2026-02-25T00:00:00"/>
        <d v="2026-03-02T00:00:00"/>
        <d v="2026-03-03T00:00:00"/>
        <d v="2026-03-04T00:00:00"/>
        <d v="2026-03-06T00:00:00"/>
        <d v="2026-03-07T00:00:00"/>
        <d v="2026-03-14T00:00:00"/>
        <d v="2026-03-17T00:00:00"/>
        <d v="2026-03-26T00:00:00"/>
        <d v="2026-03-27T00:00:00"/>
        <d v="2026-03-30T00:00:00"/>
        <d v="2026-03-31T00:00:00"/>
        <d v="2026-04-01T00:00:00"/>
        <d v="2026-04-02T00:00:00"/>
        <d v="2026-04-06T00:00:00"/>
        <d v="2026-04-07T00:00:00"/>
        <d v="2026-04-14T00:00:00"/>
        <d v="2026-04-16T00:00:00"/>
        <d v="2026-04-17T00:00:00"/>
        <d v="2026-04-20T00:00:00"/>
        <d v="2026-04-22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7">
  <r>
    <s v="INC20260101001"/>
    <d v="2026-01-01T10:10:00"/>
    <s v="Email"/>
    <s v="Distribusi Lancar Jaya &lt;distribusilancarjaya@gmail.com&gt;"/>
    <s v="Jatimpark Vending Mechine"/>
    <s v="Request"/>
    <s v="QR"/>
    <x v="0"/>
    <x v="0"/>
    <x v="0"/>
    <s v="NOBU"/>
    <s v="R04"/>
    <x v="0"/>
    <s v="01/01 Req masuk_x000a_01/01 Support teruskan ke NOBU_x000a_02/01 Done"/>
    <m/>
    <s v="Buka SOP 'REFUND QR NOBU'"/>
    <d v="2026-01-02T00:00:00"/>
    <x v="0"/>
  </r>
  <r>
    <s v="INC20260102002"/>
    <d v="2026-01-02T08:43:00"/>
    <s v="Email"/>
    <s v="Distribusi Lancar Jaya &lt;distribusilancarjaya@gmail.com&gt;"/>
    <s v="Jatimpark Vending Mechine"/>
    <s v="Request"/>
    <s v="QR"/>
    <x v="0"/>
    <x v="0"/>
    <x v="1"/>
    <s v="NOBU"/>
    <s v="R04"/>
    <x v="0"/>
    <s v="02/01 Req masuk_x000a_02/01 Support teruskan ke NOBU_x000a_02/01 Done"/>
    <m/>
    <s v="Buka SOP 'REFUND QR NOBU'"/>
    <d v="2026-01-02T00:00:00"/>
    <x v="0"/>
  </r>
  <r>
    <s v="INC20260102003"/>
    <d v="2026-01-02T16:09:00"/>
    <s v="Email"/>
    <s v="kkd_ipm2@corp.bri.co.id"/>
    <s v="MOLINA"/>
    <s v="Request"/>
    <s v="VOA"/>
    <x v="1"/>
    <x v="1"/>
    <x v="2"/>
    <s v="BRI VOA"/>
    <s v="R02"/>
    <x v="0"/>
    <s v="02/01 KKD KONFIRMASI Pre-Arbitrasi _x000a_02/01 Support infokan jika terdapat request Pre-Arb dari Bank"/>
    <m/>
    <m/>
    <d v="2026-01-02T00:00:00"/>
    <x v="0"/>
  </r>
  <r>
    <s v="INC20260102004"/>
    <d v="2026-01-02T16:45:00"/>
    <s v="Email"/>
    <s v="keluhan_payment@bca.co.id"/>
    <s v="PT Teknologi Awan Cerah"/>
    <s v="Issue"/>
    <s v="VA"/>
    <x v="2"/>
    <x v="2"/>
    <x v="3"/>
    <s v="BCA"/>
    <s v="C01"/>
    <x v="0"/>
    <s v="02/01 Req masuk_x000a_02/01 Support meminta data kronologis dkk_x000a_05/01 Belum ada dat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0"/>
  </r>
  <r>
    <s v="INC20260103005"/>
    <d v="2026-01-03T13:13:00"/>
    <s v="Email"/>
    <s v="Tommy Manteman uyee &lt;tommyverdiansyah75@gmail.com&gt;"/>
    <s v="PT Daya Net Gemilang"/>
    <s v="Issue"/>
    <s v="VA"/>
    <x v="2"/>
    <x v="2"/>
    <x v="4"/>
    <s v="BCA"/>
    <s v="C01"/>
    <x v="0"/>
    <s v="03/01 Req masuk dgn kronologis_x000a_03/01 Support meminta rekening koran_x000a_03/01 Support teruskan ke merchant_x000a_05/01 Merchant info jika KTP dan pelapor beda, support konfirm ke customer_x000a_05/01 Cust infokan jika mereka suami istri, support teruskan info tersebut ke merchant_x000a_05/01 Merchant infokan tdk bisa refund &amp; support teruskan info tersebut ke customer"/>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1-05T00:00:00"/>
    <x v="0"/>
  </r>
  <r>
    <s v="INC20260104006"/>
    <d v="2026-01-04T13:01:00"/>
    <s v="Email"/>
    <s v="aditya mahardika &lt;adityamahardika051@gmail.com&gt;"/>
    <s v="PT Daya Net Gemilang"/>
    <s v="Issue"/>
    <s v="VA"/>
    <x v="2"/>
    <x v="2"/>
    <x v="5"/>
    <s v="BCA"/>
    <s v="C01"/>
    <x v="0"/>
    <s v="03/01 Req masuk dgn kronologis_x000a_03/01 Support meminta rekening koran_x000a_03/01 Support teruskan ke merchant_x000a_04/01 Cust melampirkan data KTP_x000a_04/01 Support teruskan ke merchant_x000a_04/01 Info merchant, KTP dan pelapor berbeda_x000a_04/01 Support konfirm ke customer_x000a_06/01 Support infokan agar user check berkal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1-06T00:00:00"/>
    <x v="0"/>
  </r>
  <r>
    <s v="INC20260105007"/>
    <d v="2026-01-05T04:10:00"/>
    <s v="Email"/>
    <s v="Eedjoey Marsal &lt;sofie.raafi@gmail.com&gt;"/>
    <s v="PT Kreasi Kode Kreatif"/>
    <s v="Issue"/>
    <s v="VA"/>
    <x v="2"/>
    <x v="2"/>
    <x v="6"/>
    <s v="BCA"/>
    <s v="C01"/>
    <x v="0"/>
    <s v="05/01 Req masuk dengan data lengkap_x000a_05/01 Support meminta data kronologis dkk_x000a_05/01 Belum ada datany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0"/>
  </r>
  <r>
    <s v="INC20260105008"/>
    <d v="2026-01-05T10:10:00"/>
    <s v="Email"/>
    <s v="Distribusi Lancar Jaya &lt;distribusilancarjaya@gmail.com&gt;"/>
    <s v="Jatimpark Vending Mechine"/>
    <s v="Request"/>
    <s v="QR"/>
    <x v="0"/>
    <x v="0"/>
    <x v="7"/>
    <s v="NOBU"/>
    <s v="R04"/>
    <x v="0"/>
    <s v="05/01 Req masuk_x000a_05/01 Support teruskan ke NOBU_x000a_05/01 DONE"/>
    <m/>
    <s v="Buka SOP 'REFUND QR NOBU'"/>
    <d v="2026-01-05T00:00:00"/>
    <x v="0"/>
  </r>
  <r>
    <s v="INC20260102009"/>
    <d v="2026-01-02T13:57:00"/>
    <s v="WA"/>
    <s v="-"/>
    <s v="PT Teknologi Awan Cerah"/>
    <s v="Request"/>
    <s v="VA"/>
    <x v="3"/>
    <x v="3"/>
    <x v="8"/>
    <s v="BCA"/>
    <s v="R01"/>
    <x v="0"/>
    <s v="01/01 Nobecul tanyakan status trx 7900121700089282_x000a_01/01 Support cek di mbase dan dashboard masih pendg_x000a_01/01 Support infokan tunggu rekon&quot;&quot;_x000a_02/01 Support infokan team terkait untuk di update karena di cek by mbase sudah aprvd dan dashboard 3 pending _x000a_02/01 Support infokan sukses "/>
    <s v="SOP #05"/>
    <s v="1. Pastikan merchant &amp; transaksi tersebut valid_x000a_2. Cek VA di apps.plink, bandingkan amount:_x000a__x0009_Amount sama → Update transaksi._x000a__x0009_Amount berbeda → Tidak bisa diupdate, informasikan ke merchant."/>
    <d v="2026-01-02T16:00:00"/>
    <x v="0"/>
  </r>
  <r>
    <s v="INC20260103010"/>
    <d v="2026-01-03T10:33:00"/>
    <s v="WA"/>
    <s v="-"/>
    <s v="PT Teknologi Awan Cerah"/>
    <s v="Request"/>
    <s v="VA"/>
    <x v="3"/>
    <x v="4"/>
    <x v="9"/>
    <s v="BCA"/>
    <s v="R01"/>
    <x v="0"/>
    <s v="03/01 Nobecul tanyakan status trx 7900121700042282_x000a_03/01 Support cek di mbase status error reject_x000a_03/01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3T10:36:00"/>
    <x v="0"/>
  </r>
  <r>
    <s v="INC20260104011"/>
    <d v="2026-01-04T20:09:00"/>
    <s v="WA"/>
    <s v="-"/>
    <s v="PT Teknologi Awan Cerah"/>
    <s v="Request"/>
    <s v="VA"/>
    <x v="3"/>
    <x v="4"/>
    <x v="10"/>
    <s v="BCA"/>
    <s v="R01"/>
    <x v="0"/>
    <s v="_x000a_04/01 Dayanet tanyakan status trx 7900125000096078 / NACL1292816421_x000a_04/01 Support cek mbase aprvd dan dashboard 3 setld_x000a_04/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4T20:42:00"/>
    <x v="0"/>
  </r>
  <r>
    <s v="INC20260105012"/>
    <d v="2026-01-05T17:29:00"/>
    <s v="Email"/>
    <s v="keluhan_payment@bca.co.id"/>
    <s v="PT Daya Net Gemilang"/>
    <s v="Issue"/>
    <s v="VA"/>
    <x v="2"/>
    <x v="2"/>
    <x v="11"/>
    <s v="BCA"/>
    <s v="C01"/>
    <x v="0"/>
    <s v="05/01 Req masuk_x000a_05/01 Support meminta kronologis dkk_x000a_07/01 Belum ada dat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
  </r>
  <r>
    <s v="INC20260106013"/>
    <d v="2026-01-06T08:26:00"/>
    <s v="Email"/>
    <s v="Distribusi Lancar Jaya &lt;distribusilancarjaya@gmail.com&gt;"/>
    <s v="Jatimpark Vending Mechine"/>
    <s v="Request"/>
    <s v="QR"/>
    <x v="0"/>
    <x v="0"/>
    <x v="12"/>
    <s v="NOBU"/>
    <s v="R04"/>
    <x v="0"/>
    <s v="06/01 Req masuk_x000a_06/01 Support teruskan ke NOBU_x000a_06/01 DONE"/>
    <m/>
    <s v="Buka SOP 'REFUND QR NOBU'"/>
    <d v="2026-01-06T00:00:00"/>
    <x v="1"/>
  </r>
  <r>
    <s v="INC20260106014"/>
    <d v="2026-01-06T13:34:00"/>
    <s v="Email"/>
    <s v="Yvonne.Li &lt;yvonne.li@storyland.com.cn&gt;"/>
    <s v="MOLINA"/>
    <s v="Request"/>
    <s v="VOA"/>
    <x v="4"/>
    <x v="5"/>
    <x v="13"/>
    <s v="BRI VOA"/>
    <s v="R02"/>
    <x v="0"/>
    <s v="06/01 Req masuk_x000a_06/01 Support melampirkan EVIS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06T00:00:00"/>
    <x v="1"/>
  </r>
  <r>
    <s v="INC20260106015"/>
    <d v="2026-01-06T14:40:00"/>
    <s v="Email"/>
    <s v="keluhan_payment@bca.co.id"/>
    <s v="PT Kreasi Kode Kreatif"/>
    <s v="Issue"/>
    <s v="VA"/>
    <x v="2"/>
    <x v="2"/>
    <x v="14"/>
    <s v="BCA"/>
    <s v="C01"/>
    <x v="0"/>
    <s v="06/01 Req masuk_x000a_06/01 Support meminta kronologis dkk_x000a_07/01 Belum ada datany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
  </r>
  <r>
    <s v="INC20260106016"/>
    <d v="2026-01-06T16:05:00"/>
    <s v="Email"/>
    <s v="kkd_ipm2@corp.bri.co.id"/>
    <s v="MOLINA"/>
    <s v="Request"/>
    <s v="VOA"/>
    <x v="1"/>
    <x v="1"/>
    <x v="15"/>
    <s v="BRI VOA"/>
    <s v="R02"/>
    <x v="0"/>
    <s v="06/01 KKD KONFIRMASI Pre-Arbitrasi _x000a_06/01 Support infokan jika terdapat request Pre-Arb dari Bank"/>
    <m/>
    <m/>
    <m/>
    <x v="1"/>
  </r>
  <r>
    <s v="INC20260106017"/>
    <d v="2026-01-06T16:24:00"/>
    <s v="Email"/>
    <s v="kkd_ipm2@corp.bri.co.id"/>
    <s v="MOLINA"/>
    <s v="Request"/>
    <s v="CC"/>
    <x v="4"/>
    <x v="5"/>
    <x v="16"/>
    <s v="BRI VOA"/>
    <s v="R02"/>
    <x v="0"/>
    <s v="06/01 Req masuk_x000a_09/01 DONE support melampirkan bukti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09T00:00:00"/>
    <x v="1"/>
  </r>
  <r>
    <s v="INC20260106018"/>
    <d v="2026-01-06T17:58:00"/>
    <s v="Email"/>
    <s v="keluhan_payment@bca.co.id"/>
    <s v="PT Daya Net Gemilang"/>
    <s v="Request"/>
    <s v="VA"/>
    <x v="3"/>
    <x v="4"/>
    <x v="17"/>
    <s v="BCA"/>
    <s v="R01"/>
    <x v="0"/>
    <s v="06/01 Req masuk_x000a_06/01 Support infokan jika trx tdk ditemukan_x000a_07/01 BCA kirimkan VA ulang, karena ada typo_x000a_07/01 Support infokan trx sy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7T00:00:00"/>
    <x v="1"/>
  </r>
  <r>
    <s v="INC20260106019"/>
    <d v="2026-01-06T17:59:00"/>
    <s v="Email"/>
    <s v="keluhan_payment@bca.co.id"/>
    <s v="PT Daya Net Gemilang"/>
    <s v="Request"/>
    <s v="VA"/>
    <x v="3"/>
    <x v="4"/>
    <x v="18"/>
    <s v="BCA"/>
    <s v="R01"/>
    <x v="0"/>
    <s v="06/01 Req masuk_x000a_06/01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6T00:00:00"/>
    <x v="1"/>
  </r>
  <r>
    <s v="INC20260107020"/>
    <d v="2026-01-07T08:26:00"/>
    <s v="Email"/>
    <s v="Distribusi Lancar Jaya &lt;distribusilancarjaya@gmail.com&gt;"/>
    <s v="Jatimpark Vending Mechine"/>
    <s v="Request"/>
    <s v="QR"/>
    <x v="0"/>
    <x v="0"/>
    <x v="19"/>
    <s v="NOBU"/>
    <s v="R04"/>
    <x v="0"/>
    <s v="07/01 Req masuk_x000a_07/01 Support teruskan ke NOBU_x000a_07/01 DONE"/>
    <m/>
    <s v="Buka SOP 'REFUND QR NOBU'"/>
    <d v="2026-01-07T00:00:00"/>
    <x v="1"/>
  </r>
  <r>
    <s v="INC20260105021"/>
    <d v="2026-01-05T08:38:00"/>
    <s v="WA"/>
    <s v="-"/>
    <s v="PT Daya Net Gemilang"/>
    <s v="Request"/>
    <s v="VA"/>
    <x v="3"/>
    <x v="4"/>
    <x v="20"/>
    <s v="BCA"/>
    <s v="R01"/>
    <x v="0"/>
    <s v="_x000a_05/01 Dayanet tanyakan status trx 7900125000022158 / NACL1295123209_x000a_05/01 Support cek dasboard 3 setld _x000a_05/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5T08:54:00"/>
    <x v="1"/>
  </r>
  <r>
    <s v="INC20260105022"/>
    <d v="2026-01-05T14:03:00"/>
    <s v="WA"/>
    <s v="-"/>
    <s v="PT Daya Net Gemilang"/>
    <s v="Request"/>
    <s v="VA"/>
    <x v="3"/>
    <x v="4"/>
    <x v="21"/>
    <s v="MANDIRI"/>
    <s v="R01"/>
    <x v="0"/>
    <s v="_x000a_05/01 Dayanet tanyakan status trx VA 8903910125008822 / NACL1294223506_x000a_05/01 Support cek dasboard 3 setld _x000a_05/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5T15:03:00"/>
    <x v="1"/>
  </r>
  <r>
    <s v="INC20260105023"/>
    <d v="2026-01-05T08:28:00"/>
    <s v="WA"/>
    <s v="-"/>
    <s v="YAYASAN DIAN ASRA"/>
    <s v="Request"/>
    <s v="VA"/>
    <x v="3"/>
    <x v="3"/>
    <x v="22"/>
    <s v="BNI"/>
    <s v="R01"/>
    <x v="0"/>
    <s v="_x000a_05/01 Undira  tanyakan status trx VA 8919101123059316_x000a_05/01 Support cek dasboard 3 cancel, cek agregator dana masuk, support update status_x000a_05/01 Support infokan sukses"/>
    <s v="SOP #05"/>
    <s v="1. Pastikan merchant &amp; transaksi tersebut valid_x000a_2. Cek VA di apps.plink, bandingkan amount:_x000a__x0009_Amount sama → Update transaksi._x000a__x0009_Amount berbeda → Tidak bisa diupdate, informasikan ke merchant."/>
    <d v="2026-01-05T09:50:00"/>
    <x v="1"/>
  </r>
  <r>
    <s v="INC20260105024"/>
    <d v="2026-01-05T10:17:00"/>
    <s v="WA"/>
    <s v="-"/>
    <s v="YAYASAN DIAN ASRA"/>
    <s v="Request"/>
    <s v="VA"/>
    <x v="3"/>
    <x v="3"/>
    <x v="23"/>
    <s v="BNI"/>
    <s v="R01"/>
    <x v="0"/>
    <s v="_x000a_05/01 Undira tanyakan status trx VA 8919101123089124_x000a_05/01 Support cek dasboard 3 cancel, cek agregator dana masuk, support update statusnya_x000a_05/01 Support infokan sukses"/>
    <s v="SOP #05"/>
    <s v="1. Pastikan merchant &amp; transaksi tersebut valid_x000a_2. Cek VA di apps.plink, bandingkan amount:_x000a__x0009_Amount sama → Update transaksi._x000a__x0009_Amount berbeda → Tidak bisa diupdate, informasikan ke merchant."/>
    <d v="2026-01-05T15:25:00"/>
    <x v="1"/>
  </r>
  <r>
    <s v="INC20260105025"/>
    <d v="2026-01-05T11:56:00"/>
    <s v="WA"/>
    <s v="olivialihongyao@gmail.com"/>
    <s v="MOLINA"/>
    <s v="Request"/>
    <s v="VOA"/>
    <x v="4"/>
    <x v="5"/>
    <x v="24"/>
    <s v="BRI VOA"/>
    <s v="R02"/>
    <x v="0"/>
    <s v="05/01 Customer request bukti transaksi untuk eVisa _x000a_05/01 Support konfirmasi cc yg digunakan_x000a_05/01 Support investigasi menggunakan cc yg diberikan_x000a_05/01 Support melampirkan bukti transkasi eVis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05T14:41:00"/>
    <x v="1"/>
  </r>
  <r>
    <s v="INC20260105026"/>
    <d v="2026-01-05T10:17:00"/>
    <s v="WA"/>
    <s v="xieruiqing79@gmail.com"/>
    <s v="MOLINA"/>
    <s v="Request"/>
    <s v="VOA"/>
    <x v="4"/>
    <x v="5"/>
    <x v="25"/>
    <s v="BRI VOA"/>
    <s v="R02"/>
    <x v="0"/>
    <s v="05/01 Customer request bukti transaksi untuk eVisa _x000a_05/01 Support konfirmasi cc yg digunakan_x000a_05/01 Support investigasi menggunakan cc yg diberikan_x000a_05/01 Support melampirkan bukti transkasi eVis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05T13:32:00"/>
    <x v="1"/>
  </r>
  <r>
    <s v="INC20260105027"/>
    <d v="2026-01-05T20:06:00"/>
    <s v="WA"/>
    <s v="-"/>
    <s v="Tripay"/>
    <s v="Request"/>
    <s v="VA"/>
    <x v="3"/>
    <x v="4"/>
    <x v="26"/>
    <s v="MANDIRI"/>
    <s v="R01"/>
    <x v="0"/>
    <s v="05/01 tripay tanyakan 8903910117909234 _x000a_05/01 Support cek mbase belum ditermukan_x000a_05/01 support infokan menunggu rekon_x000a_07/01 Info dari rekon sudah di settle_x000a_07/10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7T10:32:00"/>
    <x v="1"/>
  </r>
  <r>
    <s v="INC20260105028"/>
    <d v="2026-01-05T22:42:00"/>
    <s v="WA"/>
    <s v="-"/>
    <s v="PT Teknologi Awan Cerah"/>
    <s v="Request"/>
    <s v="VA"/>
    <x v="3"/>
    <x v="4"/>
    <x v="27"/>
    <s v="BCA"/>
    <s v="R01"/>
    <x v="0"/>
    <s v="05/01 nobecul tanyakan 7900121700013197 _x000a_05/01 Support cek mbase apprv dashboard settle_x000a_05/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5T22:46:00"/>
    <x v="1"/>
  </r>
  <r>
    <s v="INC20260106029"/>
    <d v="2026-01-06T01:25:00"/>
    <s v="WA"/>
    <s v="-"/>
    <s v="PT Teknologi Awan Cerah"/>
    <s v="Request"/>
    <s v="VA"/>
    <x v="3"/>
    <x v="4"/>
    <x v="28"/>
    <s v="BCA"/>
    <s v="R01"/>
    <x v="0"/>
    <s v="06/01 Nobecul tanyakan status trx 7900121700075079_x000a_06/01 Support cek di mbase status error reject _x000a_06/01 Support infokan failed"/>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6T02:04:00"/>
    <x v="1"/>
  </r>
  <r>
    <s v="INC20260106030"/>
    <d v="2026-01-06T09:20:00"/>
    <s v="WA"/>
    <s v="-"/>
    <s v="PT Daya Net Gemilang"/>
    <s v="Request"/>
    <s v="VA"/>
    <x v="3"/>
    <x v="4"/>
    <x v="29"/>
    <s v="BCA"/>
    <s v="R01"/>
    <x v="0"/>
    <s v="06/01 DNT tanyakan status trx 7900125000015050_x000a_06/01 Support cek di mbase dan db stts nya sttld_x000a_0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5-01-06T09:23:00"/>
    <x v="1"/>
  </r>
  <r>
    <s v="INC20260106031"/>
    <d v="2026-01-06T09:55:00"/>
    <s v="WA"/>
    <s v="-"/>
    <s v="PT BARAKA SARANA TAMA"/>
    <s v="Request"/>
    <s v="VA"/>
    <x v="3"/>
    <x v="3"/>
    <x v="30"/>
    <s v="BCA"/>
    <s v="R01"/>
    <x v="0"/>
    <s v="06/01 Baraka tanyakan status trx 1551200000023795_x000a__x000a_06/01 Ko daniel infokan stts sudah update_x000a_06/01 Support infokan sukses"/>
    <s v="SOP #05"/>
    <s v="1. Pastikan merchant &amp; transaksi tersebut valid_x000a_2. Cek VA di apps.plink, bandingkan amount:_x000a__x0009_Amount sama → Update transaksi._x000a__x0009_Amount berbeda → Tidak bisa diupdate, informasikan ke merchant."/>
    <d v="2026-01-06T11:16:00"/>
    <x v="1"/>
  </r>
  <r>
    <s v="INC20260106032"/>
    <d v="2026-01-06T10:51:00"/>
    <s v="WA"/>
    <s v="-"/>
    <s v="YAYASAN DIAN ASRA"/>
    <s v="Request"/>
    <s v="VA"/>
    <x v="3"/>
    <x v="3"/>
    <x v="31"/>
    <s v="BNI"/>
    <s v="R01"/>
    <x v="0"/>
    <s v="06/01 Univs sains tanyakan status trx 000433867224 / 0011310122580079190_x000a_06/01 Support up ke Nobu dan Nobu infokan stts sukses_x000a_06/01 Support update status &amp; infokan sukses"/>
    <s v="SOP #05"/>
    <s v="1. Pastikan merchant &amp; transaksi tersebut valid_x000a_2. Cek VA di apps.plink, bandingkan amount:_x000a__x0009_Amount sama → Update transaksi._x000a__x0009_Amount berbeda → Tidak bisa diupdate, informasikan ke merchant."/>
    <d v="2026-01-06T13:28:00"/>
    <x v="1"/>
  </r>
  <r>
    <s v="INC20260106033"/>
    <d v="2026-01-06T13:24:00"/>
    <s v="WA"/>
    <s v="-"/>
    <s v="PT Daya Net Gemilang"/>
    <s v="Request"/>
    <s v="VA"/>
    <x v="3"/>
    <x v="4"/>
    <x v="32"/>
    <s v="BCA"/>
    <s v="R01"/>
    <x v="0"/>
    <s v="06/01 DNT tanyakan status trx 7900125000045973 / NACL1297229095 _x000a_06/01 Support cek di mbase dan db stts nya sttld_x000a_0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6T13:26:00"/>
    <x v="1"/>
  </r>
  <r>
    <s v="INC20260106034"/>
    <d v="2026-01-06T11:39:00"/>
    <s v="WA"/>
    <s v="-"/>
    <s v="PT Hotel Murah Travelindo"/>
    <s v="Request"/>
    <s v="QR"/>
    <x v="3"/>
    <x v="3"/>
    <x v="33"/>
    <s v="NOBU"/>
    <s v="R01"/>
    <x v="0"/>
    <s v="06/01 Hotelmurah tanyakan status trx _x000a_P82332920 // 000938945282 _x000a_06/01 Support cek di dashboard plink cancel, cek di dashboard nobu ada yg artinya sukses, support update statusnya_x000a_06/01 Support infokan sukses"/>
    <s v="SOP #05"/>
    <s v="1. Pastikan merchant &amp; transaksi tersebut valid_x000a_2. Cek VA di apps.plink, bandingkan amount:_x000a__x0009_Amount sama → Update transaksi._x000a__x0009_Amount berbeda → Tidak bisa diupdate, informasikan ke merchant."/>
    <d v="2026-01-06T11:52:00"/>
    <x v="1"/>
  </r>
  <r>
    <s v="INC20260106035"/>
    <d v="2026-01-06T13:34:00"/>
    <s v="WA"/>
    <s v="Yvonne.Li &lt;yvonne.li@storyland.com.cn&gt;"/>
    <s v="MOLINA"/>
    <s v="Request"/>
    <s v="VOA"/>
    <x v="4"/>
    <x v="5"/>
    <x v="34"/>
    <s v="BRI VOA"/>
    <s v="R02"/>
    <x v="0"/>
    <s v="06/01 Customer request bukti transaksi untuk eVisa _x000a_06/01 Support cek bukti pembayaran wisman karena wisman sudah mengirimkan bukti pembayaran_x000a_06/01 Support investigasi menggunakan Reff no yg diberikan pada Mbase_x000a_06/01 Support melampirkan bukti transkasi eVis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06T13:55:00"/>
    <x v="1"/>
  </r>
  <r>
    <s v="INC20260106036"/>
    <d v="2026-01-06T18:36:00"/>
    <s v="WA"/>
    <s v="-"/>
    <s v="PT Daya Net Gemilang"/>
    <s v="Request"/>
    <s v="VA"/>
    <x v="3"/>
    <x v="4"/>
    <x v="35"/>
    <s v="BCA"/>
    <s v="R01"/>
    <x v="0"/>
    <s v="06/01 nobecul tanyakan 7900125000090145 _x000a_06/01 Support cek mbase apprv dashboard settle_x000a_0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6T18:39:00"/>
    <x v="1"/>
  </r>
  <r>
    <s v="INC20260107037"/>
    <d v="2026-01-07T15:48:00"/>
    <s v="Email"/>
    <s v="chargebackops.acq@corp.bri.co.id"/>
    <s v="PT Cerdik Karya Gemilang"/>
    <s v="Request"/>
    <s v="CC"/>
    <x v="4"/>
    <x v="5"/>
    <x v="36"/>
    <s v="BRI VOA"/>
    <s v="R02"/>
    <x v="0"/>
    <s v="07/01 Req masuk_x000a_07/01 Support teruskan ke Cerdik_x000a_29/01 belum ada update_x000a_"/>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
  </r>
  <r>
    <s v="INC20260107038"/>
    <d v="2026-01-07T16:07:00"/>
    <s v="Email"/>
    <s v="kkd_ipm2@corp.bri.co.id"/>
    <s v="MOLINA"/>
    <s v="Request"/>
    <s v="VOA"/>
    <x v="1"/>
    <x v="1"/>
    <x v="37"/>
    <s v="BRI VOA"/>
    <s v="R02"/>
    <x v="0"/>
    <s v="07/01 KKD KONFIRMASI Pre-Arbitrasi _x000a_07/01 Support infokan jika terdapat request Pre-Arb dari Bank"/>
    <m/>
    <m/>
    <d v="2026-01-07T00:00:00"/>
    <x v="2"/>
  </r>
  <r>
    <s v="INC20260107039"/>
    <d v="2026-01-07T16:35:00"/>
    <s v="Email"/>
    <s v="Yuga Ardiyatma &lt;yuga.ardiyatma@cimbniaga.co.id&gt;"/>
    <s v="PT Wahana Pembayaran Digital"/>
    <s v="Request"/>
    <s v="VA"/>
    <x v="3"/>
    <x v="4"/>
    <x v="38"/>
    <s v="CIMB"/>
    <s v="R01"/>
    <x v="0"/>
    <s v="07/01 Req masuk_x000a_07/01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7T00:00:00"/>
    <x v="2"/>
  </r>
  <r>
    <s v="INC20260107040"/>
    <d v="2026-01-07T19:41:00"/>
    <s v="Email"/>
    <s v="Naily Adawiyah &lt;nailyadawiyah22@gmail.com&gt;"/>
    <s v="PT Daya Net Gemilang"/>
    <s v="Issue"/>
    <s v="VA"/>
    <x v="2"/>
    <x v="2"/>
    <x v="39"/>
    <s v="BCA"/>
    <s v="C01"/>
    <x v="0"/>
    <s v="07/01 Req masuk dengan kronologis dkk_x000a_07/01 Support teruskan ke merchant subj ;Pengecekan transaksi 7900125000062872 &amp; 7900125000013652'_x000a_07/01 Support infokan agar customer melaporkan ke masing2 BANK_x000a_12/01 Merchant konfirmasi dana bisa dipotong dari settelment"/>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
  </r>
  <r>
    <s v="INC20260108041"/>
    <d v="2026-01-08T08:23:00"/>
    <s v="Email"/>
    <s v="Distribusi Lancar Jaya &lt;distribusilancarjaya@gmail.com&gt;"/>
    <s v="Jatimpark Vending Mechine"/>
    <s v="Request"/>
    <s v="QR"/>
    <x v="0"/>
    <x v="0"/>
    <x v="40"/>
    <s v="NOBU"/>
    <s v="R04"/>
    <x v="0"/>
    <s v="08/01 Req masuk_x000a_08/01 Support teruskan ke NOBU_x000a_08/01 DONE"/>
    <m/>
    <s v="Buka SOP 'REFUND QR NOBU'"/>
    <d v="2026-01-08T00:00:00"/>
    <x v="2"/>
  </r>
  <r>
    <s v="INC20260105042"/>
    <d v="2026-01-05T15:13:00"/>
    <s v="Email"/>
    <s v="kkd_ipm2@corp.bri.co.id"/>
    <s v="MOLINA"/>
    <s v="Request"/>
    <s v="VOA"/>
    <x v="4"/>
    <x v="5"/>
    <x v="41"/>
    <s v="BRI VOA"/>
    <s v="R02"/>
    <x v="0"/>
    <s v="05/01 Req masuk_x000a_07/01 Support lampirkan bukti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07T00:00:00"/>
    <x v="2"/>
  </r>
  <r>
    <s v="INC20260107043"/>
    <d v="2026-01-07T18:12:00"/>
    <s v="WA"/>
    <s v="-"/>
    <s v="PT Daya Net Gemilang"/>
    <s v="Request"/>
    <s v="VA"/>
    <x v="3"/>
    <x v="4"/>
    <x v="42"/>
    <s v="BCA"/>
    <s v="R01"/>
    <x v="0"/>
    <s v="07/01 DNT tanyakan  7900125000024763 / NACL1290461809 _x000a_07/01 Support cek mbase apprv dashboard settle_x000a_07/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6T18:15:00"/>
    <x v="2"/>
  </r>
  <r>
    <s v="INC20260107044"/>
    <d v="2026-01-07T21:10:00"/>
    <s v="WA"/>
    <s v="-"/>
    <s v="PT Daya Net Gemilang"/>
    <s v="Request"/>
    <s v="VA"/>
    <x v="3"/>
    <x v="4"/>
    <x v="43"/>
    <s v="BCA"/>
    <s v="R01"/>
    <x v="0"/>
    <s v="07/01 DNT tanyakan  7900125000024763 / NACL1290461809 _x000a_07/01 Support cek mbase apprv dashboard settle_x000a_07/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6T21:15:00"/>
    <x v="2"/>
  </r>
  <r>
    <s v="INC20260108045"/>
    <d v="2026-01-08T15:33:00"/>
    <s v="Email"/>
    <s v="keluhan_payment@bca.co.id"/>
    <s v="PT Daya Net Gemilang_x000a__x000a_PT Envoiz Digital Indonesia"/>
    <s v="Issue"/>
    <s v="VA"/>
    <x v="2"/>
    <x v="2"/>
    <x v="44"/>
    <s v="BCA"/>
    <s v="C01"/>
    <x v="0"/>
    <s v="08/01 Req masuk_x000a_08/01 Support meminta kronologis dkk_x000a_09/01 Melampirkan kronologis dkk, support teruskan ke merchant_x000a_09/01 Merchant meminta data tambahan_x000a_09/01 Support konfirmasi ke BCA meminta email customer agar bisa dimintai data tambahan_x000a_12/01 Belum ada update_x000a_13/01 Envoiz infokan surat pernyataan agar diisi oleh customer_x000a_13/01 Support FU ke BC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
  </r>
  <r>
    <s v="INC20260108046"/>
    <d v="2026-01-08T14:03:00"/>
    <s v="Email"/>
    <s v="Libersa Official &lt;libersaofficial@gmail.com&gt;"/>
    <s v="-"/>
    <s v="Request"/>
    <s v="Bill Payment"/>
    <x v="0"/>
    <x v="6"/>
    <x v="45"/>
    <s v="-"/>
    <s v="R04"/>
    <x v="0"/>
    <s v="08/01 Req masuk_x000a_08/01 Support infokan pengecekan_x000a_08/01 Support konfirmasi karena email tidak ditemukan_x000a_08/01 Merchant infokan terdaftar a.n L Payment_x000a_09/01 Support infokan saldo yang tersisa_x000a_09/01 Support konfirmasi apakah akan request refund, jika iya bis adi email ke finance dan cc support_x000a_09/01 Merchant email dengan subj 'Konfirmasi penarikan saldo'_x000a_09/01 Support meminta evidence rekening koran_x000a_12/01 Support follow up by email_x000a_15/01 Suppoort meminta approval pak karno untuk pengembalian dana ke merchant_x000a_17/01 Pak Karno approve_x000a_21/01 support teruskan ke finance untuk transfer dana_x000a_21/01 finance konfirm ke pak stef, perihal penutupan L Payment_x000a_22/01 pak stef konfirm, finance konfirmasi ke support perihal penutupan L Payment_x000a_22/01 support konfirm_x000a_22/01 finance konfirm kapan layanan dinon-aktifkan_x000a_22/01 support konfirm tgl 16/11/2025_x000a_23/01 DONE"/>
    <m/>
    <m/>
    <d v="2026-01-23T00:00:00"/>
    <x v="2"/>
  </r>
  <r>
    <s v="INC20260108047"/>
    <d v="2026-01-08T18:01:00"/>
    <s v="Email"/>
    <s v="honggo kns &lt;honggo_kns@yahoo.com&gt;"/>
    <s v="PT Teknologi Awan Cerah"/>
    <s v="Issue"/>
    <s v="VA"/>
    <x v="2"/>
    <x v="2"/>
    <x v="46"/>
    <s v="MANDIRI"/>
    <s v="C01"/>
    <x v="0"/>
    <s v="08/01 Req masuk_x000a_08/01 Support ack + teruskan ke merchant_x000a_09/01 Merchant infokan bisa memotong settelment harian mereka_x000a_09/01 Support meminta lampirkan rekening koran_x000a_12/01 Support FU_x000a_12/01 Customer melampirkan rekening koran_x000a_14/01 Support meminta approval management, setelah approve meminta finance untuk tf dana ke rekening customer_x000a_19/01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1-19T00:00:00"/>
    <x v="2"/>
  </r>
  <r>
    <s v="INC20260109048"/>
    <d v="2026-01-09T08:33:00"/>
    <s v="Email"/>
    <s v="Distribusi Lancar Jaya &lt;distribusilancarjaya@gmail.com&gt;"/>
    <s v="Jatimpark Vending Mechine"/>
    <s v="Request"/>
    <s v="QR"/>
    <x v="0"/>
    <x v="0"/>
    <x v="47"/>
    <s v="NOBU"/>
    <s v="R04"/>
    <x v="0"/>
    <s v="09/01 Req masuk_x000a_09/01 Support teruskan ke NOBU_x000a_12/01 Support FU NOBU_x000a_12/01 DONE"/>
    <m/>
    <s v="Buka SOP 'REFUND QR NOBU'"/>
    <d v="2026-01-12T00:00:00"/>
    <x v="2"/>
  </r>
  <r>
    <s v="INC20260108049"/>
    <d v="2026-01-08T15:48:00"/>
    <s v="WA"/>
    <s v="-"/>
    <s v="PT Daya Net Gemilang"/>
    <s v="Request"/>
    <s v="VA"/>
    <x v="3"/>
    <x v="4"/>
    <x v="48"/>
    <s v="BCA"/>
    <s v="R01"/>
    <x v="0"/>
    <s v="08/01 Dayanet tanyakan status trx 7900125000019609 / NACL1300768749_x000a_08/01 Support cek di mbase dan db stts nya settled_x000a_08/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8T15:52:00"/>
    <x v="2"/>
  </r>
  <r>
    <s v="INC20260108050"/>
    <d v="2026-01-08T16:07:00"/>
    <s v="WA"/>
    <s v="-"/>
    <s v="PT Wahana Pembayaran Digital"/>
    <s v="Request"/>
    <s v="VA"/>
    <x v="3"/>
    <x v="4"/>
    <x v="49"/>
    <s v="BRI"/>
    <s v="R01"/>
    <x v="0"/>
    <s v="08/01 Paylabs tanyakan status trx 4041913285651763_x000a_08/01 Support cek di mbase stts settled dan info dari rekon sudah settled tanggal 2 januari_x000a_08/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8T16:12:00"/>
    <x v="2"/>
  </r>
  <r>
    <s v="INC20260108051"/>
    <d v="2026-01-08T16:53:00"/>
    <s v="WA"/>
    <s v="-"/>
    <s v="PT Teknologi Awan Cerah"/>
    <s v="Request"/>
    <s v="VA"/>
    <x v="3"/>
    <x v="3"/>
    <x v="50"/>
    <s v="BCA"/>
    <s v="R01"/>
    <x v="0"/>
    <s v="08/01 Nobecul tanyakan status trx 7900121700050778 / 2026010840100007061  _x000a_08/01 Support cek di mbase pending dan di db cancel_x000a_08/01 Support infokan tunggu rekon_x000a_09/10 Support update &amp; infokan sukses"/>
    <s v="SOP #05"/>
    <s v="1. Pastikan merchant &amp; transaksi tersebut valid_x000a_2. Cek VA di apps.plink, bandingkan amount:_x000a__x0009_Amount sama → Update transaksi._x000a__x0009_Amount berbeda → Tidak bisa diupdate, informasikan ke merchant."/>
    <d v="2026-01-09T00:00:00"/>
    <x v="2"/>
  </r>
  <r>
    <s v="INC20260108052"/>
    <d v="2026-01-08T22:07:00"/>
    <s v="WA"/>
    <s v="-"/>
    <s v="PT Teknologi Awan Cerah"/>
    <s v="Request"/>
    <s v="VA"/>
    <x v="3"/>
    <x v="4"/>
    <x v="51"/>
    <s v="BCA"/>
    <s v="R01"/>
    <x v="0"/>
    <s v="08/01 Nobecul tanyakan status trx 4041910124905049_x000a_08/01 Support cek di mbase VA tersebut milik envoiz, bukan milik nobecul_x000a_08/01 Support infokan VA tersebut bukan milik nobecu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8T22:13:00"/>
    <x v="2"/>
  </r>
  <r>
    <s v="INC20260109053"/>
    <d v="2026-01-09T16:20:00"/>
    <s v="Email"/>
    <s v="kkd_ipm2@corp.bri.co.id"/>
    <s v="MOLINA"/>
    <s v="Request"/>
    <s v="VOA"/>
    <x v="1"/>
    <x v="1"/>
    <x v="52"/>
    <s v="BRI VOA"/>
    <s v="R02"/>
    <x v="0"/>
    <s v="09/01 KKD KONFIRMASI Pre-Arbitrasi _x000a_09/01 Support infokan jika terdapat request Pre-Arb dari Bank"/>
    <m/>
    <m/>
    <m/>
    <x v="2"/>
  </r>
  <r>
    <s v="INC20260112054"/>
    <d v="2026-01-12T07:05:00"/>
    <s v="Email"/>
    <s v="Distribusi Lancar Jaya &lt;distribusilancarjaya@gmail.com&gt;"/>
    <s v="Jatimpark Vending Mechine"/>
    <s v="Request"/>
    <s v="QR"/>
    <x v="0"/>
    <x v="0"/>
    <x v="53"/>
    <s v="NOBU"/>
    <s v="R04"/>
    <x v="0"/>
    <s v="12/01 Req masuk_x000a_12/01 Support teruskan ke NOBU_x000a_12/01 DONE"/>
    <m/>
    <s v="Buka SOP 'REFUND QR NOBU'"/>
    <d v="2026-01-12T00:00:00"/>
    <x v="2"/>
  </r>
  <r>
    <s v="INC20260110055"/>
    <d v="2026-01-10T22:36:00"/>
    <s v="WA"/>
    <s v="-"/>
    <s v="PT Daya Net Gemilang"/>
    <s v="Request"/>
    <s v="VA"/>
    <x v="3"/>
    <x v="3"/>
    <x v="54"/>
    <s v="BNI"/>
    <s v="R01"/>
    <x v="0"/>
    <s v="10/01 Dayanet tanyakan status trx 8919101250473731 / NACL1301537126_x000a_10/01 Support cek di mbase status eror aprvd dan dashbaord 3 cancel _x000a_10/01 Support infokan team terkait untuk di update_x000a_10/01 Support infokan harap menunggu rekon _x000a_12/01 Support infokan trx sukses"/>
    <s v="SOP #05"/>
    <s v="1. Pastikan merchant &amp; transaksi tersebut valid_x000a_2. Cek VA di apps.plink, bandingkan amount:_x000a__x0009_Amount sama → Update transaksi._x000a__x0009_Amount berbeda → Tidak bisa diupdate, informasikan ke merchant."/>
    <d v="2026-01-12T00:00:00"/>
    <x v="2"/>
  </r>
  <r>
    <s v="INC20260110056"/>
    <d v="2026-01-10T13:35:00"/>
    <s v="WA"/>
    <s v="-"/>
    <s v="PT BARAKA SARANA TAMA"/>
    <s v="Request"/>
    <s v="VA"/>
    <x v="3"/>
    <x v="3"/>
    <x v="55"/>
    <s v="BCA"/>
    <s v="R01"/>
    <x v="0"/>
    <s v="10/01 baraka tanyakan status trx 1551200000022067 _x000a_10/01 Support cek di mbase status aprvd dan dashbaord 3 cancel _x000a_10/01 Support infokan team terkait untuk di update_x000a_10/01 Support infokan updated"/>
    <s v="SOP #05"/>
    <s v="1. Pastikan merchant &amp; transaksi tersebut valid_x000a_2. Cek VA di apps.plink, bandingkan amount:_x000a__x0009_Amount sama → Update transaksi._x000a__x0009_Amount berbeda → Tidak bisa diupdate, informasikan ke merchant."/>
    <d v="2026-01-10T15:24:00"/>
    <x v="2"/>
  </r>
  <r>
    <s v="INC20260109057"/>
    <d v="2026-01-09T07:28:00"/>
    <s v="WA"/>
    <s v="-"/>
    <s v="PT Daya Net Gemilang"/>
    <s v="Request"/>
    <s v="VA"/>
    <x v="3"/>
    <x v="4"/>
    <x v="56"/>
    <s v="BNI"/>
    <s v="R01"/>
    <x v="0"/>
    <s v="09/01 Dayanet tanyakan status trx 8919101250757539/NACL1299365595_x000a_09/01 Support cek di mbase status aprvd dan dashbaord 3 setld_x000a_09/01 Support lakukan callback manual_x000a_09/01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9T07:49:00"/>
    <x v="2"/>
  </r>
  <r>
    <s v="INC20260109058"/>
    <d v="2026-01-09T12:15:00"/>
    <s v="WA"/>
    <s v="-"/>
    <s v="PT Kreasi Kode Kreatif"/>
    <s v="Request"/>
    <s v="VA"/>
    <x v="3"/>
    <x v="4"/>
    <x v="57"/>
    <s v="BCA"/>
    <s v="R01"/>
    <x v="0"/>
    <s v="09/01 kvoucher tanyakan status trx 2026010840100158545 // 7900119200362316 _x000a_09/01 Support cek di mbase status error reject_x000a_09/01 Support infokan gaga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9T13:24:00"/>
    <x v="2"/>
  </r>
  <r>
    <s v="INC20260109059"/>
    <d v="2026-01-09T16:07:00"/>
    <s v="WA"/>
    <s v="-"/>
    <s v="PT Daya Net Gemilang"/>
    <s v="Request"/>
    <s v="VA"/>
    <x v="3"/>
    <x v="4"/>
    <x v="58"/>
    <s v="BCA"/>
    <s v="R01"/>
    <x v="0"/>
    <s v="09/01 DNT tanyakan status trx 7900125000051556 / NACL1262144089_x000a_09/01 Support cek di mbase dan db stts sukses_x000a_09/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09T16:11:00"/>
    <x v="2"/>
  </r>
  <r>
    <s v="INC20260109060"/>
    <d v="2026-01-09T19:10:00"/>
    <s v="WA"/>
    <s v="-"/>
    <s v="PT Wahana Pembayaran Digital "/>
    <s v="Request"/>
    <s v="VA"/>
    <x v="3"/>
    <x v="4"/>
    <x v="59"/>
    <s v="BRI"/>
    <s v="R01"/>
    <x v="0"/>
    <s v="09/01 Paylabs tanyakan status trx 4041913284568695_x000a_09/01 Support cek di mbase belum ada datanya_x000a_09/01 Support infokan tunggu rekon_x000a_12/01 Support infokan dana masuk"/>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2T00:00:00"/>
    <x v="2"/>
  </r>
  <r>
    <s v="INC20260112061"/>
    <d v="2026-01-12T10:07:00"/>
    <s v="Email"/>
    <s v="David Jiang &lt;jianghao812@gmail.com&gt;"/>
    <s v="MOLINA"/>
    <s v="Request"/>
    <s v="VOA"/>
    <x v="4"/>
    <x v="5"/>
    <x v="60"/>
    <s v="BRI VOA"/>
    <s v="R02"/>
    <x v="0"/>
    <s v="12/01 Req masuk_x000a_12/01 Support melampirkan bukti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2T00:00:00"/>
    <x v="2"/>
  </r>
  <r>
    <s v="INC20260112062"/>
    <d v="2026-01-12T14:33:00"/>
    <s v="Email"/>
    <s v="keluhan_payment@bca.co.id"/>
    <s v="PT Kreasi Kode Kreatif"/>
    <s v="Issue"/>
    <s v="VA"/>
    <x v="2"/>
    <x v="2"/>
    <x v="61"/>
    <s v="BCA"/>
    <s v="C01"/>
    <x v="0"/>
    <s v="12/01 Req masuk_x000a_12/01 Support meminta kronologis dkk_x000a_13/01 Belum ada update_x000a_21/01 BCA memberikan kronologis 'customer memberli HP dari FB tetapi barang tidak datang'_x000a_21/01 support infokan jika kronologis yang dikirimkan bukan untuk VA yang dilaporkan tp untuk transfer antar rekening_x000a_22/01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
  </r>
  <r>
    <s v="INC20260112063"/>
    <d v="2026-01-12T15:48:00"/>
    <s v="Email"/>
    <s v="kkd_ipm2@corp.bri.co.id"/>
    <s v="MOLINA"/>
    <s v="Request"/>
    <s v="VOA"/>
    <x v="1"/>
    <x v="1"/>
    <x v="62"/>
    <s v="BRI VOA"/>
    <s v="R02"/>
    <x v="0"/>
    <s v="12/01 KKD KONFIRMASI Pre-Arbitrasi _x000a_12/01 Support infokan jika terdapat request Pre-Arb dari Bank"/>
    <m/>
    <m/>
    <d v="2026-01-12T00:00:00"/>
    <x v="2"/>
  </r>
  <r>
    <s v="INC20260112064"/>
    <d v="2026-01-12T16:53:00"/>
    <s v="Email"/>
    <s v="kkd_ipm2@corp.bri.co.id"/>
    <s v="MOLINA"/>
    <s v="Request"/>
    <s v="VOA"/>
    <x v="4"/>
    <x v="5"/>
    <x v="63"/>
    <s v="BRI VOA"/>
    <s v="R02"/>
    <x v="0"/>
    <s v="12/01 Req masuk_x000a_14/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4T00:00:00"/>
    <x v="2"/>
  </r>
  <r>
    <s v="INC20260112065"/>
    <d v="2026-01-12T19:48:00"/>
    <s v="Email"/>
    <s v="ana nurludana &lt;ananurludana29@gmail.com&gt;"/>
    <s v="PT Daya Net Gemilang"/>
    <s v="Request"/>
    <s v="VA"/>
    <x v="3"/>
    <x v="4"/>
    <x v="64"/>
    <s v="MANDIRI"/>
    <s v="R01"/>
    <x v="0"/>
    <s v="12/01 Req masuk_x000a_12/01 Support infokan trx sukses dan sarankan cutomer untuk menghubungi pihak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2T00:00:00"/>
    <x v="2"/>
  </r>
  <r>
    <s v="INC20260113066"/>
    <d v="2026-01-13T08:17:00"/>
    <s v="Email"/>
    <s v="Distribusi Lancar Jaya &lt;distribusilancarjaya@gmail.com&gt;"/>
    <s v="Jatimpark Vending Mechine"/>
    <s v="Request"/>
    <s v="QR"/>
    <x v="0"/>
    <x v="0"/>
    <x v="65"/>
    <s v="NOBU"/>
    <s v="R04"/>
    <x v="0"/>
    <s v="13/01 Req masuk_x000a_13/01 Support teruskan ke NOBU_x000a_13/01 DONE"/>
    <m/>
    <s v="Buka SOP 'REFUND QR NOBU'"/>
    <d v="2026-01-13T00:00:00"/>
    <x v="2"/>
  </r>
  <r>
    <s v="INC20260113067"/>
    <d v="2026-01-13T10:29:00"/>
    <s v="Email"/>
    <s v="kkd_ipm2@corp.bri.co.id"/>
    <s v="MOLINA"/>
    <s v="Request"/>
    <s v="VOA"/>
    <x v="4"/>
    <x v="5"/>
    <x v="66"/>
    <s v="BRI VOA"/>
    <s v="R02"/>
    <x v="0"/>
    <s v="13/01 Req masuk_x000a_14/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4T00:00:00"/>
    <x v="2"/>
  </r>
  <r>
    <s v="INC20260113068"/>
    <d v="2026-01-13T10:31:00"/>
    <s v="Email"/>
    <s v="kkd_ipm2@corp.bri.co.id"/>
    <s v="PT Cerdik Karya Gemilang"/>
    <s v="Request"/>
    <s v="VOA"/>
    <x v="4"/>
    <x v="5"/>
    <x v="67"/>
    <s v="BRI VOA"/>
    <s v="R02"/>
    <x v="0"/>
    <s v="13/01 Req masuk_x000a_13/01 Support teruskan ke cerdik_x000a_13/01 Support info ke finance untuk hold dana_x000a_23/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3T00:00:00"/>
    <x v="2"/>
  </r>
  <r>
    <s v="INC20260113069"/>
    <d v="2026-01-13T11:49:00"/>
    <s v="Email"/>
    <s v="corey mitchell &lt;willowbrook14@hotmail.com&gt;"/>
    <s v="MOLINA"/>
    <s v="Request"/>
    <s v="VOA"/>
    <x v="4"/>
    <x v="5"/>
    <x v="68"/>
    <s v="BRI VOA"/>
    <s v="R02"/>
    <x v="0"/>
    <s v="13/01 Req masuk_x000a_13/01 Support meminta info cc yang digunakan _x000a_14/01 Belum ada updat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
  </r>
  <r>
    <s v="INC20260112070"/>
    <d v="2026-01-12T10:15:00"/>
    <s v="WA"/>
    <s v="-"/>
    <s v="PT BARAKA SARANA TAMA"/>
    <s v="Request"/>
    <s v="VA"/>
    <x v="3"/>
    <x v="3"/>
    <x v="69"/>
    <s v="BRI"/>
    <s v="R01"/>
    <x v="0"/>
    <s v="12/01 baraka tanyakan status trx 4041910120555798 _x000a_12/01 Support cek di mbase status aprvd dan dashbaord 3 cancel _x000a_12/01 Support infokan team terkait untuk di update_x000a_12/01 Support infokan sukses"/>
    <s v="SOP #05"/>
    <s v="1. Pastikan merchant &amp; transaksi tersebut valid_x000a_2. Cek VA di apps.plink, bandingkan amount:_x000a__x0009_Amount sama → Update transaksi._x000a__x0009_Amount berbeda → Tidak bisa diupdate, informasikan ke merchant."/>
    <d v="2026-01-12T00:00:00"/>
    <x v="2"/>
  </r>
  <r>
    <s v="INC20260112071"/>
    <d v="2026-01-12T11:41:00"/>
    <s v="WA"/>
    <s v="-"/>
    <s v="PT Daya Net Gemilang"/>
    <s v="Request"/>
    <s v="VA"/>
    <x v="3"/>
    <x v="4"/>
    <x v="70"/>
    <s v="BCA"/>
    <s v="R01"/>
    <x v="0"/>
    <s v="12/01 Dayanet tanyakan status trx NACL1283307783//7900125000052477 _x000a_NACL1306547356 //7900125000083646 _x000a_12/01 Support cek di mbase untuk 7900125000052477 gagal dan untuk 7900125000083646 sukses 12/01 Support infokan sesuai hasil pengecekan_x000a_"/>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2T11:46:00"/>
    <x v="2"/>
  </r>
  <r>
    <s v="INC20260112072"/>
    <d v="2026-01-12T14:56:00"/>
    <s v="WA"/>
    <s v="-"/>
    <s v="Tripay"/>
    <s v="Request"/>
    <s v="VA"/>
    <x v="3"/>
    <x v="4"/>
    <x v="71"/>
    <s v="BRI"/>
    <s v="R01"/>
    <x v="0"/>
    <s v="12/01 Tripay tanyakan status trx 4041910117921267_x000a_12/01 Support cek di mbase untuk 4041910117921267 Aprvd  12/01 Support infokan sukses_x000a_"/>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2T15:05:00"/>
    <x v="2"/>
  </r>
  <r>
    <s v="INC20260112073"/>
    <d v="2026-01-12T17:43:00"/>
    <s v="Email"/>
    <s v="keluhan_payment@bca.co.id"/>
    <s v="PT Teknologi Awan Cerah"/>
    <s v="Issue"/>
    <s v="VA"/>
    <x v="2"/>
    <x v="2"/>
    <x v="72"/>
    <s v="BCA"/>
    <s v="C01"/>
    <x v="0"/>
    <s v="13/01 Req masuk_x000a_13/01 Support meminta kronologis _x000a_14/01 Belum ada update_x000a_21/01 BCA melampirkan kronologis dimana customer membeli barang fiktif_x000a_22/01 belum ada update_x000a_02/02 BCA FU_x000a_02/02 support infokan jika memerlukan data2 tambahan seperti yang diinfokan pada email sebelumnya_x000a_"/>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
  </r>
  <r>
    <s v="INC20260113074"/>
    <d v="2026-01-13T15:04:00"/>
    <s v="Email"/>
    <s v="keluhan_payment@bca.co.id"/>
    <s v="PT Daya Net Gemilang"/>
    <s v="Issue"/>
    <s v="VA"/>
    <x v="2"/>
    <x v="2"/>
    <x v="73"/>
    <s v="BCA"/>
    <s v="C01"/>
    <x v="0"/>
    <s v="13/01 Req masuk_x000a_13/01 Support meminta kronologis _x000a_14/01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
  </r>
  <r>
    <s v="INC20260113075"/>
    <d v="2026-01-13T15:41:00"/>
    <s v="Email"/>
    <s v="kkd_ipm2@corp.bri.co.id"/>
    <s v="MOLINA"/>
    <s v="Request"/>
    <s v="VOA"/>
    <x v="1"/>
    <x v="1"/>
    <x v="74"/>
    <s v="BRI VOA"/>
    <s v="R02"/>
    <x v="0"/>
    <s v="13/01 KKD KONFIRMASI Pre-Arbitrasi _x000a_13/01 Support infokan jika terdapat request Pre-Arb dari Bank"/>
    <m/>
    <m/>
    <m/>
    <x v="2"/>
  </r>
  <r>
    <s v="INC20260113076"/>
    <d v="2026-01-13T16:36:00"/>
    <s v="Email"/>
    <s v="Eva Scherer &lt;evamarie.scherer@googlemail.com&gt;"/>
    <s v="MOLINA"/>
    <s v="Request"/>
    <s v="VOA"/>
    <x v="4"/>
    <x v="5"/>
    <x v="75"/>
    <s v="BRI VOA"/>
    <s v="R02"/>
    <x v="0"/>
    <s v="13/01 Req masuk_x000a_13/01 Support melampirkan payment receipt_x000a_13/01 Customer meminta transaksi tersebut untuk dibatalkan_x000a_13/01 Support infokan tidak bisa di cancel karena transaksi sudah diproses dan tidak bisa refund"/>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3T00:00:00"/>
    <x v="2"/>
  </r>
  <r>
    <s v="INC20260114077"/>
    <d v="2026-01-14T08:29:00"/>
    <s v="Email"/>
    <s v="Distribusi Lancar Jaya &lt;distribusilancarjaya@gmail.com&gt;"/>
    <s v="Jatimpark Vending Mechine"/>
    <s v="Request"/>
    <s v="QR"/>
    <x v="0"/>
    <x v="0"/>
    <x v="76"/>
    <s v="NOBU"/>
    <s v="R04"/>
    <x v="0"/>
    <s v="14/01 Req masuk_x000a_14/01 Support teruskan ke NOBU_x000a_19/01 DONE"/>
    <m/>
    <s v="Buka SOP 'REFUND QR NOBU'"/>
    <d v="2026-01-19T00:00:00"/>
    <x v="2"/>
  </r>
  <r>
    <s v="INC20260114078"/>
    <d v="2026-01-14T18:26:00"/>
    <s v="Email"/>
    <s v="keluhan_payment@bca.co.id"/>
    <s v="PT Daya Net Gemilang"/>
    <s v="Request"/>
    <s v="VA"/>
    <x v="3"/>
    <x v="4"/>
    <x v="77"/>
    <s v="BCA"/>
    <s v="R01"/>
    <x v="0"/>
    <s v="14/01 Req masuk_x000a_14/01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4T00:00:00"/>
    <x v="2"/>
  </r>
  <r>
    <s v="INC20260114079"/>
    <d v="2026-01-14T20:11:00"/>
    <s v="Email"/>
    <s v="Pejuang Online &lt;usahakoe99@gmail.com&gt;"/>
    <s v="Tripay"/>
    <s v="Request"/>
    <s v="VA"/>
    <x v="3"/>
    <x v="4"/>
    <x v="78"/>
    <s v="BRI"/>
    <s v="R01"/>
    <x v="0"/>
    <s v="14/01 Req masuk_x000a_15/01 Support konfirmasi ke Customer apakah sudah menghubungi penyedia produk_x000a_15/01 Customer infokan sudah menghubungi akan tetapi belum di response_x000a_15/01 Support infokan transaksi sukses dan sarankan customer untuk menghubungi berkala"/>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5T00:00:00"/>
    <x v="2"/>
  </r>
  <r>
    <s v="INC20260115080"/>
    <d v="2026-01-15T10:14:00"/>
    <s v="Email"/>
    <s v="Distribusi Lancar Jaya &lt;distribusilancarjaya@gmail.com&gt;"/>
    <s v="Jatimpark Vending Mechine"/>
    <s v="Request"/>
    <s v="QR"/>
    <x v="0"/>
    <x v="0"/>
    <x v="79"/>
    <s v="NOBU"/>
    <s v="R04"/>
    <x v="0"/>
    <s v="14/01 Req masuk_x000a_14/01 Support teruskan ke NOBU_x000a_16/01 DONE"/>
    <m/>
    <s v="Buka SOP 'REFUND QR NOBU'"/>
    <d v="2026-01-16T00:00:00"/>
    <x v="2"/>
  </r>
  <r>
    <s v="INC20260115081"/>
    <d v="2026-01-15T15:44:00"/>
    <s v="Email"/>
    <s v="Andrea Giovannini &lt;gia@vistajet.com&gt;"/>
    <s v="MOLINA"/>
    <s v="Request"/>
    <s v="VOA"/>
    <x v="4"/>
    <x v="5"/>
    <x v="80"/>
    <s v="BRI VOA"/>
    <s v="R02"/>
    <x v="0"/>
    <s v="15/01 Req masuk_x000a_15/01 Support melampirkan Payment receipt "/>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5T00:00:00"/>
    <x v="3"/>
  </r>
  <r>
    <s v="INC20260115082"/>
    <d v="2026-01-15T15:48:00"/>
    <s v="Email"/>
    <s v="kkd_ipm2@corp.bri.co.id"/>
    <s v="MOLINA"/>
    <s v="Request"/>
    <s v="VOA"/>
    <x v="4"/>
    <x v="5"/>
    <x v="81"/>
    <s v="BRI VOA"/>
    <s v="R02"/>
    <x v="0"/>
    <s v="15/01 Req masuk_x000a_19/01 Suport melampirkan bukti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9T00:00:00"/>
    <x v="3"/>
  </r>
  <r>
    <s v="INC20260115083"/>
    <d v="2026-01-15T15:49:00"/>
    <s v="Email"/>
    <s v="kkd_ipm2@corp.bri.co.id"/>
    <s v="PT Cerdik Karya Gemilang"/>
    <s v="Request"/>
    <s v="VOA"/>
    <x v="4"/>
    <x v="5"/>
    <x v="82"/>
    <s v="BRI VOA"/>
    <s v="R02"/>
    <x v="0"/>
    <s v="15/01 Req masuk_x000a_15/01 Support teruskan ke merchant_x000a_15/01 Support infokan ke finance untuk hold dana_x000a_23/01 belum ada update_x000a_10/02 cerdik melampirkan bukti transaksi_x000a_10/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0T00:00:00"/>
    <x v="3"/>
  </r>
  <r>
    <s v="INC20260115084"/>
    <d v="2026-01-15T17:17:00"/>
    <s v="Email"/>
    <s v="keluhan_payment@bca.co.id"/>
    <s v="PT Daya Net Gemilang"/>
    <s v="Issue"/>
    <s v="VA"/>
    <x v="2"/>
    <x v="2"/>
    <x v="83"/>
    <s v="BCA"/>
    <s v="C01"/>
    <x v="0"/>
    <s v="15/01 Req masuk_x000a_15/01 Support meminta kronologis dkk_x000a_19/01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3"/>
  </r>
  <r>
    <s v="INC20260116085"/>
    <d v="2026-01-16T08:33:00"/>
    <s v="Email"/>
    <s v="Distribusi Lancar Jaya &lt;distribusilancarjaya@gmail.com&gt;"/>
    <s v="Jatimpark Vending Mechine"/>
    <s v="Request"/>
    <s v="QR"/>
    <x v="0"/>
    <x v="0"/>
    <x v="84"/>
    <s v="NOBU"/>
    <s v="R04"/>
    <x v="0"/>
    <s v="15/01 Req masuk_x000a_15/01 Support teruskan ke NOBU_x000a_19/01 DONE"/>
    <m/>
    <s v="Buka SOP 'REFUND QR NOBU'"/>
    <d v="2026-01-19T00:00:00"/>
    <x v="3"/>
  </r>
  <r>
    <s v="INC20260119086"/>
    <d v="2026-01-19T08:26:00"/>
    <s v="Email"/>
    <s v="Distribusi Lancar Jaya &lt;distribusilancarjaya@gmail.com&gt;"/>
    <s v="Jatimpark Vending Mechine"/>
    <s v="Request"/>
    <s v="QR"/>
    <x v="0"/>
    <x v="0"/>
    <x v="85"/>
    <s v="NOBU"/>
    <s v="R04"/>
    <x v="0"/>
    <s v="19/01 Req masuk_x000a_19/01 Support teruskan ke NOBU_x000a_19/01 DONE"/>
    <m/>
    <s v="Buka SOP 'REFUND QR NOBU'"/>
    <d v="2026-01-19T00:00:00"/>
    <x v="3"/>
  </r>
  <r>
    <s v="INC20260115087"/>
    <d v="2026-01-15T15:18:00"/>
    <s v="Email"/>
    <s v="kkd_ipm2@corp.bri.co.id"/>
    <s v="MOLINA"/>
    <s v="Request"/>
    <s v="VOA"/>
    <x v="4"/>
    <x v="5"/>
    <x v="86"/>
    <s v="BRI VOA"/>
    <s v="R02"/>
    <x v="0"/>
    <s v="15/01 Req masuk_x000a_17/01 Suport melampirkan bukti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7T00:00:00"/>
    <x v="3"/>
  </r>
  <r>
    <s v="INC20260112088"/>
    <d v="2026-01-12T17:43:00"/>
    <s v="WA"/>
    <s v="-"/>
    <s v="PT Daya Net Gemilang"/>
    <s v="Request"/>
    <s v="VA"/>
    <x v="3"/>
    <x v="4"/>
    <x v="87"/>
    <s v="BRI"/>
    <s v="R01"/>
    <x v="0"/>
    <s v="12/01 dayanet tanyakan status trx 4041910125029523 _x000a_12/01 Support cek di mbase status aprvd dan dashbaord 3 setld _x000a_12/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2T17:45:00"/>
    <x v="3"/>
  </r>
  <r>
    <s v="INC20260113089"/>
    <d v="2026-01-13T04:27:00"/>
    <s v="WA"/>
    <s v="-"/>
    <s v="PT Daya Net Gemilang"/>
    <s v="Request"/>
    <s v="VA"/>
    <x v="3"/>
    <x v="3"/>
    <x v="88"/>
    <s v="BNI"/>
    <s v="R01"/>
    <x v="0"/>
    <s v="13/01 Dayanet tanyakan status trx 8919101250729951 / NACL1307725542_x000a_13/01 Support cek di mbase no result dan dashbaord 3 cancel_x000a_13/01 Support infokan harap menunggu rekon + support update_x000a_13/10 Support infokan sukses"/>
    <s v="SOP #05"/>
    <s v="1. Pastikan merchant &amp; transaksi tersebut valid_x000a_2. Cek VA di apps.plink, bandingkan amount:_x000a__x0009_Amount sama → Update transaksi._x000a__x0009_Amount berbeda → Tidak bisa diupdate, informasikan ke merchant."/>
    <d v="2026-01-13T15:38:00"/>
    <x v="3"/>
  </r>
  <r>
    <s v="INC20260113090"/>
    <d v="2026-01-13T11:17:00"/>
    <s v="WA"/>
    <s v="-"/>
    <s v="PT Daya Net Gemilang"/>
    <s v="Request"/>
    <s v="VA"/>
    <x v="3"/>
    <x v="4"/>
    <x v="89"/>
    <s v="BCA"/>
    <s v="R01"/>
    <x v="0"/>
    <s v="13/01 Dayanet tanyakan status trx 7900125000088945 / NACL1309633992_x000a_13/01 Support cek di mbase dan db settled_x000a_13/01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3T11:32:00"/>
    <x v="3"/>
  </r>
  <r>
    <s v="INC20260113091"/>
    <d v="2026-01-13T14:20:00"/>
    <s v="WA"/>
    <s v="-"/>
    <s v="PT Kreasi Kode Kreatif"/>
    <s v="Request"/>
    <s v="VA"/>
    <x v="3"/>
    <x v="4"/>
    <x v="90"/>
    <s v="BCA"/>
    <s v="R01"/>
    <x v="0"/>
    <s v="13/01 Kvoucher tanyakan status trx 7900119200378461 / 2026011340100005556_x000a_13/01 Support cek di mbase belum ada datanya_x000a_13/01 Support infokan tunggu rekon&quot;_x000a_15/01 tim infokan bahwa trx tersebut gagal karena berbeda amou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5T13:37:00"/>
    <x v="3"/>
  </r>
  <r>
    <s v="INC20260113092"/>
    <d v="2026-01-13T11:28:00"/>
    <s v="WA"/>
    <s v="-"/>
    <s v="PT Daya Net Gemilang"/>
    <s v="Request"/>
    <s v="VA"/>
    <x v="3"/>
    <x v="4"/>
    <x v="91"/>
    <s v="BCA"/>
    <s v="R01"/>
    <x v="0"/>
    <s v="13/01 DNT tanyakan status trx 7900125000085205 / NACL1309598721 _x000a_13/01 Support cek di mbase belum ada datanya_x000a_13/01 Support infokan tunggu rekon_x000a_14/10 info dari rekon trx tersebut tidak ada_x000a_14/10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4T10:21:00"/>
    <x v="3"/>
  </r>
  <r>
    <s v="INC20260113093"/>
    <d v="2026-01-13T12:04:00"/>
    <s v="WA"/>
    <s v="-"/>
    <s v="PT Daya Net Gemilang"/>
    <s v="Request"/>
    <s v="VA"/>
    <x v="3"/>
    <x v="4"/>
    <x v="92"/>
    <s v="BNI"/>
    <s v="R01"/>
    <x v="0"/>
    <s v="13/01 Dayanet tanyakan status trx 8919101250952211 / NACL1303365977_x000a_13/01 Support cek di mbase dan db settled_x000a_13/01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3T12:06:00"/>
    <x v="3"/>
  </r>
  <r>
    <s v="INC20260113094"/>
    <d v="2026-01-13T09:18:00"/>
    <s v="WA"/>
    <s v="-"/>
    <s v="PT Teknologi Awan Cerah"/>
    <s v="Request"/>
    <s v="VA"/>
    <x v="3"/>
    <x v="3"/>
    <x v="93"/>
    <s v="BCA"/>
    <s v="R01"/>
    <x v="0"/>
    <s v="13/01 Nubecul tanyakan status trx _x000a_7900121700047548 // 2026011340100005545_x000a_13/01 Support cek di mbase belum ada datanya_x000a_13/01 Support infokan tunggu rekon_x000a_14/01 Support update +  infokan sukses"/>
    <s v="SOP #05"/>
    <s v="1. Pastikan merchant &amp; transaksi tersebut valid_x000a_2. Cek VA di apps.plink, bandingkan amount:_x000a__x0009_Amount sama → Update transaksi._x000a__x0009_Amount berbeda → Tidak bisa diupdate, informasikan ke merchant."/>
    <d v="2026-01-14T13:22:00"/>
    <x v="3"/>
  </r>
  <r>
    <s v="INC20260113095"/>
    <d v="2026-01-13T10:31:00"/>
    <s v="WA"/>
    <s v="-"/>
    <s v="PT Teknologi Awan Cerah"/>
    <s v="Request"/>
    <s v="VA"/>
    <x v="3"/>
    <x v="3"/>
    <x v="94"/>
    <s v="BCA"/>
    <s v="R01"/>
    <x v="0"/>
    <s v="13/01 Nubecul tanyakan status trx _x000a_7900121700047548 // 2026011340100005545_x000a_13/01 Support cek di mbase belum ada datanya_x000a_13/01 Support infokan tunggu rekon_x000a_14/01 Support update + infokan sukses"/>
    <s v="SOP #05"/>
    <s v="1. Pastikan merchant &amp; transaksi tersebut valid_x000a_2. Cek VA di apps.plink, bandingkan amount:_x000a__x0009_Amount sama → Update transaksi._x000a__x0009_Amount berbeda → Tidak bisa diupdate, informasikan ke merchant."/>
    <d v="2026-01-14T13:23:00"/>
    <x v="3"/>
  </r>
  <r>
    <s v="INC20260113096"/>
    <d v="2026-01-13T21:18:00"/>
    <s v="WA"/>
    <s v="-"/>
    <s v="PT Daya Net Gemilang"/>
    <s v="Request"/>
    <s v="VA"/>
    <x v="3"/>
    <x v="4"/>
    <x v="95"/>
    <s v="BNI"/>
    <s v="R01"/>
    <x v="0"/>
    <s v="13/01 dayanet tanyakan status trx 7900125000019639 _x000a_13/01 Support cek di mbase status error reject_x000a_13/01 Support infokan menunggu rekon_x000a_14/10 Info dari tim rekon, trx tersebut tidak da_x000a_14/10 Support infokan trx tersebut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4T10:22:00"/>
    <x v="3"/>
  </r>
  <r>
    <s v="INC20260113097"/>
    <d v="2026-01-13T22:12:00"/>
    <s v="WA"/>
    <s v="-"/>
    <s v="PT Daya Net Gemilang"/>
    <s v="Request"/>
    <s v="VA"/>
    <x v="3"/>
    <x v="4"/>
    <x v="96"/>
    <s v="MANDIRI"/>
    <s v="R01"/>
    <x v="0"/>
    <s v="13/01 dayanet tanyakan status trx 7900125000019639 _x000a_13/01 Support cek di mbase status aprrvd_x000a_13/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3T22:20:00"/>
    <x v="3"/>
  </r>
  <r>
    <s v="INC20260114098"/>
    <d v="2026-01-14T13:34:00"/>
    <s v="WA"/>
    <s v="-"/>
    <s v="PT Daya Net Gemilang"/>
    <s v="Request"/>
    <s v="VA"/>
    <x v="3"/>
    <x v="4"/>
    <x v="97"/>
    <s v="BCA"/>
    <s v="R01"/>
    <x v="0"/>
    <s v="14/01 dayanet tanyakan status trx 7900125000019639 _x000a_14/01 Support cek di mbase status aprrvd_x000a_14/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4T13:37:00"/>
    <x v="3"/>
  </r>
  <r>
    <s v="INC20260114099"/>
    <d v="2026-01-14T14:26:00"/>
    <s v="WA"/>
    <s v="-"/>
    <s v="PT Daya Net Gemilang"/>
    <s v="Request"/>
    <s v="VA"/>
    <x v="3"/>
    <x v="4"/>
    <x v="98"/>
    <s v="BRI"/>
    <s v="R01"/>
    <x v="0"/>
    <s v="14/01 dayanet tanyakan status trx 7900125000019639 _x000a_14/01 Support cek di mbase status aprrvd_x000a_14/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4T14:28:00"/>
    <x v="3"/>
  </r>
  <r>
    <s v="INC20260114100"/>
    <d v="2026-01-14T14:48:00"/>
    <s v="WA"/>
    <s v="-"/>
    <s v="PT Daya Net Gemilang"/>
    <s v="Request"/>
    <s v="VA"/>
    <x v="3"/>
    <x v="3"/>
    <x v="99"/>
    <s v="BNI"/>
    <s v="R01"/>
    <x v="0"/>
    <s v="14/01 dayanet tanyakan status trx 8919101250927471 / NACL1310649748 _x000a_14/01 Support cek di mbase apprvd, db cancel_x000a_14/01 Rekon infokan sudah settle hari ini, support  update_x000a_14/01 infokan sukses"/>
    <s v="SOP #05"/>
    <s v="1. Pastikan merchant &amp; transaksi tersebut valid_x000a_2. Cek VA di apps.plink, bandingkan amount:_x000a__x0009_Amount sama → Update transaksi._x000a__x0009_Amount berbeda → Tidak bisa diupdate, informasikan ke merchant."/>
    <d v="2026-01-14T16:08:00"/>
    <x v="3"/>
  </r>
  <r>
    <s v="INC20260114101"/>
    <d v="2026-01-14T23:17:00"/>
    <s v="WA"/>
    <s v="-"/>
    <s v="PT Daya Net Gemilang"/>
    <s v="Request"/>
    <s v="VA"/>
    <x v="3"/>
    <x v="4"/>
    <x v="100"/>
    <s v="BRI"/>
    <s v="R01"/>
    <x v="0"/>
    <s v="14/01 dayanet tanyakan status trx 4041910125041573 / NACL1312208914 _x000a_14/01 Support cek di mbase status aprrvd_x000a_14/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4T23:37:00"/>
    <x v="3"/>
  </r>
  <r>
    <s v="INC20260115102"/>
    <d v="2026-01-15T13:26:00"/>
    <s v="WA"/>
    <s v="-"/>
    <s v="PT Daya Net Gemilang"/>
    <s v="Request"/>
    <s v="VA"/>
    <x v="3"/>
    <x v="4"/>
    <x v="101"/>
    <s v="BRI"/>
    <s v="R01"/>
    <x v="0"/>
    <s v="15/01 dayanet tanyakan status trx 4041910125054681 / NACL1313796252_x000a_15/01 Support cek di mbase status aprrvd_x000a_15/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5T13:38:00"/>
    <x v="3"/>
  </r>
  <r>
    <s v="INC20260115103"/>
    <d v="2026-01-15T13:33:00"/>
    <s v="WA"/>
    <s v="-"/>
    <s v="PT Daya Net Gemilang"/>
    <s v="Request"/>
    <s v="VA"/>
    <x v="3"/>
    <x v="4"/>
    <x v="102"/>
    <s v="BNI"/>
    <s v="R01"/>
    <x v="0"/>
    <s v="15/01 dayanet tanyakan status trx 8919101250733997 / NACL1312092669_x000a_15/01 Support cek di mbase status aprrvd_x000a_15/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5T13:49:00"/>
    <x v="3"/>
  </r>
  <r>
    <s v="INC20260115104"/>
    <d v="2026-01-15T18:30:00"/>
    <s v="WA"/>
    <s v="-"/>
    <s v="PT Kreasi Kode Kreatif"/>
    <s v="Request"/>
    <s v="VA"/>
    <x v="3"/>
    <x v="4"/>
    <x v="103"/>
    <s v="BCA"/>
    <s v="R01"/>
    <x v="0"/>
    <s v="15/01 Kvoucher tanyakan status trx 7900119200378018_x000a_15/01 Support cek di mbase dan plink operator stts nya apprvd_x000a_15/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5T18:35:00"/>
    <x v="3"/>
  </r>
  <r>
    <s v="INC20260116105"/>
    <d v="2026-01-16T14:29:00"/>
    <s v="WA"/>
    <s v="-"/>
    <s v="PT Daya Net Gemilang"/>
    <s v="Request"/>
    <s v="VA"/>
    <x v="3"/>
    <x v="4"/>
    <x v="104"/>
    <s v="MANDIRI"/>
    <s v="R01"/>
    <x v="0"/>
    <s v="16/01 dayanet tanyakan status trx  8903910125041552 / NACL1315520834 _x000a_16/01 Support cek di mbase status aprrvd_x000a_1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6T14:53:00"/>
    <x v="3"/>
  </r>
  <r>
    <s v="INC20260116106"/>
    <d v="2026-01-16T18:04:00"/>
    <s v="WA"/>
    <s v="-"/>
    <s v="PT Teknologi Awan Cerah"/>
    <s v="Request"/>
    <s v="VA"/>
    <x v="3"/>
    <x v="4"/>
    <x v="105"/>
    <s v="BCA"/>
    <s v="R01"/>
    <x v="0"/>
    <s v="16/01 Nobecul tanyakan status trx 7900121700098127_x000a_16/01 Support cek di mbase belum ada_x000a_16/01 Support infokan tunggu rekon_x000a_19/01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3"/>
  </r>
  <r>
    <s v="INC20260116107"/>
    <d v="2026-01-16T19:23:00"/>
    <s v="WA"/>
    <s v="-"/>
    <s v="PT Daya Net Gemilang"/>
    <s v="Request"/>
    <s v="VA"/>
    <x v="3"/>
    <x v="4"/>
    <x v="106"/>
    <s v="BCA"/>
    <s v="R01"/>
    <x v="0"/>
    <s v="16/01 dayanet tanyakan status trx 7900125000072032 / NACL1315943678_x000a_16/01 Support cek di mbase dan db status aprrvd_x000a_1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6T19:29:00"/>
    <x v="3"/>
  </r>
  <r>
    <s v="INC20260116108"/>
    <d v="2026-01-16T19:51:00"/>
    <s v="WA"/>
    <s v="-"/>
    <s v="PT Daya Net Gemilang"/>
    <s v="Request"/>
    <s v="VA"/>
    <x v="3"/>
    <x v="4"/>
    <x v="107"/>
    <s v="BCA"/>
    <s v="R01"/>
    <x v="0"/>
    <s v="16/01 dayanet tanyakan status trx 7900125000091808 / NACL1315607997_x000a_16/01 Support cek di mbase dan db status aprrvd_x000a_1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6T19:52:00"/>
    <x v="3"/>
  </r>
  <r>
    <s v="INC20260116109"/>
    <d v="2026-01-16T20:31:00"/>
    <s v="WA"/>
    <s v="-"/>
    <s v="PT Daya Net Gemilang"/>
    <s v="Request"/>
    <s v="VA"/>
    <x v="3"/>
    <x v="4"/>
    <x v="108"/>
    <s v="BCA"/>
    <s v="R01"/>
    <x v="0"/>
    <s v="16/01 dayanet tanyakan status trx 7900125000047878 / NACL1316096152_x000a_16/01 Support cek di mbase dan db status aprrvd_x000a_1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6T20:34:00"/>
    <x v="3"/>
  </r>
  <r>
    <s v="INC20260116110"/>
    <d v="2026-01-16T14:27:00"/>
    <s v="WA"/>
    <s v="-"/>
    <s v="PT Daya Net Gemilang"/>
    <s v="Request"/>
    <s v="VA"/>
    <x v="3"/>
    <x v="4"/>
    <x v="109"/>
    <s v="BCA"/>
    <s v="R01"/>
    <x v="0"/>
    <s v="16/01 dayanet tanyakan status trx  7900125000073272_x000a_16/01 Support cek di mbase status aprrvd_x000a_1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6T14:30:00"/>
    <x v="3"/>
  </r>
  <r>
    <s v="INC20260117111"/>
    <d v="2026-01-17T11:27:00"/>
    <s v="WA"/>
    <s v="-"/>
    <s v="PT Daya Net Gemilang"/>
    <s v="Request"/>
    <s v="VA"/>
    <x v="3"/>
    <x v="4"/>
    <x v="110"/>
    <s v="BRI"/>
    <s v="R01"/>
    <x v="0"/>
    <s v="16/01 dayanet tanyakan status trx  NACL1315540385 // 4041910125033658_x000a_16/01 Support cek di mbase status aprrvd_x000a_1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6T11:28:00"/>
    <x v="3"/>
  </r>
  <r>
    <s v="INC20260117112"/>
    <d v="2026-01-17T15:18:00"/>
    <s v="WA"/>
    <s v="-"/>
    <s v="PT Daya Net Gemilang"/>
    <s v="Request"/>
    <s v="VA"/>
    <x v="3"/>
    <x v="4"/>
    <x v="111"/>
    <s v="BRI"/>
    <s v="R01"/>
    <x v="0"/>
    <s v="17/01 Baraka tanyakan status trx  4041910120593772_x000a_17/01 Support cek di mbase status aprrvd_x000a_17/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7T16:05:00"/>
    <x v="3"/>
  </r>
  <r>
    <s v="INC20260118113"/>
    <d v="2026-01-18T09:16:00"/>
    <s v="WA"/>
    <s v="-"/>
    <s v="PT Daya Net Gemilang"/>
    <s v="Request"/>
    <s v="VA"/>
    <x v="3"/>
    <x v="4"/>
    <x v="112"/>
    <s v="BRI"/>
    <s v="R01"/>
    <x v="0"/>
    <s v="18/01 dayanet tanyakan status trx  NACL1315944674 // 4041910125099558_x000a_18/01 Support cek di mbase status aprrvd_x000a_18/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8T09:18:00"/>
    <x v="3"/>
  </r>
  <r>
    <s v="INC20260118114"/>
    <d v="2026-01-18T08:01:00"/>
    <s v="WA"/>
    <s v="-"/>
    <s v="PT ENVOIZ DIGITAL INDONESIA"/>
    <s v="Request"/>
    <s v="VA"/>
    <x v="3"/>
    <x v="3"/>
    <x v="113"/>
    <s v="BNI"/>
    <s v="R01"/>
    <x v="0"/>
    <s v="18/01 envoiz infokan Mohon Dijadikan Paid Pada Dashboard Plink status trx  NACL1315944674 // 4041910125099558_x000a_18/01 Support cek di mbase status error aprrvd_x000a_18/01 Support update"/>
    <s v="SOP #05"/>
    <s v="1. Pastikan merchant &amp; transaksi tersebut valid_x000a_2. Cek VA di apps.plink, bandingkan amount:_x000a__x0009_Amount sama → Update transaksi._x000a__x0009_Amount berbeda → Tidak bisa diupdate, informasikan ke merchant."/>
    <d v="2026-01-18T11:57:00"/>
    <x v="3"/>
  </r>
  <r>
    <s v="INC20260118115"/>
    <d v="2026-01-18T13:10:00"/>
    <s v="WA"/>
    <s v="-"/>
    <s v="PT Daya Net Gemilang"/>
    <s v="Request"/>
    <s v="VA"/>
    <x v="3"/>
    <x v="4"/>
    <x v="114"/>
    <s v="BRI"/>
    <s v="R01"/>
    <x v="0"/>
    <s v="18/01 DNT tanyakan status trx NACL1315944538 // 4041910125005082_x000a_18/01 Support cek di dashboard sudah setld_x000a_18/01 Support info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8T13:16:00"/>
    <x v="3"/>
  </r>
  <r>
    <s v="INC20260118116"/>
    <d v="2026-01-18T13:28:00"/>
    <s v="WA"/>
    <s v="-"/>
    <s v="PT Daya Net Gemilang"/>
    <s v="Request"/>
    <s v="VA"/>
    <x v="3"/>
    <x v="4"/>
    <x v="115"/>
    <s v="BRI"/>
    <s v="R01"/>
    <x v="0"/>
    <s v="18/01 DNT tanyakan status trx NACL1315944541 // 4041910125045558 _x000a_18/01 Support cek di dashboard sudah setld_x000a_18/01 Support info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8T13:29:00"/>
    <x v="3"/>
  </r>
  <r>
    <s v="INC20260118117"/>
    <d v="2026-01-18T12:12:00"/>
    <s v="WA"/>
    <s v="-"/>
    <s v="PT ENVOIZ DIGITAL INDONESIA"/>
    <s v="Request"/>
    <s v="VA"/>
    <x v="3"/>
    <x v="3"/>
    <x v="116"/>
    <s v="BNI"/>
    <s v="R01"/>
    <x v="0"/>
    <s v="18/01 envoiz tanyaakan status trx apakah sudah berhasil  NACL1315944674 // 4041910125099558_x000a_18/01 Support cek di mbase status cancel, support update_x000a_18/01 Support info trx sukses dan status sudah di update"/>
    <s v="SOP #05"/>
    <s v="1. Pastikan merchant &amp; transaksi tersebut valid_x000a_2. Cek VA di apps.plink, bandingkan amount:_x000a__x0009_Amount sama → Update transaksi._x000a__x0009_Amount berbeda → Tidak bisa diupdate, informasikan ke merchant."/>
    <d v="2026-01-18T13:24:00"/>
    <x v="3"/>
  </r>
  <r>
    <s v="INC20260119118"/>
    <d v="2026-01-19T00:01:00"/>
    <s v="WA"/>
    <s v="-"/>
    <s v="PT Teknologi Awan Cerah"/>
    <s v="Request"/>
    <s v="VA"/>
    <x v="3"/>
    <x v="3"/>
    <x v="117"/>
    <s v="BCA"/>
    <s v="R01"/>
    <x v="0"/>
    <s v="19/01 Nobecul tanyakan status trx 7900121700028196_x000a_19/01 Support cek di dashboard stts nya on prg_x000a_19/01 Support info tunggu rekon_x000a_19/01 Support update + infokan sukses"/>
    <s v="SOP #05"/>
    <s v="1. Pastikan merchant &amp; transaksi tersebut valid_x000a_2. Cek VA di apps.plink, bandingkan amount:_x000a__x0009_Amount sama → Update transaksi._x000a__x0009_Amount berbeda → Tidak bisa diupdate, informasikan ke merchant."/>
    <m/>
    <x v="3"/>
  </r>
  <r>
    <s v="INC20260119119"/>
    <d v="2026-01-19T00:52:00"/>
    <s v="WA"/>
    <s v="-"/>
    <s v="PT Teknologi Awan Cerah"/>
    <s v="Request"/>
    <s v="VA"/>
    <x v="3"/>
    <x v="4"/>
    <x v="118"/>
    <s v="BCA"/>
    <s v="R01"/>
    <x v="0"/>
    <s v="19/01 Nobecul tanyakan status trx 7900121700043490_x000a_19/01 Support cek di dashboard stts nya on prg_x000a_19/01 Support info tunggu rekon_x000a_19/01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3"/>
  </r>
  <r>
    <s v="INC20260119120"/>
    <d v="2026-01-19T02:01:00"/>
    <s v="WA"/>
    <s v="-"/>
    <s v="PT Teknologi Awan Cerah"/>
    <s v="Request"/>
    <s v="VA"/>
    <x v="3"/>
    <x v="3"/>
    <x v="119"/>
    <s v="BCA"/>
    <s v="R01"/>
    <x v="0"/>
    <s v="19/01 Nobecul tanyakan status trx 7900121700020357 / 2026011940100005967_x000a_19/01 Support cek di mbase blm ditemukan_x000a_19/01 Support info tunggu rekon_x000a_19/01 Support update + infokan sukses"/>
    <s v="SOP #05"/>
    <s v="1. Pastikan merchant &amp; transaksi tersebut valid_x000a_2. Cek VA di apps.plink, bandingkan amount:_x000a__x0009_Amount sama → Update transaksi._x000a__x0009_Amount berbeda → Tidak bisa diupdate, informasikan ke merchant."/>
    <m/>
    <x v="3"/>
  </r>
  <r>
    <s v="INC20260119121"/>
    <d v="2026-01-19T03:58:00"/>
    <s v="WA"/>
    <s v="-"/>
    <s v="PT Teknologi Awan Cerah"/>
    <s v="Request"/>
    <s v="VA"/>
    <x v="3"/>
    <x v="4"/>
    <x v="120"/>
    <s v="BCA"/>
    <s v="R01"/>
    <x v="0"/>
    <s v="19/01 Nobecul tanyakan status trx 7900121700000565 / 2026011842500187263_x000a_19/01 Support cek di mbase blm ditemukan_x000a_19/01 Support info tunggu rekon_x000a_20/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0T00:00:00"/>
    <x v="3"/>
  </r>
  <r>
    <s v="INC20260119122"/>
    <d v="2026-01-19T17:03:00"/>
    <s v="Email"/>
    <s v="keluhan_payment@bca.co.id"/>
    <s v="PT Kreasi Kode Kreatif"/>
    <s v="Issue"/>
    <s v="VA"/>
    <x v="2"/>
    <x v="2"/>
    <x v="121"/>
    <s v="BCA"/>
    <s v="C01"/>
    <x v="0"/>
    <s v="19/01 Req masuk + support meminta kronologis dkk_x000a_21/01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3"/>
  </r>
  <r>
    <s v="INC20260119123"/>
    <d v="2026-01-19T17:16:00"/>
    <s v="Email"/>
    <s v="kkd_ipm2@corp.bri.co.id"/>
    <s v="MOLINA"/>
    <s v="Request"/>
    <s v="VOA"/>
    <x v="4"/>
    <x v="5"/>
    <x v="122"/>
    <s v="BRI VOA"/>
    <s v="R02"/>
    <x v="0"/>
    <s v="19/01 Req masuk_x000a_20/01 support konfirmasi karena banyak data yang berulang + BRI ack_x000a_21/01 belum ada updat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3"/>
  </r>
  <r>
    <s v="INC20260119124"/>
    <d v="2026-01-19T17:39:00"/>
    <s v="Email"/>
    <s v="kkd_ipm2@corp.bri.co.id"/>
    <s v="MOLINA"/>
    <s v="Request"/>
    <s v="VOA"/>
    <x v="4"/>
    <x v="5"/>
    <x v="123"/>
    <s v="BRI VOA"/>
    <s v="R02"/>
    <x v="0"/>
    <s v="19/01 Req masuk_x000a_20/01 support melampirkan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0T00:00:00"/>
    <x v="3"/>
  </r>
  <r>
    <s v="INC20260120125"/>
    <d v="2026-01-20T08:11:00"/>
    <s v="Email"/>
    <s v="Distribusi Lancar Jaya &lt;distribusilancarjaya@gmail.com&gt;"/>
    <s v="Jatimpark Vending Mechine"/>
    <s v="Request"/>
    <s v="QR"/>
    <x v="0"/>
    <x v="0"/>
    <x v="124"/>
    <s v="NOBU"/>
    <s v="R04"/>
    <x v="0"/>
    <s v="20/01 Req masuk + support teruskan ke NOBU_x000a_20/01 DONE"/>
    <m/>
    <s v="Buka SOP 'REFUND QR NOBU'"/>
    <d v="2026-01-20T00:00:00"/>
    <x v="3"/>
  </r>
  <r>
    <s v="INC20260120126"/>
    <d v="2026-01-20T13:32:00"/>
    <s v="Email"/>
    <s v="Harrison, Angela &lt;AHARRISON@beckman.com&gt;"/>
    <s v="MOLINA"/>
    <s v="Request"/>
    <s v="VOA"/>
    <x v="4"/>
    <x v="5"/>
    <x v="125"/>
    <s v="BRI VOA"/>
    <s v="R02"/>
    <x v="0"/>
    <s v="20/01 req masuk_x000a_20/01 Support melampirkan invoic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0T00:00:00"/>
    <x v="3"/>
  </r>
  <r>
    <s v="INC20260120127"/>
    <d v="2026-01-20T13:43:00"/>
    <s v="Email"/>
    <s v="ivan stepanus &lt;ivanstepanus28@gmail.com&gt;"/>
    <s v="PT Daya Net Gemilang"/>
    <s v="Request"/>
    <s v="VA"/>
    <x v="3"/>
    <x v="4"/>
    <x v="126"/>
    <s v="BRI"/>
    <s v="R01"/>
    <x v="0"/>
    <s v="20/01 req masuk_x000a_20/01 support infokan trx sukses dan sarankan customer untuk menghubungi pihak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0T00:00:00"/>
    <x v="3"/>
  </r>
  <r>
    <s v="INC20260120128"/>
    <d v="2026-01-20T14:16:00"/>
    <s v="Email"/>
    <s v="keluhan_payment@bca.co.id"/>
    <s v="PT Kreasi Kode Kreatif_x000a__x000a_PT TEKNOLOGI AWAN CERAH"/>
    <s v="Issue"/>
    <s v="VA"/>
    <x v="2"/>
    <x v="2"/>
    <x v="127"/>
    <s v="BCA"/>
    <s v="C01"/>
    <x v="0"/>
    <s v="20/01 req masuk + support meminta kronologis dkk_x000a_21/01 belum ada update_x000a_26/01 bca konfirmasi apakah ada sisa dana yang bisa diselamatkan_x000a_26/01 support info jika terbukti maka bisa di refund_x000a_"/>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3"/>
  </r>
  <r>
    <s v="INC20260121129"/>
    <d v="2026-01-21T08:15:00"/>
    <s v="Email"/>
    <s v="Distribusi Lancar Jaya &lt;distribusilancarjaya@gmail.com&gt;"/>
    <s v="Jatimpark Vending Mechine"/>
    <s v="Request"/>
    <s v="QR"/>
    <x v="0"/>
    <x v="0"/>
    <x v="128"/>
    <s v="NOBU"/>
    <s v="R04"/>
    <x v="0"/>
    <s v="21/01 req masuk + support teruskan ke nobu_x000a_21/01 DONE"/>
    <m/>
    <s v="Buka SOP 'REFUND QR NOBU'"/>
    <d v="2026-01-21T00:00:00"/>
    <x v="3"/>
  </r>
  <r>
    <s v="INC20260121130"/>
    <d v="2026-01-21T07:35:00"/>
    <s v="Email"/>
    <s v="Layla Lidyawati &lt;laylalidyawati@gmail.com&gt;"/>
    <s v="PT Kreasi Kode Kreatif"/>
    <s v="Issue"/>
    <s v="VA"/>
    <x v="2"/>
    <x v="2"/>
    <x v="129"/>
    <s v="BCA"/>
    <s v="C01"/>
    <x v="0"/>
    <s v="21/01 req masuk, customer infokan tidak memiliki tagihan tetapi dihubungi oleh orang tidak dikenal dan dipaksa membayar_x000a_21/01 support meminta kronologis dkk_x000a_21/01 cust melampirkan data + support teruskan ke kvoucher_x000a_21/01 kvoucher infokan bisa memotong dana settelment_x000a_21/01 support meminta capture no rekening + nama_x000a_21/01 cust melampirkan data nya_x000a_22/01 support req hold dana ke finance_x000a_23/01 finance infokan sudah hold dana_x000a_23/01 support minta approval pak karno_x000a_27/01 support meminta finance untuk tf ke rekening customer_x000a_30/01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1-30T00:00:00"/>
    <x v="3"/>
  </r>
  <r>
    <s v="INC20260120131"/>
    <d v="2026-01-20T17:22:00"/>
    <s v="Email"/>
    <s v="kkd_ipm2@corp.bri.co.id"/>
    <s v="MOLINA"/>
    <s v="Request"/>
    <s v="VOA"/>
    <x v="4"/>
    <x v="5"/>
    <x v="130"/>
    <s v="BRI VOA"/>
    <s v="R02"/>
    <x v="0"/>
    <s v="20/01 req masuk_x000a_21/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1T00:00:00"/>
    <x v="3"/>
  </r>
  <r>
    <s v="INC20260120132"/>
    <d v="2026-01-20T17:25:00"/>
    <s v="Email"/>
    <s v="kkd_ipm2@corp.bri.co.id"/>
    <s v="MOLINA"/>
    <s v="Request"/>
    <s v="VOA"/>
    <x v="4"/>
    <x v="5"/>
    <x v="130"/>
    <s v="BRI VOA"/>
    <s v="R02"/>
    <x v="0"/>
    <s v="20/01 req masuk_x000a_21/01 support melampirkan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1T00:00:00"/>
    <x v="3"/>
  </r>
  <r>
    <s v="INC20260119133"/>
    <d v="2026-01-19T08:37:00"/>
    <s v="WA"/>
    <s v="-"/>
    <s v="PT Daya Net Gemilang"/>
    <s v="Request"/>
    <s v="VA"/>
    <x v="3"/>
    <x v="3"/>
    <x v="131"/>
    <s v="BNI"/>
    <s v="R01"/>
    <x v="0"/>
    <s v="18/01 DNT tanyakan status trx NACL1316052222 // 8919101250747955 _x000a_18/01 Support cek di dashboard cancel, dan di pg admin APRVD,  support update status pada dashboard_x000a_18/01 Support info trx sukses"/>
    <s v="SOP #05"/>
    <s v="1. Pastikan merchant &amp; transaksi tersebut valid_x000a_2. Cek VA di apps.plink, bandingkan amount:_x000a__x0009_Amount sama → Update transaksi._x000a__x0009_Amount berbeda → Tidak bisa diupdate, informasikan ke merchant."/>
    <d v="2026-01-19T09:33:00"/>
    <x v="3"/>
  </r>
  <r>
    <s v="INC20260119134"/>
    <d v="2026-01-19T08:44:00"/>
    <s v="WA"/>
    <s v="-"/>
    <s v="PT Daya Net Gemilang"/>
    <s v="Request"/>
    <s v="VA"/>
    <x v="3"/>
    <x v="3"/>
    <x v="132"/>
    <s v="BNI"/>
    <s v="R01"/>
    <x v="0"/>
    <s v="18/01 DNT tanyakan status trx NACL1315701175 // 8919101250699409_x000a_18/01 Support cek di dashboard cancel, dan di pg admin APRVD, support update status pada dashboard_x000a_18/01 Support info trx sukses"/>
    <s v="SOP #05"/>
    <s v="1. Pastikan merchant &amp; transaksi tersebut valid_x000a_2. Cek VA di apps.plink, bandingkan amount:_x000a__x0009_Amount sama → Update transaksi._x000a__x0009_Amount berbeda → Tidak bisa diupdate, informasikan ke merchant."/>
    <d v="2026-01-19T09:34:00"/>
    <x v="3"/>
  </r>
  <r>
    <s v="INC20260119135"/>
    <d v="2026-01-19T13:38:00"/>
    <s v="WA"/>
    <s v="-"/>
    <s v="PT Daya Net Gemilang"/>
    <s v="Request"/>
    <s v="VA"/>
    <x v="3"/>
    <x v="4"/>
    <x v="133"/>
    <s v="BRI"/>
    <s v="R01"/>
    <x v="0"/>
    <s v="18/01 DNT tanyakan status trx _x000a_NACL1316379654 // 4041910125061475_x000a_18/01 Support cek di dashboard SETLD_x000a_18/01 Support info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8T13:40:00"/>
    <x v="3"/>
  </r>
  <r>
    <s v="INC20260119136"/>
    <d v="2026-01-19T13:23:00"/>
    <s v="WA"/>
    <s v="metallic001@163.com"/>
    <s v="MOLINA"/>
    <s v="Request"/>
    <s v="VOA"/>
    <x v="4"/>
    <x v="5"/>
    <x v="134"/>
    <s v="BRI VOA"/>
    <s v="R02"/>
    <x v="0"/>
    <s v="06/01 Customer request bukti transaksi untuk eVisa _x000a_06/01 Support cek bukti pembayaran wisman karena wisman sudah mengirimkan bukti pembayaran_x000a_06/01 Support investigasi menggunakan no CC yang diberikan_x000a_06/01 Support melampirkan bukti transkasi eVis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19T13:52:00"/>
    <x v="3"/>
  </r>
  <r>
    <s v="INC20260119137"/>
    <d v="2026-01-19T19:21:00"/>
    <s v="WA"/>
    <s v="-"/>
    <s v="PT Teknologi Awan Cerah"/>
    <s v="Request"/>
    <s v="VA"/>
    <x v="3"/>
    <x v="4"/>
    <x v="135"/>
    <s v="BCA"/>
    <s v="R01"/>
    <x v="0"/>
    <s v="19/01 nobecul tanyakan status trx  7900121700001312 _x000a_19/01 Support cek di mbase aprrvd_x000a_19/01 Support info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9T19:41:00"/>
    <x v="3"/>
  </r>
  <r>
    <s v="INC20260120138"/>
    <d v="2026-01-20T12:47:00"/>
    <s v="WA"/>
    <s v="-"/>
    <s v="PT Daya Net Gemilang"/>
    <s v="Request"/>
    <s v="VA"/>
    <x v="3"/>
    <x v="4"/>
    <x v="136"/>
    <s v="BCA"/>
    <s v="R01"/>
    <x v="0"/>
    <s v="18/01 DNT tanyakan status trx _x000a_NACL1320430158 // 7900125000045043_x000a_18/01 Support cek di dashboard SETLD_x000a_18/01 Support info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9T13:09:00"/>
    <x v="3"/>
  </r>
  <r>
    <s v="INC20260120139"/>
    <d v="2026-01-20T14:00:00"/>
    <s v="WA"/>
    <s v="-"/>
    <s v="PT Daya Net Gemilang"/>
    <s v="Request"/>
    <s v="VA"/>
    <x v="3"/>
    <x v="4"/>
    <x v="137"/>
    <s v="BCA"/>
    <s v="R01"/>
    <x v="0"/>
    <s v="18/01 DNT tanyakan status trx _x000a_NACL1320430006 // 7900125000079405_x000a_18/01 Support cek di dashboard SETLD_x000a_18/01 Support info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19T14:01:00"/>
    <x v="3"/>
  </r>
  <r>
    <s v="INC20260120140"/>
    <d v="2026-01-20T13:32:00"/>
    <s v="WA"/>
    <s v="Harrison, Angela &lt;AHARRISON@beckman.com&gt;"/>
    <s v="MOLINA"/>
    <s v="Request"/>
    <s v="VOA"/>
    <x v="4"/>
    <x v="5"/>
    <x v="138"/>
    <s v="BRI VOA"/>
    <s v="R02"/>
    <x v="0"/>
    <s v="06/01 Customer request bukti transaksi untuk eVisa _x000a_06/01 Support cek bukti pembayaran wisman karena wisman sudah mengirimkan bukti pembayaran_x000a_06/01 Support investigasi menggunakan no inv yang diberikan_x000a_06/01 Support melampirkan bukti transkasi eVis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0T13:50:00"/>
    <x v="3"/>
  </r>
  <r>
    <s v="INC20260120141"/>
    <d v="2026-01-20T15:31:00"/>
    <s v="WA"/>
    <s v="-"/>
    <s v="PT ENVOIZ DIGITAL INDONESIA"/>
    <s v="Request"/>
    <s v="VA"/>
    <x v="3"/>
    <x v="3"/>
    <x v="139"/>
    <s v="BNI"/>
    <s v="R01"/>
    <x v="0"/>
    <s v="20/01 envoiz minta updatw status trx 8919101249791991 karena di dashboard belum ada_x000a_20/01 Support cek di dashboard cancel, dan di pg admin APRVD, support update status pada dashboard_x000a_20/01 Support info trx updated"/>
    <s v="SOP #05"/>
    <s v="1. Pastikan merchant &amp; transaksi tersebut valid_x000a_2. Cek VA di apps.plink, bandingkan amount:_x000a__x0009_Amount sama → Update transaksi._x000a__x0009_Amount berbeda → Tidak bisa diupdate, informasikan ke merchant."/>
    <d v="2026-01-20T17:03:00"/>
    <x v="3"/>
  </r>
  <r>
    <s v="INC20260120142"/>
    <d v="2026-01-20T18:43:00"/>
    <s v="WA"/>
    <s v="-"/>
    <s v="PT Daya Net Gemilang"/>
    <s v="Request"/>
    <s v="VA"/>
    <x v="3"/>
    <x v="4"/>
    <x v="140"/>
    <s v="BRI"/>
    <s v="R01"/>
    <x v="0"/>
    <s v="20/01 dayanet tanyakan status trx  4041910125013562 // NACL1320431091 _x000a_20/01 Support cek di mbase status aprrvd_x000a_20/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0T18:45:00"/>
    <x v="3"/>
  </r>
  <r>
    <s v="INC20260121143"/>
    <d v="2026-01-21T07:36:00"/>
    <s v="WA"/>
    <s v="-"/>
    <s v="PT Daya Net Gemilang"/>
    <s v="Request"/>
    <s v="VA"/>
    <x v="3"/>
    <x v="4"/>
    <x v="141"/>
    <s v="BCA"/>
    <s v="R01"/>
    <x v="0"/>
    <s v="21/01 dayanet tanyakan status trx  7900125000069067 / NACL1321705813_x000a_21/01 Support cek di mbase status aprrvd namun pada db belum ada _x000a_21/01 Support infokan tunggu rekon_x000a_22/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3"/>
  </r>
  <r>
    <s v="INC20260121144"/>
    <d v="2026-01-21T16:46:00"/>
    <s v="Email"/>
    <s v="Felly Khaerunnissah &lt;felly.khaerunnissah@bankmandiri.co.id&gt;"/>
    <s v="PT Daya Net Gemilang"/>
    <s v="Issue"/>
    <s v="VA"/>
    <x v="2"/>
    <x v="2"/>
    <x v="142"/>
    <s v="BCA"/>
    <s v="C01"/>
    <x v="0"/>
    <s v="21/01 req masuk + support meminta konfirmasi perihal transaksi dilakukan melalui aplikasi atau teller_x000a_22/01 mandiri infokan jika trx tersebut diproses melalui m-banking_x000a_22/01 support konfirmasi apakah menggunakan credential valid &amp; apakah terdapat pergantian credential_x000a_22/01 mandiri konfirm jika credential valid dan tidak ada pergantian credential_x000a_29/01 support infokan tidak bisa refund karena trx valid"/>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1-29T00:00:00"/>
    <x v="3"/>
  </r>
  <r>
    <s v="INC20260121145"/>
    <d v="2026-01-21T18:52:00"/>
    <s v="Email"/>
    <s v="kkd_ipm2@corp.bri.co.id"/>
    <s v="MOLINA"/>
    <s v="Request"/>
    <s v="VOA"/>
    <x v="1"/>
    <x v="1"/>
    <x v="143"/>
    <s v="BRI VOA"/>
    <s v="R02"/>
    <x v="0"/>
    <s v="21/01 req masuk + support report"/>
    <m/>
    <m/>
    <m/>
    <x v="3"/>
  </r>
  <r>
    <s v="INC20260122146"/>
    <d v="2026-01-22T08:29:00"/>
    <s v="Email"/>
    <s v="Distribusi Lancar Jaya &lt;distribusilancarjaya@gmail.com&gt;"/>
    <s v="Jatimpark Vending Mechine"/>
    <s v="Request"/>
    <s v="QR"/>
    <x v="0"/>
    <x v="0"/>
    <x v="144"/>
    <s v="NOBU"/>
    <s v="R04"/>
    <x v="0"/>
    <s v="22/01 req masuk + support teruskan ke NOBU_x000a_22/01 DONE"/>
    <m/>
    <s v="Buka SOP 'REFUND QR NOBU'"/>
    <d v="2026-01-22T00:00:00"/>
    <x v="3"/>
  </r>
  <r>
    <s v="INC20260122147"/>
    <d v="2026-01-22T09:40:00"/>
    <s v="Email"/>
    <s v="kkd_ipm2@corp.bri.co.id"/>
    <s v="MOLINA"/>
    <s v="Request"/>
    <s v="VOA"/>
    <x v="1"/>
    <x v="1"/>
    <x v="145"/>
    <s v="BRI VOA"/>
    <s v="R02"/>
    <x v="0"/>
    <s v="22/01 req masuk + support report"/>
    <m/>
    <m/>
    <m/>
    <x v="3"/>
  </r>
  <r>
    <s v="INC20260122148"/>
    <d v="2026-01-22T15:32:00"/>
    <s v="Email"/>
    <s v="keluhan_payment@bca.co.id"/>
    <s v="PT Kreasi Kode Kreatif_x000a__x000a_PT TEKNOLOGI AWAN CERAH"/>
    <s v="Issue"/>
    <s v="VA"/>
    <x v="2"/>
    <x v="2"/>
    <x v="146"/>
    <s v="BCA"/>
    <s v="C01"/>
    <x v="0"/>
    <s v="22/01 req masuk + support meminta kronologis dkk_x000a_22/01 belum ada update_x000a_27/01 bca melampirkan data2, kronologis : pelapor dihubungi penipu diinfokan jika memiliki tagihan di apk tunai flexi dan flexi cepat_x000a_27/01 support teruskan data tersebut ke merchant 'Pengcekan Transaksi 7900119200379284' &amp; 'Pengcekan Transaksi 7900121700073480'_x000a_27/01 nubecul &amp; kvoucher ack_x000a_28/01 nubecul &amp; kvoucher info bisa memotong settelment_x000a_28/01 support request hold dana ke dinance untuk masing2 merchant_x000a_29/01 finance sudah hold dana + support request tf ke customer_x000a_30/01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1-30T00:00:00"/>
    <x v="3"/>
  </r>
  <r>
    <s v="INC20260122149"/>
    <d v="2026-01-22T15:51:00"/>
    <s v="Email"/>
    <s v="keluhan_payment@bca.co.id"/>
    <s v="PT Kreasi Kode Kreatif_x000a__x000a_PT TEKNOLOGI AWAN CERAH"/>
    <s v="Issue"/>
    <s v="VA"/>
    <x v="2"/>
    <x v="2"/>
    <x v="147"/>
    <s v="BCA"/>
    <s v="C01"/>
    <x v="0"/>
    <s v="22/01 req masuk + support meminta kronologis dkk_x000a_22/01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3"/>
  </r>
  <r>
    <s v="INC20260123150"/>
    <d v="2026-01-23T08:43:00"/>
    <s v="Email"/>
    <s v="Distribusi Lancar Jaya &lt;distribusilancarjaya@gmail.com&gt;"/>
    <s v="Jatimpark Vending Mechine"/>
    <s v="Request"/>
    <s v="QR"/>
    <x v="0"/>
    <x v="0"/>
    <x v="148"/>
    <s v="NOBU"/>
    <s v="R04"/>
    <x v="0"/>
    <s v="23/01 req masuk + support teruskan ke NOBU_x000a_23/01 DONE"/>
    <m/>
    <s v="Buka SOP 'REFUND QR NOBU'"/>
    <d v="2026-01-23T00:00:00"/>
    <x v="4"/>
  </r>
  <r>
    <s v="INC20260121151"/>
    <d v="2026-01-21T15:53:00"/>
    <s v="WA"/>
    <s v="-"/>
    <s v="YAYASAN DIAN ASRA"/>
    <s v="Request"/>
    <s v="VA"/>
    <x v="3"/>
    <x v="3"/>
    <x v="149"/>
    <s v="BRI"/>
    <s v="R01"/>
    <x v="0"/>
    <s v="21/01 Undira tanyakan status trx  4041910112322156_x000a_21/01 Support cek di mbase status cancel , koordinasi dengan rekon infonya akan di setle esok hari_x000a_21/01 Support update status dan infokan trx sukses"/>
    <s v="SOP #05"/>
    <s v="1. Pastikan merchant &amp; transaksi tersebut valid_x000a_2. Cek VA di apps.plink, bandingkan amount:_x000a__x0009_Amount sama → Update transaksi._x000a__x0009_Amount berbeda → Tidak bisa diupdate, informasikan ke merchant."/>
    <d v="2026-01-21T18:13:00"/>
    <x v="4"/>
  </r>
  <r>
    <s v="INC20260121152"/>
    <d v="2026-01-21T16:28:00"/>
    <s v="WA"/>
    <s v="-"/>
    <s v="PT Daya Net Gemilang"/>
    <s v="Request"/>
    <s v="VA"/>
    <x v="3"/>
    <x v="4"/>
    <x v="150"/>
    <s v="BCA"/>
    <s v="R01"/>
    <x v="0"/>
    <s v="21/01 DNT tanyakan status trx  NACL1322650518 // 7900125000085031_x000a_21/01 Support cek di dashboard trx setld_x000a_21/01 Support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1T16:38:00"/>
    <x v="4"/>
  </r>
  <r>
    <s v="INC20260122153"/>
    <d v="2026-01-22T13:09:00"/>
    <s v="WA"/>
    <s v="-"/>
    <s v="PT Kreasi Kode Kreatif"/>
    <s v="Request"/>
    <s v="VA"/>
    <x v="3"/>
    <x v="4"/>
    <x v="151"/>
    <s v="BCA"/>
    <s v="R01"/>
    <x v="0"/>
    <s v="22/01 Kvoucher tanyakan status trx  7900119200400116_x000a_22/01 Support cek di mbase status aprrvd_x000a_22/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2T13:17:00"/>
    <x v="4"/>
  </r>
  <r>
    <s v="INC20260122154"/>
    <d v="2026-01-22T13:11:00"/>
    <s v="WA"/>
    <s v="-"/>
    <s v="PT Teknologi Awan Cerah"/>
    <s v="Request"/>
    <s v="VA"/>
    <x v="3"/>
    <x v="3"/>
    <x v="152"/>
    <s v="BCA"/>
    <s v="R01"/>
    <x v="0"/>
    <s v="22/01 dayanet tanyakan status trx  7900121700026746 _x000a_7900121700053083 _x000a_22/01 Support cek di mbase status aprrvd namun pada db cancel _x000a_22/01 Support infokan team terkait_x000a_22/01 Support infokan bahwa sudah setld"/>
    <s v="SOP #05"/>
    <s v="1. Pastikan merchant &amp; transaksi tersebut valid_x000a_2. Cek VA di apps.plink, bandingkan amount:_x000a__x0009_Amount sama → Update transaksi._x000a__x0009_Amount berbeda → Tidak bisa diupdate, informasikan ke merchant."/>
    <d v="2026-01-22T14:46:00"/>
    <x v="4"/>
  </r>
  <r>
    <s v="INC20260122155"/>
    <d v="2026-01-22T15:39:00"/>
    <s v="WA"/>
    <s v="-"/>
    <s v="PT Kreasi Kode Kreatif"/>
    <s v="Request"/>
    <s v="VA"/>
    <x v="3"/>
    <x v="4"/>
    <x v="153"/>
    <s v="BCA"/>
    <s v="R01"/>
    <x v="0"/>
    <s v="22/01 Kvoucher tanyakan status trx  7900119200410358_x000a_22/01 Support cek di mbase dan plink stts reject karena beda nominal_x000a_22/01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2T15:54:00"/>
    <x v="4"/>
  </r>
  <r>
    <s v="INC20260122156"/>
    <d v="2026-01-22T16:07:00"/>
    <s v="WA"/>
    <s v="-"/>
    <s v="PT Daya Net Gemilang"/>
    <s v="Request"/>
    <s v="VA"/>
    <x v="3"/>
    <x v="4"/>
    <x v="154"/>
    <s v="BRI"/>
    <s v="R01"/>
    <x v="0"/>
    <s v="22/01 DNT tanyakan status trx  4041910125053664 / NACL1324344692_x000a_22/01 Support cek di mbase dan db stts cancel_x000a_22/01 Support infokan tunggu rekon_x000a_23/01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00:00:00"/>
    <x v="4"/>
  </r>
  <r>
    <s v="INC20260122157"/>
    <d v="2026-01-22T16:07:00"/>
    <s v="WA"/>
    <s v="-"/>
    <s v="PT ENVOIZ DIGITAL INDONESIA"/>
    <s v="Request"/>
    <s v="VA"/>
    <x v="3"/>
    <x v="4"/>
    <x v="155"/>
    <s v="BRI"/>
    <s v="R01"/>
    <x v="0"/>
    <s v="22/01 Envoiz tanyakan status trx 4041910124987054 / NACL1324343589_x000a_22/01 Support cek di mbase dan db stts cancel_x000a_22/01 Support infokan tunggu rekon_x000a_22/01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00:00:00"/>
    <x v="4"/>
  </r>
  <r>
    <s v="INC20260122158"/>
    <d v="2026-01-22T18:49:00"/>
    <s v="WA"/>
    <s v="-"/>
    <s v="PT Daya Net Gemilang"/>
    <s v="Request"/>
    <s v="VA"/>
    <x v="3"/>
    <x v="4"/>
    <x v="156"/>
    <s v="BCA"/>
    <s v="R01"/>
    <x v="0"/>
    <s v="22/01 DNT tanyakan status trx 7900125000027135 / NACL1286532135_x000a_22/01 Support cek di mbase dan db status aprrvd_x000a_22/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2T19:00:00"/>
    <x v="4"/>
  </r>
  <r>
    <s v="INC20260123159"/>
    <d v="2026-01-23T13:50:00"/>
    <s v="Email"/>
    <s v="Putri Afsari &lt;putriafsari3@gmail.com&gt;"/>
    <s v="PT Daya Net Gemilang_x000a_PT ENVOIZ DIGITAL INDONESIA"/>
    <s v="Issue"/>
    <s v="VA"/>
    <x v="2"/>
    <x v="2"/>
    <x v="157"/>
    <s v="BCA"/>
    <s v="C01"/>
    <x v="0"/>
    <s v="23/01 req masuk, cust melampirkan surat kepolisian dimana ada iklan belajar investasi di aplikasi stonehall (customer trading beberapa kali)_x000a_23/01 support meminta kronologis dkk_x000a_29/01 cust melampirkan bukti kronologis (belajar investasi di apk stownhall)_x000a_29/01 support teruskan ke envoiz dan dayanet_x000a_29/01 merchant info tidak bersedia refund_x000a_02/02 merchant meminta mutasi rekening customer terkait trx tersebut + support request ke customer_x000a_02/02 customer melmpirkan bukti mutasi + support teruskan ke merchant_x000a_03/02 envoiz ack_x000a_23/02 envoiz infokan hanya tercatat 3 VA saja. dan menanyakan apakah user sdh menghubungi plink_x000a_24/02 envoiz infokan jika sudah diselesaikan oleh menegement envoiz &amp; prismalin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2-24T00:00:00"/>
    <x v="4"/>
  </r>
  <r>
    <s v="INC20260123160"/>
    <d v="2026-01-23T14:06:00"/>
    <s v="Email"/>
    <s v="chargebackops.acq@corp.bri.co.id"/>
    <s v="PT Cerdik Karya Gemilang"/>
    <s v="Request"/>
    <s v="VOA"/>
    <x v="4"/>
    <x v="5"/>
    <x v="158"/>
    <s v="BRI VOA"/>
    <s v="R02"/>
    <x v="0"/>
    <s v="23/01 req masuk + support teruskan ke cerdik_x000a_29/01 belum ada updat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4"/>
  </r>
  <r>
    <s v="INC20260126161"/>
    <d v="2026-01-26T05:24:00"/>
    <s v="Email"/>
    <s v="Distribusi Lancar Jaya &lt;distribusilancarjaya@gmail.com&gt;"/>
    <s v="Jatimpark Vending Mechine"/>
    <s v="Request"/>
    <s v="QR"/>
    <x v="0"/>
    <x v="0"/>
    <x v="159"/>
    <s v="NOBU"/>
    <s v="R04"/>
    <x v="0"/>
    <s v="26/01 req masuk + support teruskan ke NOBU_x000a_26/01 DONE"/>
    <m/>
    <s v="Buka SOP 'REFUND QR NOBU'"/>
    <d v="2026-01-26T00:00:00"/>
    <x v="4"/>
  </r>
  <r>
    <s v="INC20260126162"/>
    <d v="2026-01-26T17:56:00"/>
    <s v="Email"/>
    <s v="kkd_ipm2@corp.bri.co.id"/>
    <s v="MOLINA"/>
    <s v="Request"/>
    <s v="VOA"/>
    <x v="4"/>
    <x v="5"/>
    <x v="160"/>
    <s v="BRI VOA"/>
    <s v="R02"/>
    <x v="0"/>
    <s v="26/01 req masuk_x000a_26/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6T00:00:00"/>
    <x v="4"/>
  </r>
  <r>
    <s v="INC20260127163"/>
    <d v="2026-01-27T09:11:00"/>
    <s v="Email"/>
    <s v="kkd_ipm2@corp.bri.co.id"/>
    <s v="MOLINA"/>
    <s v="Request"/>
    <s v="VOA"/>
    <x v="1"/>
    <x v="1"/>
    <x v="161"/>
    <s v="BRI VOA"/>
    <s v="R02"/>
    <x v="0"/>
    <s v="27/01 req masuk + support report"/>
    <m/>
    <m/>
    <d v="2026-01-27T00:00:00"/>
    <x v="4"/>
  </r>
  <r>
    <s v="INC20260127164"/>
    <d v="2026-01-27T10:24:00"/>
    <s v="Email"/>
    <s v="Distribusi Lancar Jaya &lt;distribusilancarjaya@gmail.com&gt;"/>
    <s v="Jatimpark Vending Mechine"/>
    <s v="Request"/>
    <s v="QR"/>
    <x v="0"/>
    <x v="0"/>
    <x v="162"/>
    <s v="NOBU"/>
    <s v="R04"/>
    <x v="0"/>
    <s v="27/01 req masuk + support teruskan ke NOBU_x000a_27/01 DONE"/>
    <m/>
    <s v="Buka SOP 'REFUND QR NOBU'"/>
    <d v="2026-01-27T00:00:00"/>
    <x v="4"/>
  </r>
  <r>
    <s v="INC20260127165"/>
    <d v="2026-01-27T16:09:00"/>
    <s v="Email"/>
    <s v="Merchant Resolution &lt;merchant.resolution@nobubank.com&gt;"/>
    <s v="PT Hotel Murah Travelindo"/>
    <s v="Request"/>
    <s v="QR"/>
    <x v="3"/>
    <x v="7"/>
    <x v="163"/>
    <s v="NOBU"/>
    <s v="R01"/>
    <x v="0"/>
    <s v="27/01 req masuk + support lampirkan evidence trx sukses_x000a_27/01 DONE"/>
    <s v="SOP #02"/>
    <s v="1. Memastikan status transaksi pada Dashboard_x000a_     IF &quot;Transaksi GAGAL&quot;, AND &quot;Dana TDK MASUK&quot; (via rekon) then &quot;Infokan GAGAL&quot;_x000a_     IF &quot;Transaksi SUKSES&quot;, AND &quot;Dana MASUK&quot; (via rekon) then &quot;Infokan SUKSES&quot;"/>
    <d v="2026-01-27T00:00:00"/>
    <x v="4"/>
  </r>
  <r>
    <s v="INC20260127166"/>
    <d v="2026-01-27T17:33:00"/>
    <s v="Email"/>
    <s v="tirta ciputra &lt;tirtacipuutra@gmail.com&gt;"/>
    <s v="PT Daya Net Gemilang"/>
    <s v="Issue"/>
    <s v="VA"/>
    <x v="2"/>
    <x v="2"/>
    <x v="164"/>
    <s v="BCA"/>
    <s v="C01"/>
    <x v="0"/>
    <s v="27/01 req masuk dengan kronologi customer dihubungi admin treding &amp; diarabkan untuk payment melalui QR &amp; VA guna pencairan keuntungan &amp; trading_x000a_27/01 support teruskan ke merchant 'FW: Pengecekan VA 7900125000009074'_x000a_29/01 FU daya net_x000a_29/01 daya net info jika bersedia di refund_x000a_04/02 support infokan jika detail VA tersebut dr mana &amp; sarankan customer untuk melaporkan pemilik VA tersebut"/>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4"/>
  </r>
  <r>
    <s v="INC20260128167"/>
    <d v="2026-01-28T07:50:00"/>
    <s v="Email"/>
    <s v="yangwj40 &lt;yangwj40@aliyun.com&gt;"/>
    <s v="MOLINA"/>
    <s v="Request"/>
    <s v="VOA"/>
    <x v="4"/>
    <x v="5"/>
    <x v="165"/>
    <s v="BRI VOA"/>
    <s v="R02"/>
    <x v="0"/>
    <s v="28/01 req masuk_x000a_28/01 support meminta info cc yang digunakan_x000a_28/01 cust melampirkan no cc yang digunakan + support melampirkan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8T00:00:00"/>
    <x v="4"/>
  </r>
  <r>
    <s v="INC20260128168"/>
    <d v="2026-01-28T08:32:00"/>
    <s v="Email"/>
    <s v="Distribusi Lancar Jaya &lt;distribusilancarjaya@gmail.com&gt;"/>
    <s v="Jatimpark Vending Mechine"/>
    <s v="Request"/>
    <s v="QR"/>
    <x v="0"/>
    <x v="0"/>
    <x v="166"/>
    <s v="NOBU"/>
    <s v="R04"/>
    <x v="0"/>
    <s v="28/01 req masuk + support teruskan ke NOBU_x000a_29/01 DONE"/>
    <m/>
    <s v="Buka SOP 'REFUND QR NOBU'"/>
    <d v="2026-01-29T00:00:00"/>
    <x v="4"/>
  </r>
  <r>
    <s v="INC20260126169"/>
    <d v="2026-01-26T17:59:00"/>
    <s v="Email"/>
    <s v="kkd_ipm2@corp.bri.co.id"/>
    <s v="MOLINA"/>
    <s v="Request"/>
    <s v="VOA"/>
    <x v="4"/>
    <x v="5"/>
    <x v="167"/>
    <s v="BRI VOA"/>
    <s v="R02"/>
    <x v="0"/>
    <s v="26/01req masuk_x000a_27/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7T00:00:00"/>
    <x v="4"/>
  </r>
  <r>
    <s v="INC20260123170"/>
    <d v="2026-01-23T15:09:00"/>
    <s v="WA"/>
    <s v="-"/>
    <s v="PT Teknologi Awan Cerah"/>
    <s v="Request"/>
    <s v="VA"/>
    <x v="3"/>
    <x v="3"/>
    <x v="168"/>
    <s v="BNI"/>
    <s v="R01"/>
    <x v="0"/>
    <s v="23/01 Nobecul tanyakan status trx  8919101217399665 _x000a_23/01 Support cek di mbase status onprg namun pada db cancel _x000a_23/01 Support infokan team terkait_x000a_23/01 Support infokan sukses krn sudah setld"/>
    <s v="SOP #05"/>
    <s v="1. Pastikan merchant &amp; transaksi tersebut valid_x000a_2. Cek VA di apps.plink, bandingkan amount:_x000a__x0009_Amount sama → Update transaksi._x000a__x0009_Amount berbeda → Tidak bisa diupdate, informasikan ke merchant."/>
    <d v="2026-01-23T15:48:00"/>
    <x v="4"/>
  </r>
  <r>
    <s v="INC20260123171"/>
    <d v="2026-01-23T15:22:00"/>
    <s v="WA"/>
    <s v="-"/>
    <s v="PT ENVOIZ DIGITAL INDONESIA"/>
    <s v="Request"/>
    <s v="VA"/>
    <x v="3"/>
    <x v="3"/>
    <x v="169"/>
    <s v="BNI"/>
    <s v="R01"/>
    <x v="0"/>
    <s v="23/01 Envoiz tanyakan status trx  8919101249933262 _x000a_8919101249354527  _x000a_23/01 Support cek di mbase status onprg namun pada db cancel _x000a_23/01 Support infokan team terkait_x000a_23/01 Support infokan untuk va _x000a_8919101249933262 sukses karena sudah setld di dashboard 23/01 Support infokan untuk va _x000a_8919101249354527 sukses karena sudah setld di dashboard"/>
    <s v="SOP #05"/>
    <s v="1. Pastikan merchant &amp; transaksi tersebut valid_x000a_2. Cek VA di apps.plink, bandingkan amount:_x000a__x0009_Amount sama → Update transaksi._x000a__x0009_Amount berbeda → Tidak bisa diupdate, informasikan ke merchant."/>
    <d v="2026-01-23T15:59:00"/>
    <x v="4"/>
  </r>
  <r>
    <s v="INC20260123172"/>
    <d v="2026-01-23T15:47:00"/>
    <s v="WA"/>
    <s v="-"/>
    <s v="PT Daya Net Gemilang"/>
    <s v="Request"/>
    <s v="VA"/>
    <x v="3"/>
    <x v="4"/>
    <x v="170"/>
    <s v="BRI"/>
    <s v="R01"/>
    <x v="0"/>
    <s v="23/01 Dayanet tanyakan status trx  4041910125089630_x000a_23/01 Support cek di mbase status miss pada db no result_x000a_23/01 Support infokan team terkait_x000a_23/01 Support infokan trx tersebut tidak ada"/>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16:01:00"/>
    <x v="4"/>
  </r>
  <r>
    <s v="INC20260123173"/>
    <d v="2026-01-23T16:04:00"/>
    <s v="WA"/>
    <s v="-"/>
    <s v="PT Daya Net Gemilang"/>
    <s v="Request"/>
    <s v="VA"/>
    <x v="3"/>
    <x v="4"/>
    <x v="171"/>
    <s v="BCA"/>
    <s v="R01"/>
    <x v="0"/>
    <s v="23/01 DNT tanyakan status trx 7900125000040510 / NACL1327032681_x000a_23/01 Support cek di mbase status cancel CANCLSCHEDULER dan db cancel_x000a_23/01 Info ko daniel gagal karena beda amou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16:32:00"/>
    <x v="4"/>
  </r>
  <r>
    <s v="INC20260123174"/>
    <d v="2026-01-23T17:07:00"/>
    <s v="WA"/>
    <s v="-"/>
    <s v="PT Daya Net Gemilang"/>
    <s v="Request"/>
    <s v="VA"/>
    <x v="3"/>
    <x v="4"/>
    <x v="172"/>
    <s v="BCA"/>
    <s v="R01"/>
    <x v="0"/>
    <s v="23/01 DNT tanyakan status trx 7900125000073300 / NACL1327217086_x000a_23/01 Support cek di mbase dan db status aprrvd_x000a_23/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19:06:00"/>
    <x v="4"/>
  </r>
  <r>
    <s v="INC20260123175"/>
    <d v="2026-01-23T19:06:00"/>
    <s v="WA"/>
    <s v="-"/>
    <s v="PT Teknologi Awan Cerah"/>
    <s v="Request"/>
    <s v="VA"/>
    <x v="3"/>
    <x v="4"/>
    <x v="173"/>
    <s v="BNI"/>
    <s v="R01"/>
    <x v="0"/>
    <s v="23/01 Nobecul tanyakan status trx 8919101217001496_x000a_23/01 Support up BNI_x000a_23/01 BNI infokan sudah berhasil callback_x000a_23/01 Support cek mbase dan db stts apprvd,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20:44:00"/>
    <x v="4"/>
  </r>
  <r>
    <s v="INC20260123176"/>
    <d v="2026-01-23T20:22:00"/>
    <s v="WA"/>
    <s v="-"/>
    <s v="PT Teknologi Awan Cerah"/>
    <s v="Request"/>
    <s v="VA"/>
    <x v="3"/>
    <x v="4"/>
    <x v="174"/>
    <s v="BNI"/>
    <s v="R01"/>
    <x v="0"/>
    <s v="23/01 Nobecul tanyakan status trx 8919101217693028_x000a_23/01 Support up BNI_x000a_23/01 BNI infokan sudah berhasil callback_x000a_23/01 Support cek mbase dan db stts apprvd,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20:44:00"/>
    <x v="4"/>
  </r>
  <r>
    <s v="INC20260123177"/>
    <d v="2026-01-23T20:23:00"/>
    <s v="WA"/>
    <s v="-"/>
    <s v="PT Teknologi Awan Cerah"/>
    <s v="Request"/>
    <s v="VA"/>
    <x v="3"/>
    <x v="4"/>
    <x v="175"/>
    <s v="BNI"/>
    <s v="R01"/>
    <x v="0"/>
    <s v="23/01 Nobecul tanyakan status trx 8919101217693028_x000a_23/01 Support up BNI_x000a_23/01 BNI infokan sudah berhasil callback_x000a_23/01 Support cek mbase dan db stts apprvd,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3T20:44:00"/>
    <x v="4"/>
  </r>
  <r>
    <s v="INC20260125178"/>
    <d v="2026-01-25T13:09:00"/>
    <s v="WA"/>
    <s v="-"/>
    <s v="MOLINA"/>
    <s v="Request"/>
    <s v="VOA"/>
    <x v="3"/>
    <x v="4"/>
    <x v="176"/>
    <s v="BRI VOA"/>
    <s v="R02"/>
    <x v="0"/>
    <s v="25/01  tim imigrasai menanyakan trx berhasil atau tidak_x000a_25/01 support cek di mbase dan pcs, status trx declined_x000a_25/01 support infokan jika trx tersebut gagal, case closed"/>
    <m/>
    <m/>
    <d v="2026-01-25T13:20:00"/>
    <x v="4"/>
  </r>
  <r>
    <s v="INC20260125179"/>
    <d v="2026-01-25T13:42:00"/>
    <s v="WA"/>
    <s v="-"/>
    <s v="PT Teknologi Awan Cerah"/>
    <s v="Request"/>
    <s v="VA"/>
    <x v="3"/>
    <x v="4"/>
    <x v="177"/>
    <s v="BNI"/>
    <s v="R01"/>
    <x v="0"/>
    <s v="25/01 nobecul tanyakan status trx  NACL1330061384 // 8903910125040627 _x000a_25/01 Support cek di mbase status aoorv_x000a_25/01 Support infokan menunggu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5T13:45:00"/>
    <x v="4"/>
  </r>
  <r>
    <s v="INC20260125180"/>
    <d v="2026-01-25T21:50:00"/>
    <s v="WA"/>
    <s v="-"/>
    <s v="MOLINA"/>
    <s v="Request"/>
    <s v="VOA"/>
    <x v="3"/>
    <x v="4"/>
    <x v="178"/>
    <s v="BRI VOA"/>
    <s v="R02"/>
    <x v="0"/>
    <s v="25/01  tim imigrasai menanyakan trx berhasil atau tidak_x000a_25/01 support cek di mbase dan pcs, status trx declined_x000a_25/01 support infokan jika trx tersebut gagal, case closed"/>
    <s v="SOP #06"/>
    <s v="1. Pastikan merchant valid_x000a_2. Check MBASE dan PCS_x000a_3.  Memastikan status transaksi pada Dashboard_x000a_     IF &quot;Transaksi REJECT&quot;,  then &quot;Infokan GAGAL&quot;_x000a_     IF &quot;Transaksi SUKSES&quot;,  then &quot;Infokan SUKSES&quot;"/>
    <d v="2025-01-25T21:53:00"/>
    <x v="4"/>
  </r>
  <r>
    <s v="INC20260126181"/>
    <d v="2026-01-26T00:49:00"/>
    <s v="WA"/>
    <s v="-"/>
    <s v="PT Teknologi Awan Cerah"/>
    <s v="Request"/>
    <s v="VA"/>
    <x v="3"/>
    <x v="4"/>
    <x v="179"/>
    <s v="BCA"/>
    <s v="R01"/>
    <x v="0"/>
    <s v="25/01 nobecul tanyakan status trx 7900121700083691_x000a_25/01 Support cek di mbase apprvd namun db stts pending_x000a_25/01 Support infokan tunggu rekon_x000a_26/01 pada dashboard sudah sukses dan sudah di infokan ke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6T19:38:00"/>
    <x v="4"/>
  </r>
  <r>
    <s v="INC20260126182"/>
    <d v="2026-01-26T02:06:00"/>
    <s v="WA"/>
    <s v="-"/>
    <s v="PT Teknologi Awan Cerah"/>
    <s v="Request"/>
    <s v="VA"/>
    <x v="3"/>
    <x v="4"/>
    <x v="180"/>
    <s v="BCA"/>
    <s v="R01"/>
    <x v="0"/>
    <s v="25/01 nobecul tanyakan status trx 7900121700004701_x000a_25/01 Support cek di mbase apprvd namun db stts pending_x000a_25/01 Support infokan tunggu rekon_x000a_26/01 pada dashboard sudah sukses dan sudah di infokan ke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6T19:38:00"/>
    <x v="4"/>
  </r>
  <r>
    <s v="INC20260126183"/>
    <d v="2026-01-26T13:02:00"/>
    <s v="WA"/>
    <s v="-"/>
    <s v="PT Daya Net Gemilang"/>
    <s v="Request"/>
    <s v="VA"/>
    <x v="3"/>
    <x v="4"/>
    <x v="181"/>
    <s v="BCA"/>
    <s v="R01"/>
    <x v="0"/>
    <s v="26/01 DNT tanyakan status trx _x000a_NACL1331499631 / 7900125000077172  _x000a_26/01 Support cek di mbase apprvd _x000a_2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5-01-26T13:11:00"/>
    <x v="4"/>
  </r>
  <r>
    <s v="INC20260126184"/>
    <d v="2026-01-26T13:11:00"/>
    <s v="WA"/>
    <s v="-"/>
    <s v="PT Daya Net Gemilang"/>
    <s v="Request"/>
    <s v="VA"/>
    <x v="3"/>
    <x v="4"/>
    <x v="182"/>
    <s v="MANDIRI"/>
    <s v="R01"/>
    <x v="0"/>
    <s v="26/01 DNT tanyakan status trx _x000a_8903910125069742 - NACL1331499571                                     _x000a_8903910124933864 - NACL1331469037 _x000a_26/01 Support cek di mbase apprvd 8903910125069742 dan satu lagi 8903910124933864 bukan trx merchant tersebut_x000a_26/01 Infokan sesuai hasil pengecekan"/>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5-01-26T13:17:00"/>
    <x v="4"/>
  </r>
  <r>
    <s v="INC20260126185"/>
    <d v="2026-01-26T13:46:00"/>
    <s v="WA"/>
    <s v="-"/>
    <s v="PT Daya Net Gemilang"/>
    <s v="Request"/>
    <s v="VA"/>
    <x v="3"/>
    <x v="4"/>
    <x v="151"/>
    <s v="BCA"/>
    <s v="R01"/>
    <x v="0"/>
    <s v="26/01 K Voucher tanyakan status trx _x000a_7900119200400116_x000a_26/01 Support cek di operator trx setld_x000a_26/01 Infokan sesuai hasil pengecekan"/>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5-01-26T13:54:00"/>
    <x v="4"/>
  </r>
  <r>
    <s v="INC20260126186"/>
    <d v="2026-01-26T16:48:00"/>
    <s v="WA"/>
    <s v="-"/>
    <s v="PT Daya Net Gemilang"/>
    <s v="Request"/>
    <s v="VA"/>
    <x v="3"/>
    <x v="4"/>
    <x v="183"/>
    <s v="BCA"/>
    <s v="R01"/>
    <x v="0"/>
    <s v="26/01 Dayanet tanyakan status trx  7900125000056914  _x000a_26/01 Support cek di mbase no result_x000a_26/01 Support infokan menunggu rekon esok hari_x000a_27/01 Info dari rekon dananya tidak ada_x000a_27/01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7T10:48:00"/>
    <x v="4"/>
  </r>
  <r>
    <s v="INC20260126187"/>
    <d v="2026-01-26T18:25:00"/>
    <s v="WA"/>
    <s v="-"/>
    <s v="PT Daya Net Gemilang"/>
    <s v="Request"/>
    <s v="VA"/>
    <x v="3"/>
    <x v="4"/>
    <x v="184"/>
    <s v="BCA_x000a_BRI"/>
    <s v="R01"/>
    <x v="0"/>
    <s v="26/01 Dayanet tanyakan status trx  4041910125061742 // NACL1331498692_x000a_7900125000009069 // NACL1331498558  _x000a_26/01 Support cek di mbase APRV_x000a_26/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6T13:45:00"/>
    <x v="4"/>
  </r>
  <r>
    <s v="INC20260126188"/>
    <d v="2026-01-26T19:41:00"/>
    <s v="WA"/>
    <s v="-"/>
    <s v="PT ENVOIZ DIGITAL INDONESIA"/>
    <s v="Request"/>
    <s v="VA"/>
    <x v="3"/>
    <x v="3"/>
    <x v="185"/>
    <s v="BRI"/>
    <s v="R01"/>
    <x v="0"/>
    <s v="26/01 envoiz tanyakan status trx  4041910124967730   _x000a_26/01 Support cek di mbase no result_x000a_26/01 Support infokan menunggu rekon esok hari (updated sukses)"/>
    <s v="SOP #05"/>
    <s v="1. Pastikan merchant &amp; transaksi tersebut valid_x000a_2. Cek VA di apps.plink, bandingkan amount:_x000a__x0009_Amount sama → Update transaksi._x000a__x0009_Amount berbeda → Tidak bisa diupdate, informasikan ke merchant."/>
    <d v="2026-01-27T16:11:00"/>
    <x v="4"/>
  </r>
  <r>
    <s v="INC20260126189"/>
    <d v="2026-01-26T20:08:00"/>
    <s v="WA"/>
    <s v="-"/>
    <s v="Pergiyuks"/>
    <s v="Request"/>
    <s v="VA"/>
    <x v="3"/>
    <x v="4"/>
    <x v="186"/>
    <s v="NOBU"/>
    <s v="R01"/>
    <x v="0"/>
    <s v="26/01 pergiyuks tanyakan status trx  001746988257_x000a_26/01 Support fu ke nobu, info nobu trx gagal 26/01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6T20:25:00"/>
    <x v="4"/>
  </r>
  <r>
    <s v="INC20260127190"/>
    <d v="2026-01-27T02:03:00"/>
    <s v="WA"/>
    <s v="-"/>
    <s v="PT Teknologi Awan Cerah"/>
    <s v="Request"/>
    <s v="VA"/>
    <x v="3"/>
    <x v="3"/>
    <x v="187"/>
    <s v="BCA"/>
    <s v="R01"/>
    <x v="0"/>
    <s v="27/01 Nobecul tanyakan status trx  7900121700082166_x000a_27/01 Support cek di mbase no result_x000a_27/01 Support infokan menunggu rekon_x000a_27/01 Info dari rekon dananya sudah settle_x000a_27/01 Support infokan trx sukses"/>
    <s v="SOP #05"/>
    <s v="1. Pastikan merchant &amp; transaksi tersebut valid_x000a_2. Cek VA di apps.plink, bandingkan amount:_x000a__x0009_Amount sama → Update transaksi._x000a__x0009_Amount berbeda → Tidak bisa diupdate, informasikan ke merchant."/>
    <d v="2026-01-27T10:50:00"/>
    <x v="4"/>
  </r>
  <r>
    <s v="INC20260127191"/>
    <d v="2026-01-27T10:33:00"/>
    <s v="WA"/>
    <s v="-"/>
    <s v="Tripay"/>
    <s v="Request"/>
    <s v="VA"/>
    <x v="3"/>
    <x v="4"/>
    <x v="188"/>
    <s v="BRI"/>
    <s v="R01"/>
    <x v="0"/>
    <s v="27/01 Tripay tanyakan status trx 4041910117952239_x000a_27/01 Support cek di mbase ada 2 dana dan stts aprvd_x000a_27/01 Support up team rekon dan rekon infokan sudah settle tgl 6 &amp; 8 _x000a_27/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7T10:57:00"/>
    <x v="4"/>
  </r>
  <r>
    <s v="INC20260127192"/>
    <d v="2026-01-27T11:46:00"/>
    <s v="WA"/>
    <s v="-"/>
    <s v="PT Kreasi Kode Kreatif"/>
    <s v="Request"/>
    <s v="VA"/>
    <x v="3"/>
    <x v="4"/>
    <x v="151"/>
    <s v="BCA"/>
    <s v="R01"/>
    <x v="0"/>
    <s v="27/01 K Voucher tanyakan status trx 7900119200400116_x000a_27/01 Support cek di mbase status aprvd_x000a_27/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7T13:54:00"/>
    <x v="4"/>
  </r>
  <r>
    <s v="INC20260127193"/>
    <d v="2026-01-27T13:56:00"/>
    <s v="WA"/>
    <s v="-"/>
    <s v="PT Daya Net Gemilang"/>
    <s v="Request"/>
    <s v="VA"/>
    <x v="3"/>
    <x v="4"/>
    <x v="189"/>
    <s v="MANDIRI"/>
    <s v="R01"/>
    <x v="0"/>
    <s v="27/01 DNT tanyakan status trx _x000a_8903910125030001 and ID NACL1332628995   _x000a_27/01 Support cek di mbase status aprvd_x000a_27/01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7T11:58:00"/>
    <x v="4"/>
  </r>
  <r>
    <s v="INC20260127194"/>
    <d v="2026-01-27T20:48:00"/>
    <s v="WA"/>
    <s v="-"/>
    <s v="PT Daya Net Gemilang"/>
    <s v="Request"/>
    <s v="VA"/>
    <x v="3"/>
    <x v="4"/>
    <x v="190"/>
    <s v="BCA"/>
    <s v="R01"/>
    <x v="0"/>
    <s v="27/01 K dayanet tanyakan status trx 7900125000092794_x000a_27/01 Support cek di mbase status error_x000a_27/01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7T20:55:00"/>
    <x v="4"/>
  </r>
  <r>
    <s v="INC20260127195"/>
    <d v="2026-01-27T21:19:00"/>
    <s v="WA"/>
    <s v="-"/>
    <s v="MOLINA"/>
    <s v="Request"/>
    <s v="VOA"/>
    <x v="3"/>
    <x v="4"/>
    <x v="191"/>
    <s v="BRI VOA"/>
    <s v="R02"/>
    <x v="0"/>
    <s v="27/01  tim imigrasai menanyakan trx berhasil atau tidak_x000a_27/01 support cek di mbase dan pcs, status trx declined_x000a_27/01 support infokan jika trx tersebut gagal, case closed"/>
    <s v="SOP #08"/>
    <s v="1. Pastikan merchant valid_x000a_2. Check MBASE dan PCS_x000a_3.  Memastikan status transaksi pada Dashboard_x000a_     IF &quot;Transaksi REJECT&quot;,  then &quot;Infokan GAGAL&quot;_x000a_     IF &quot;Transaksi SUKSES&quot;,  then &quot;Infokan SUKSES&quot;"/>
    <d v="2026-01-27T21:22:00"/>
    <x v="4"/>
  </r>
  <r>
    <s v="INC20260128196"/>
    <d v="2026-01-28T11:22:00"/>
    <s v="Email"/>
    <s v="CHARLES GREENWALD &lt;charles.greenwald@fedex.com&gt;"/>
    <s v="MOLINA"/>
    <s v="Request"/>
    <s v="VOA"/>
    <x v="4"/>
    <x v="5"/>
    <x v="192"/>
    <s v="BRI VOA"/>
    <s v="R02"/>
    <x v="0"/>
    <s v="28/01 req masuk meminta proof of payment_x000a_28/01 support meminta info cc yang digunakan_x000a_28/01 cust melampirkan cc yang digunakan_x000a_29/01 belum ada update_x000a_03/02 cust melampirkan cc + support melampirkan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4"/>
  </r>
  <r>
    <s v="INC20260128197"/>
    <d v="2026-01-28T13:02:00"/>
    <s v="Email"/>
    <s v="Emma Harris &lt;erh116166@icloud.com&gt;"/>
    <s v="MOLINA"/>
    <s v="Request"/>
    <s v="VOA"/>
    <x v="4"/>
    <x v="5"/>
    <x v="193"/>
    <s v="BRI VOA"/>
    <s v="R02"/>
    <x v="0"/>
    <s v="28/01 req masuk menanyakan refund karena trx gagal_x000a_28/01 support meminta info cc yang digunakan_x000a_28/01 cust melampirkan info cc yang digunakan_x000a_28/01 support infokan jika no cc tersebut tidak terdaftar, jika customer merasa dana terpotong sarankan agar customer menghubungi bank penyedi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8T00:00:00"/>
    <x v="4"/>
  </r>
  <r>
    <s v="INC20260128198"/>
    <d v="2026-01-28T13:12:00"/>
    <s v="Email"/>
    <s v="Tayla Stephens &lt;tayla.stephens@icloud.com&gt;"/>
    <s v="MOLINA"/>
    <s v="Request"/>
    <s v="VOA"/>
    <x v="4"/>
    <x v="5"/>
    <x v="193"/>
    <s v="BRI VOA"/>
    <s v="R02"/>
    <x v="0"/>
    <s v="28/01 req masuk dana terpotong tapi EVISA belum diterima_x000a_28/01 support meminta info cc yang digunakan_x000a_28/01 cust melampirkan info cc yang digunakan_x000a_28/01 support infokan jika tidaka da trx sukses untuk cc tersebut dan sarankan agar cust coba lagi"/>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8T00:00:00"/>
    <x v="4"/>
  </r>
  <r>
    <s v="INC20260128199"/>
    <d v="2026-01-28T15:50:00"/>
    <s v="Email"/>
    <s v="Ebanking non kartu &lt;fraudnonkartu.ord@corp.bri.co.id&gt;"/>
    <s v="PT Daya Net Gemilang"/>
    <s v="Issue"/>
    <s v="VA"/>
    <x v="2"/>
    <x v="2"/>
    <x v="194"/>
    <s v="BCA"/>
    <s v="C01"/>
    <x v="0"/>
    <s v="28/01 req masuk + support meminta kronologis dkk_x000a_29/01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4"/>
  </r>
  <r>
    <s v="INC20260128200"/>
    <d v="2026-01-28T17:58:00"/>
    <s v="Email"/>
    <s v="keluhan_payment@bca.co.id"/>
    <s v="PT Kreasi Kode Kreatif"/>
    <s v="Request"/>
    <s v="VA"/>
    <x v="3"/>
    <x v="4"/>
    <x v="195"/>
    <s v="BCA"/>
    <s v="R01"/>
    <x v="0"/>
    <s v="28/01 req masuk + support infokan jika trx status nya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8T00:00:00"/>
    <x v="4"/>
  </r>
  <r>
    <s v="INC20260129201"/>
    <d v="2026-01-29T10:05:00"/>
    <s v="Email"/>
    <s v="Distribusi Lancar Jaya &lt;distribusilancarjaya@gmail.com&gt;"/>
    <s v="Jatimpark Vending Mechine"/>
    <s v="Request"/>
    <s v="QR"/>
    <x v="0"/>
    <x v="0"/>
    <x v="196"/>
    <s v="NOBU"/>
    <s v="R04"/>
    <x v="0"/>
    <s v="29/01 req masuk + support teruskan ke NOBU_x000a_30/01 DONE"/>
    <m/>
    <s v="Buka SOP 'REFUND QR NOBU'"/>
    <d v="2026-01-30T00:00:00"/>
    <x v="4"/>
  </r>
  <r>
    <s v="INC20260128202"/>
    <d v="2026-01-28T13:43:00"/>
    <s v="WA"/>
    <s v="-"/>
    <s v="MOLINA"/>
    <s v="Request"/>
    <s v="VOA"/>
    <x v="3"/>
    <x v="4"/>
    <x v="197"/>
    <s v="BRI VOA"/>
    <s v="R02"/>
    <x v="0"/>
    <s v="28/01  tim imigrasai menanyakan trx dengan no regist 2280126B1521348_x000a_28/01 support cek di mbase ada dan stts nya onprg_x000a_28/01 support infokan bahwa trx failed karena usernya tidak melanjutkan proses payment"/>
    <s v="SOP #08"/>
    <s v="1. Pastikan merchant valid_x000a_2. Check MBASE dan PCS_x000a_3.  Memastikan status transaksi pada Dashboard_x000a_     IF &quot;Transaksi REJECT&quot;,  then &quot;Infokan GAGAL&quot;_x000a_     IF &quot;Transaksi SUKSES&quot;,  then &quot;Infokan SUKSES&quot;"/>
    <d v="2026-01-28T13:50:00"/>
    <x v="4"/>
  </r>
  <r>
    <s v="INC20260129203"/>
    <d v="2026-01-29T08:55:00"/>
    <s v="WA"/>
    <s v="-"/>
    <s v="PT Bali Dawaves Surf"/>
    <s v="Request"/>
    <s v="CC"/>
    <x v="3"/>
    <x v="4"/>
    <x v="198"/>
    <s v="BCA"/>
    <s v="R01"/>
    <x v="0"/>
    <s v="29/01  Nebesa menanyakan trx dengan no regist 487410**4576_x000a_432338**5118_x000a_29/01 support cek di mbase ada dan stts nya eror reject_x000a_29/01 support infokan bahwa trx failed karena kartu terblocked karena negara ukraina (high risk country)"/>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4"/>
  </r>
  <r>
    <s v="INC20260129204"/>
    <d v="2026-01-29T11:11:00"/>
    <s v="Email"/>
    <s v="keluhan_payment@bca.co.id"/>
    <s v="PT Daya Net Gemilang"/>
    <s v="Issue"/>
    <s v="VA"/>
    <x v="2"/>
    <x v="2"/>
    <x v="199"/>
    <s v="BCA"/>
    <s v="R01"/>
    <x v="0"/>
    <s v="29/01 req masuk + support meminta kronologis dkk"/>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4"/>
  </r>
  <r>
    <s v="INC20260129205"/>
    <d v="2026-01-29T15:37:00"/>
    <s v="Email"/>
    <s v="Thomas Higgs &lt;tomhiggs94@gmail.com&gt;"/>
    <s v="MOLINA"/>
    <s v="Request"/>
    <s v="VOA"/>
    <x v="4"/>
    <x v="5"/>
    <x v="200"/>
    <s v="BRI VOA"/>
    <s v="R02"/>
    <x v="0"/>
    <s v="29/01 req refund_x000a_29/01 support info trx tersebut status failed jadi customer bisa check berkal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29T00:00:00"/>
    <x v="5"/>
  </r>
  <r>
    <s v="INC20260129206"/>
    <d v="2026-01-29T18:00:00"/>
    <s v="Email"/>
    <s v="keluhan_payment@bca.co.id"/>
    <s v="PT Daya Net Gemilang"/>
    <s v="Request"/>
    <s v="VA"/>
    <x v="3"/>
    <x v="4"/>
    <x v="201"/>
    <s v="BCA"/>
    <s v="R01"/>
    <x v="0"/>
    <s v="29/01 req masuk + support konfim rekon perihal dana_x000a_30/01 rekon konfirm jika dana belum dilimpahkan_x000a_30/01 support request finance untuk tf ke rekening penampung BCA_x000a_30/01 finance tf ke rekening penampung BCA_x000a_30/01 DONE"/>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30T00:00:00"/>
    <x v="5"/>
  </r>
  <r>
    <s v="INC20260130207"/>
    <d v="2026-01-30T08:25:00"/>
    <s v="Email"/>
    <s v="Distribusi Lancar Jaya &lt;distribusilancarjaya@gmail.com&gt;"/>
    <s v="Jatimpark Vending Mechine"/>
    <s v="Request"/>
    <s v="QR"/>
    <x v="0"/>
    <x v="0"/>
    <x v="202"/>
    <s v="NOBU"/>
    <s v="R04"/>
    <x v="0"/>
    <s v="30/01 req masuk + support teruskan ke NOBU_x000a_30/01 DONE"/>
    <m/>
    <s v="Buka SOP 'REFUND QR NOBU'"/>
    <s v="30/02/2026"/>
    <x v="5"/>
  </r>
  <r>
    <s v="INC20260130208"/>
    <d v="2026-01-30T09:21:00"/>
    <s v="Email"/>
    <s v="chargebackops.acq@corp.bri.co.id"/>
    <s v="MOLINA"/>
    <s v="Request"/>
    <s v="VOA"/>
    <x v="4"/>
    <x v="5"/>
    <x v="203"/>
    <s v="BRI VOA"/>
    <s v="R02"/>
    <x v="0"/>
    <s v="30/01 req masuk_x000a_30/01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1-30T00:00:00"/>
    <x v="5"/>
  </r>
  <r>
    <s v="INC20260130209"/>
    <d v="2026-01-30T16:20:00"/>
    <s v="Email"/>
    <s v="kkd_ipm2@corp.bri.co.id"/>
    <s v="MOLINA"/>
    <s v="Request"/>
    <s v="VOA"/>
    <x v="4"/>
    <x v="5"/>
    <x v="204"/>
    <s v="BRI VOA"/>
    <s v="R02"/>
    <x v="0"/>
    <s v="30/01 req masuk_x000a_0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130210"/>
    <d v="2026-01-30T16:23:00"/>
    <s v="Email"/>
    <s v="kkd_ipm2@corp.bri.co.id"/>
    <s v="PT Cerdik Karya Gemilang"/>
    <s v="Request"/>
    <s v="VOA"/>
    <x v="4"/>
    <x v="5"/>
    <x v="205"/>
    <s v="BRI VOA"/>
    <s v="R02"/>
    <x v="0"/>
    <s v="30/01 req masuk + support teruskan ke cerdik_x000a_30/01 support teruskan ke cerdik + teruskan request hold dana ke finance_x000a_03/02 DONE_x000a_19/02 BRI info akan lakukan pendebetan karena lewat due date_x000a_20/02 support infokan jika sudah kirim bukti tgl 03/02"/>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130211"/>
    <d v="2026-01-30T16:22:00"/>
    <s v="Email"/>
    <s v="kkd_ipm2@corp.bri.co.id"/>
    <s v="MOLINA"/>
    <s v="Request"/>
    <s v="VOA"/>
    <x v="4"/>
    <x v="5"/>
    <x v="206"/>
    <s v="BRI VOA"/>
    <s v="R02"/>
    <x v="0"/>
    <s v="30/01 req masuk_x000a_0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130212"/>
    <d v="2026-01-30T17:49:00"/>
    <s v="Email"/>
    <s v="Dylan Niel &lt;dylan.niel@icloud.com&gt;"/>
    <s v="MOLINA"/>
    <s v="Request"/>
    <s v="VOA"/>
    <x v="4"/>
    <x v="5"/>
    <x v="207"/>
    <s v="BRI VOA"/>
    <s v="R02"/>
    <x v="0"/>
    <s v="30/01 req masuk dengan customer infokan jika melakukan pembayaran 3x untuk 2 visa_x000a_30/01 support meminta info cc yang digunakan_x000a_04/02 belum ada updat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5"/>
  </r>
  <r>
    <s v="INC20260202213"/>
    <d v="2026-02-02T02:17:00"/>
    <s v="Email"/>
    <s v="Zhu Davide &lt;davidezhu@hotmail.com&gt;"/>
    <s v="MOLINA"/>
    <s v="Request"/>
    <s v="VOA"/>
    <x v="4"/>
    <x v="5"/>
    <x v="208"/>
    <s v="BRI VOA"/>
    <s v="R02"/>
    <x v="0"/>
    <s v="02/02 req masuk infokan jika sudah proses payment dan meminta refund &amp; verifikasi sttatus trx tersebut_x000a_02/02 support infokan jika trx tersebut sukses &amp; tidak bisa melakukan refund "/>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2T00:00:00"/>
    <x v="5"/>
  </r>
  <r>
    <s v="INC20260202214"/>
    <d v="2026-02-02T08:36:00"/>
    <s v="Email"/>
    <s v="Distribusi Lancar Jaya &lt;distribusilancarjaya@gmail.com&gt;"/>
    <s v="Jatimpark Vending Mechine"/>
    <s v="Request"/>
    <s v="QR"/>
    <x v="0"/>
    <x v="0"/>
    <x v="209"/>
    <s v="NOBU"/>
    <s v="R04"/>
    <x v="0"/>
    <s v="02/02 req masuk + support teruskan ke NOBU_x000a_02/02 DONE"/>
    <m/>
    <s v="Buka SOP 'REFUND QR NOBU'"/>
    <d v="2026-02-02T00:00:00"/>
    <x v="5"/>
  </r>
  <r>
    <s v="INC20260129215"/>
    <d v="2026-01-29T09:33:00"/>
    <s v="WA"/>
    <s v="-"/>
    <s v="PT Bali Dawaves Surf"/>
    <s v="Request"/>
    <s v="CC"/>
    <x v="3"/>
    <x v="4"/>
    <x v="210"/>
    <s v="BCA"/>
    <s v="R01"/>
    <x v="0"/>
    <s v="29/01  Da waves surf menanyakan trx dengan no cc 535240**5146_x000a_29/01 support cek di mbase ada dan stts aprvd_x000a_29/01 support infokan bahwa trx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9T09:46:00"/>
    <x v="5"/>
  </r>
  <r>
    <s v="INC20260129216"/>
    <d v="2026-01-29T16:20:00"/>
    <s v="WA"/>
    <s v="-"/>
    <s v="PT Daya Net Gemilang"/>
    <s v="Request"/>
    <s v="VA"/>
    <x v="3"/>
    <x v="4"/>
    <x v="211"/>
    <s v="BCA"/>
    <s v="R01"/>
    <x v="0"/>
    <s v="29/01 DNT tanyakan trx 7900125000059771 / NACL1336288846_x000a_29/01 Support cek di mbase reject dan di db cancel_x000a_29/01 Support up rekon dan rekon infokan dana tidak ada_x000a_29/01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29T16:32:00"/>
    <x v="5"/>
  </r>
  <r>
    <s v="INC20260129217"/>
    <d v="2026-01-29T22:35:00"/>
    <s v="WA"/>
    <s v="-"/>
    <s v="PT Teknologi Awan Cerah"/>
    <s v="Request"/>
    <s v="VA"/>
    <x v="3"/>
    <x v="4"/>
    <x v="212"/>
    <s v="BCA"/>
    <s v="R01"/>
    <x v="0"/>
    <s v="29/01 Nobecul tanyakan trx 7900121700017780_x000a_29/01 Support cek di mbase stts onprg_x000a_29/01 Support infokan tunggu rekon_x000a_30/01 Support infokan ke team terkait untuk update_x000a_30/01 Support infokan sukses krn di db sudah setld"/>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30T14:46:00"/>
    <x v="5"/>
  </r>
  <r>
    <s v="INC20260130218"/>
    <d v="2026-01-30T08:49:00"/>
    <s v="WA"/>
    <s v="-"/>
    <s v="PT Daya Net Gemilang"/>
    <s v="Request"/>
    <s v="VA"/>
    <x v="3"/>
    <x v="4"/>
    <x v="213"/>
    <s v="BCA"/>
    <s v="R01"/>
    <x v="0"/>
    <s v="30/01 DNT tanyakan trx 7900125000004746 _x000a_30/01 Support cek di mbase approve_x000a_30/01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30T08:52:00"/>
    <x v="5"/>
  </r>
  <r>
    <s v="INC20260130219"/>
    <d v="2026-01-30T15:02:00"/>
    <s v="WA"/>
    <s v="-"/>
    <s v="PT Daya Net Gemilang"/>
    <s v="Request"/>
    <s v="VA"/>
    <x v="3"/>
    <x v="4"/>
    <x v="214"/>
    <s v="BRI"/>
    <s v="R01"/>
    <x v="0"/>
    <s v="30/01 Dayanet tanyakan trx 4041910125039671 / NACL1339605458 _x000a_30/01 Support cek di mbase approve_x000a_30/01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1-30T15:06:00"/>
    <x v="5"/>
  </r>
  <r>
    <s v="INC20260201220"/>
    <d v="2026-02-01T20:02:00"/>
    <s v="WA"/>
    <s v="-"/>
    <s v="Tripay"/>
    <s v="Request"/>
    <s v="VA"/>
    <x v="3"/>
    <x v="4"/>
    <x v="215"/>
    <s v="BCA"/>
    <s v="R01"/>
    <x v="0"/>
    <s v="01/02 Tripay tanyakan trx 7900117900065714_x000a_01/02 Support cek di mbase eror reject_x000a_01/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1T20:51:00"/>
    <x v="5"/>
  </r>
  <r>
    <s v="INC20260203221"/>
    <d v="2026-02-03T08:39:00"/>
    <s v="Email"/>
    <s v="Distribusi Lancar Jaya &lt;distribusilancarjaya@gmail.com&gt;"/>
    <s v="Jatimpark Vending Mechine"/>
    <s v="Request"/>
    <s v="QR"/>
    <x v="0"/>
    <x v="0"/>
    <x v="216"/>
    <s v="NOBU"/>
    <s v="R04"/>
    <x v="0"/>
    <s v="03/02 req masuk + support teruskan ke NOBU_x000a_03/02 DONE"/>
    <m/>
    <s v="Buka SOP 'REFUND QR NOBU'"/>
    <d v="2026-02-03T00:00:00"/>
    <x v="5"/>
  </r>
  <r>
    <s v="INC20260203222"/>
    <d v="2026-02-03T09:05:00"/>
    <s v="Email"/>
    <s v="chargebackops.acq@corp.bri.co.id"/>
    <s v="MOLINA"/>
    <s v="Request"/>
    <s v="VOA"/>
    <x v="4"/>
    <x v="5"/>
    <x v="217"/>
    <s v="BRI VOA"/>
    <s v="R02"/>
    <x v="0"/>
    <s v="03/02 req masuk_x000a_0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203223"/>
    <d v="2026-02-03T09:40:00"/>
    <s v="Email"/>
    <s v="kkd_ipm2@corp.bri.co.id"/>
    <s v="MOLINA"/>
    <s v="Request"/>
    <s v="VOA"/>
    <x v="1"/>
    <x v="1"/>
    <x v="218"/>
    <s v="BRI VOA"/>
    <s v="R02"/>
    <x v="0"/>
    <s v="03/02 KKD KONFIRMASI Pre-Arbitrasi _x000a_03/02 Support infokan jika terdapat request Pre-Arb dari Bank"/>
    <m/>
    <m/>
    <m/>
    <x v="5"/>
  </r>
  <r>
    <s v="INC20260203224"/>
    <d v="2026-02-03T14:15:00"/>
    <s v="Email"/>
    <s v="keluhan_payment@bca.co.id"/>
    <s v="PT Kreasi Kode Kreatif_x000a_PT TEKNOLOGI AWAN CERAH"/>
    <s v="Issue"/>
    <s v="VA"/>
    <x v="2"/>
    <x v="2"/>
    <x v="219"/>
    <s v="BCA"/>
    <s v="C01"/>
    <x v="0"/>
    <s v="03/02 req masuk + support meminta kronologis dkk_x000a_04/02 belum ada update_x000a_10/02 bca melampirkan kronologi tp data yang dilampirkan salah"/>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03225"/>
    <d v="2026-02-03T15:07:00"/>
    <s v="Email"/>
    <s v="kkd_ipm2@corp.bri.co.id"/>
    <s v="MOLINA"/>
    <s v="Request"/>
    <s v="VOA"/>
    <x v="4"/>
    <x v="5"/>
    <x v="220"/>
    <s v="BRI VOA"/>
    <s v="R02"/>
    <x v="0"/>
    <s v="03/02 req masuk_x000a_0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203226"/>
    <d v="2026-02-03T16:03:00"/>
    <s v="Email"/>
    <s v="Ziva Steckyte &lt;stz@vistajet.com&gt;"/>
    <s v="MOLINA"/>
    <s v="Request"/>
    <s v="VOA"/>
    <x v="4"/>
    <x v="5"/>
    <x v="221"/>
    <s v="BRI VOA"/>
    <s v="R02"/>
    <x v="0"/>
    <s v="03/02 req masuk request payment receipt_x000a_0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204227"/>
    <d v="2026-02-04T06:33:00"/>
    <s v="Email"/>
    <s v="Lisa Lorena &lt;lisalorena.4500@gmail.com&gt;"/>
    <s v="MOLINA"/>
    <s v="Request"/>
    <s v="VOA"/>
    <x v="3"/>
    <x v="4"/>
    <x v="222"/>
    <s v="BRI VOA"/>
    <s v="R02"/>
    <x v="0"/>
    <s v="04/02 req masuk + support meminta info cc yang digunakan_x000a_10/02 belum ada update"/>
    <s v="SOP #08"/>
    <s v="1. Pastikan merchant valid_x000a_2. Check MBASE dan PCS_x000a_3.  Memastikan status transaksi pada Dashboard_x000a_     IF &quot;Transaksi REJECT&quot;,  then &quot;Infokan GAGAL&quot;_x000a_     IF &quot;Transaksi SUKSES&quot;,  then &quot;Infokan SUKSES&quot;"/>
    <m/>
    <x v="5"/>
  </r>
  <r>
    <s v="INC20260203228"/>
    <d v="2026-02-03T15:05:00"/>
    <s v="Email"/>
    <s v="kkd_ipm2@corp.bri.co.id"/>
    <s v="MOLINA"/>
    <s v="Request"/>
    <s v="VOA"/>
    <x v="4"/>
    <x v="5"/>
    <x v="223"/>
    <s v="BRI VOA"/>
    <s v="R02"/>
    <x v="0"/>
    <s v="03/02 req masuk + support lampirkan EVOA"/>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03T00:00:00"/>
    <x v="5"/>
  </r>
  <r>
    <s v="INC20260202229"/>
    <d v="2026-02-02T15:24:00"/>
    <s v="WA"/>
    <s v="-"/>
    <s v="PT Daya Net Gemilang"/>
    <s v="Request"/>
    <s v="VA"/>
    <x v="3"/>
    <x v="4"/>
    <x v="224"/>
    <s v="-"/>
    <s v="R01"/>
    <x v="0"/>
    <s v="02/02 dayanet tanyakan trx NACL1345708453 _x000a_02/02 Support cek di mbase APPRV_x000a_02/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2T15:25:00"/>
    <x v="5"/>
  </r>
  <r>
    <s v="INC20260202230"/>
    <d v="2026-02-02T16:36:00"/>
    <s v="WA"/>
    <s v="-"/>
    <s v="PT Daya Net Gemilang"/>
    <s v="Request"/>
    <s v="VA"/>
    <x v="3"/>
    <x v="4"/>
    <x v="225"/>
    <s v="BCA"/>
    <s v="R01"/>
    <x v="0"/>
    <s v="02/02 dayanet tanyakan trx NACL1333952445 // 7900125000086973  _x000a_02/02 Support cek di mbase error_x000a_02/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2T16:43:00"/>
    <x v="5"/>
  </r>
  <r>
    <s v="INC20260202231"/>
    <d v="2026-02-02T16:37:00"/>
    <s v="WA"/>
    <s v="-"/>
    <s v="PT Wahana Pembayaran Digital"/>
    <s v="Request"/>
    <s v="VA"/>
    <x v="3"/>
    <x v="4"/>
    <x v="226"/>
    <s v="BRI"/>
    <s v="R01"/>
    <x v="0"/>
    <s v="02/02 PAYLABS tanyakan trx 4041913203100010   _x000a_02/02 Support cek di mbase appr_x000a_02/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2T16:45:00"/>
    <x v="5"/>
  </r>
  <r>
    <s v="INC20260202232"/>
    <d v="2026-02-02T07:23:00"/>
    <s v="WA"/>
    <s v="-"/>
    <s v="PT Teknologi Awan Cerah"/>
    <s v="Request"/>
    <s v="VA"/>
    <x v="3"/>
    <x v="4"/>
    <x v="227"/>
    <s v="BCA"/>
    <s v="R01"/>
    <x v="0"/>
    <s v="02/02 Nobcul tanyakan trx 7900121700015415 / 2026020140100560134       _x000a_02/02 Support cek di mbase appr_x000a_02/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2T09:54:00"/>
    <x v="5"/>
  </r>
  <r>
    <s v="INC20260202233"/>
    <d v="2026-02-02T13:50:00"/>
    <s v="WA"/>
    <s v="-"/>
    <s v="Tripay"/>
    <s v="Request"/>
    <s v="VA"/>
    <x v="3"/>
    <x v="4"/>
    <x v="228"/>
    <s v="BCA"/>
    <s v="R01"/>
    <x v="0"/>
    <s v="02/02 Tripay tanyakan trx 7900117900086833     _x000a_02/02 Support cek di mbase cancel_x000a_02/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2T16:23:00"/>
    <x v="5"/>
  </r>
  <r>
    <s v="INC20260203234"/>
    <d v="2026-02-03T13:20:00"/>
    <s v="WA"/>
    <s v="-"/>
    <s v="PT BARAKA SARANA TAMA"/>
    <s v="Request"/>
    <s v="VA"/>
    <x v="3"/>
    <x v="3"/>
    <x v="229"/>
    <s v="BNI"/>
    <s v="R01"/>
    <x v="0"/>
    <s v="03/02 Baraka tanyakan trx 8919101205078593 / Tx-Bar-182-260202     _x000a_03/02 Support cek di mbase error aprvd dan di bd cancel_x000a_03/02 support update_x000a_03/02 Support infokan trx sukses"/>
    <s v="SOP #05"/>
    <s v="1. Pastikan merchant &amp; transaksi tersebut valid_x000a_2. Cek VA di apps.plink, bandingkan amount:_x000a__x0009_Amount sama → Update transaksi._x000a__x0009_Amount berbeda → Tidak bisa diupdate, informasikan ke merchant."/>
    <d v="2026-02-03T13:57:00"/>
    <x v="5"/>
  </r>
  <r>
    <s v="INC20260203235"/>
    <d v="2026-02-03T11:52:00"/>
    <s v="WA"/>
    <s v="-"/>
    <s v="PT Daya Net Gemilang"/>
    <s v="Request"/>
    <s v="VA"/>
    <x v="3"/>
    <x v="4"/>
    <x v="230"/>
    <s v="BCA"/>
    <s v="R01"/>
    <x v="0"/>
    <s v="03/02 DNT tanyakan trx 7900125000099921 // NACL1345799183    _x000a_03/02 Support cek di mbase aprvd &amp; Cek DB SETLD_x000a_ 03/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3T11:56:00"/>
    <x v="5"/>
  </r>
  <r>
    <s v="INC20260203236"/>
    <d v="2026-02-03T15:45:00"/>
    <s v="WA"/>
    <s v="-"/>
    <s v="PT Daya Net Gemilang"/>
    <s v="Request"/>
    <s v="VA"/>
    <x v="3"/>
    <x v="4"/>
    <x v="231"/>
    <s v="BCA"/>
    <s v="R01"/>
    <x v="0"/>
    <s v="03/02 DNT tanyakan trx 7900125000030059 //  NACL1345776002    _x000a_03/02 Support cek di mbase cancel &amp; Cek DB cancel, lalu cek agre nominal bayar dan tagihan tidak sesuai_x000a_ 03/02 Support infokan trx gagal_x000a_"/>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3T15:57:00"/>
    <x v="5"/>
  </r>
  <r>
    <s v="INC20260203237"/>
    <d v="2026-02-03T16:34:00"/>
    <s v="WA"/>
    <s v="-"/>
    <s v="PT BARAKA SARANA TAMA"/>
    <s v="Request"/>
    <s v="VA"/>
    <x v="3"/>
    <x v="3"/>
    <x v="232"/>
    <s v="BCA"/>
    <s v="R01"/>
    <x v="0"/>
    <s v="03/02 baraka tanyakan trx1551200000096397 _x000a_03/02 Support cek di mbase appr_x000a_03/02 Support infokan trx sukses"/>
    <s v="SOP #05"/>
    <s v="1. Pastikan merchant &amp; transaksi tersebut valid_x000a_2. Cek VA di apps.plink, bandingkan amount:_x000a__x0009_Amount sama → Update transaksi._x000a__x0009_Amount berbeda → Tidak bisa diupdate, informasikan ke merchant."/>
    <d v="2026-02-03T17:03:00"/>
    <x v="5"/>
  </r>
  <r>
    <s v="INC20260203238"/>
    <d v="2026-02-03T15:59:00"/>
    <s v="WA"/>
    <s v="-"/>
    <s v="PT BARAKA SARANA TAMA"/>
    <s v="Request"/>
    <s v="VA"/>
    <x v="3"/>
    <x v="3"/>
    <x v="233"/>
    <s v="BRI"/>
    <s v="R01"/>
    <x v="0"/>
    <s v="03/02 baraka tanyakan trx 4041910121477157 _x000a_03/02 Support cek di mbase no results_x000a_03/02 Support  update statusnya dan infokan trx sukses"/>
    <s v="SOP #05"/>
    <s v="1. Pastikan merchant &amp; transaksi tersebut valid_x000a_2. Cek VA di apps.plink, bandingkan amount:_x000a__x0009_Amount sama → Update transaksi._x000a__x0009_Amount berbeda → Tidak bisa diupdate, informasikan ke merchant."/>
    <d v="2026-02-03T17:14:00"/>
    <x v="5"/>
  </r>
  <r>
    <s v="INC20260203239"/>
    <d v="2026-02-03T17:11:00"/>
    <s v="WA"/>
    <s v="-"/>
    <s v="PT Kreasi Kode Kreatif"/>
    <s v="Request"/>
    <s v="VA"/>
    <x v="3"/>
    <x v="4"/>
    <x v="234"/>
    <s v="BCA"/>
    <s v="R01"/>
    <x v="0"/>
    <s v="03/02 kvoucher tanyakan trx 7900119200458531 apakah diterima 2x _x000a_03/02 Support cek di mbase benar ada 2trx utk va tersebut_x000a_03/02 Support infokan jika trx diterima 2x"/>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3T17:28:00"/>
    <x v="5"/>
  </r>
  <r>
    <s v="INC20260203240"/>
    <d v="2026-02-03T21:17:00"/>
    <s v="WA"/>
    <s v="-"/>
    <s v="PT Daya Net Gemilang"/>
    <s v="Request"/>
    <s v="VA"/>
    <x v="3"/>
    <x v="4"/>
    <x v="235"/>
    <s v="BCA"/>
    <s v="R01"/>
    <x v="0"/>
    <s v="03/02 dayanet tanyakan trx 7900125000071031 _x000a_03/02 Support cek di mbase reject _x000a_03/02 Support infokan jika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3T21:23:00"/>
    <x v="5"/>
  </r>
  <r>
    <s v="INC20260203241"/>
    <d v="2026-02-03T22:15:00"/>
    <s v="WA"/>
    <s v="-"/>
    <s v="PT Teknologi Awan Cerah"/>
    <s v="Request"/>
    <s v="VA"/>
    <x v="3"/>
    <x v="4"/>
    <x v="236"/>
    <s v="BNI"/>
    <s v="R01"/>
    <x v="0"/>
    <s v="03/02 nobecul tanyakan trx 8919101217343899  _x000a_03/02 Support cek di mbase apprv _x000a_03/02 Support infokan jika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3T22:28:00"/>
    <x v="5"/>
  </r>
  <r>
    <s v="INC20260204242"/>
    <d v="2026-02-04T02:50:00"/>
    <s v="WA"/>
    <s v="-"/>
    <s v="PT Teknologi Awan Cerah"/>
    <s v="Request"/>
    <s v="VA"/>
    <x v="3"/>
    <x v="3"/>
    <x v="237"/>
    <s v="BCA"/>
    <s v="R01"/>
    <x v="0"/>
    <s v="04/02 Nobecul tanyakan trx 7900121700048952_x000a_04/02 Support cek di mbase aprvd dan db cancel_x000a_04/02 Support infokan trx sukses_x000a_04/02 Support infokan ke team terkait untuk dilakukan update "/>
    <s v="SOP #05"/>
    <s v="1. Pastikan merchant &amp; transaksi tersebut valid_x000a_2. Cek VA di apps.plink, bandingkan amount:_x000a__x0009_Amount sama → Update transaksi._x000a__x0009_Amount berbeda → Tidak bisa diupdate, informasikan ke merchant."/>
    <d v="2026-02-04T03:15:00"/>
    <x v="5"/>
  </r>
  <r>
    <s v="INC20260204243"/>
    <d v="2026-02-04T09:01:00"/>
    <s v="Email"/>
    <s v="Distribusi Lancar Jaya &lt;distribusilancarjaya@gmail.com&gt;"/>
    <s v="Jatimpark Vending Mechine"/>
    <s v="Request"/>
    <s v="QR"/>
    <x v="0"/>
    <x v="0"/>
    <x v="238"/>
    <s v="NOBU"/>
    <s v="R04"/>
    <x v="0"/>
    <s v="04/02 Req masuk + support teruskan ke NOBU_x000a_04/02 DONE"/>
    <m/>
    <s v="Buka SOP 'REFUND QR NOBU'"/>
    <d v="2026-02-04T00:00:00"/>
    <x v="5"/>
  </r>
  <r>
    <s v="INC20260204244"/>
    <d v="2026-02-04T11:48:00"/>
    <s v="Email"/>
    <s v="keluhan_payment@bca.co.id"/>
    <s v="PT ENVOIZ DIGITAL INDONESIA"/>
    <s v="Issue"/>
    <s v="VA"/>
    <x v="2"/>
    <x v="2"/>
    <x v="239"/>
    <s v="BCA"/>
    <s v="C01"/>
    <x v="0"/>
    <s v="04/02 req masuk +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04245"/>
    <d v="2026-02-04T16:12:00"/>
    <s v="Email"/>
    <s v="keluhan_payment@bca.co.id"/>
    <s v="PT ENVOIZ DIGITAL INDONESIA"/>
    <s v="Issue"/>
    <s v="VA"/>
    <x v="2"/>
    <x v="2"/>
    <x v="240"/>
    <s v="BCA"/>
    <s v="C01"/>
    <x v="0"/>
    <s v="04/02 req masuk +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04246"/>
    <d v="2026-02-04T16:12:00"/>
    <s v="Email"/>
    <s v="keluhan_payment@bca.co.id"/>
    <s v="PT ENVOIZ DIGITAL INDONESIA"/>
    <s v="Issue"/>
    <s v="VA"/>
    <x v="2"/>
    <x v="2"/>
    <x v="241"/>
    <s v="BCA"/>
    <s v="C01"/>
    <x v="0"/>
    <s v="04/02 req masuk +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05247"/>
    <d v="2026-02-05T08:32:00"/>
    <s v="Email"/>
    <s v="Distribusi Lancar Jaya &lt;distribusilancarjaya@gmail.com&gt;"/>
    <s v="Jatimpark Vending Mechine"/>
    <s v="Request"/>
    <s v="QR"/>
    <x v="0"/>
    <x v="0"/>
    <x v="242"/>
    <s v="NOBU"/>
    <s v="R04"/>
    <x v="0"/>
    <s v="05/02 Req masuk + support teruskan ke NOBU_x000a_05/02 DONE"/>
    <m/>
    <s v="Buka SOP 'REFUND QR NOBU'"/>
    <d v="2026-02-05T00:00:00"/>
    <x v="5"/>
  </r>
  <r>
    <s v="INC20260205248"/>
    <d v="2026-02-05T07:35:00"/>
    <s v="Email"/>
    <s v="fahrialbaihaqi22@gmail.com"/>
    <s v="PT Daya Net Gemilang"/>
    <s v="Request"/>
    <s v="VA"/>
    <x v="3"/>
    <x v="4"/>
    <x v="243"/>
    <s v="BRI"/>
    <s v="R01"/>
    <x v="0"/>
    <s v="05/02 req masuk, user melampirkan bukti transfer_x000a_05/02 support infokan jika sukses 2x dan sudah diteruskan ke merchant &amp; sarankan merchant untuk menghubungi merchant langsung"/>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5T00:00:00"/>
    <x v="5"/>
  </r>
  <r>
    <s v="INC20260205249"/>
    <d v="2026-02-05T11:19:00"/>
    <s v="Email"/>
    <s v="SY L &lt;lishuyao126@gmail.com&gt;"/>
    <s v="MOLINA"/>
    <s v="Request"/>
    <s v="VOA"/>
    <x v="4"/>
    <x v="8"/>
    <x v="244"/>
    <s v="BRI VOA"/>
    <s v="R02"/>
    <x v="0"/>
    <s v="05/02 req masuk + support melampirkan payment receipt_x000a_"/>
    <m/>
    <m/>
    <d v="2026-02-05T11:35:00"/>
    <x v="5"/>
  </r>
  <r>
    <s v="INC20260205250"/>
    <d v="2026-02-05T11:46:00"/>
    <s v="Email"/>
    <s v="Felly Khaerunnissah &lt;felly.khaerunnissah@bankmandiri.co.id&gt;"/>
    <s v="PT Daya Net Gemilang"/>
    <s v="Issue"/>
    <s v="VA"/>
    <x v="2"/>
    <x v="2"/>
    <x v="245"/>
    <s v="BCA"/>
    <s v="C01"/>
    <x v="0"/>
    <s v="05/02 req masuk +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06251"/>
    <d v="2026-02-06T08:57:00"/>
    <s v="Email"/>
    <s v="Distribusi Lancar Jaya &lt;distribusilancarjaya@gmail.com&gt;"/>
    <s v="Jatimpark Vending Mechine"/>
    <s v="Request"/>
    <s v="QR"/>
    <x v="0"/>
    <x v="0"/>
    <x v="246"/>
    <s v="NOBU"/>
    <s v="R04"/>
    <x v="0"/>
    <s v="06/02 req masuk + support teruskan ke NOBU_x000a_06/02 DONE"/>
    <m/>
    <s v="Buka SOP 'REFUND QR NOBU'"/>
    <d v="2026-02-06T00:00:00"/>
    <x v="5"/>
  </r>
  <r>
    <s v="INC20260204252"/>
    <d v="2026-02-04T12:29:00"/>
    <s v="WA"/>
    <s v="-"/>
    <s v="PT ENVOIZ DIGITAL INDONESIA"/>
    <s v="Request"/>
    <s v="VA"/>
    <x v="3"/>
    <x v="4"/>
    <x v="247"/>
    <s v="BCA"/>
    <s v="R01"/>
    <x v="0"/>
    <s v="04/02 Envoiz tanyakan trx 7900124900029798  / NACL1346952833_x000a_04/02 Support cek di mbase aprvd dan db settled_x000a_04/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4T12:29:00"/>
    <x v="5"/>
  </r>
  <r>
    <s v="INC20260204253"/>
    <d v="2026-02-04T12:35:00"/>
    <s v="WA"/>
    <s v="-"/>
    <s v="PT Teknologi Awan Cerah"/>
    <s v="Request"/>
    <s v="VA"/>
    <x v="3"/>
    <x v="3"/>
    <x v="237"/>
    <s v="BCA"/>
    <s v="R01"/>
    <x v="0"/>
    <s v="04/02 Nobecul tanyakan trx 7900121700079152_x000a_04/02 Support cek di server 25 pndg di 119 apprvd dan info dari rekon sudah settle, di db masih belum ditemukan_x000a_04/02 Support infokan ke team terkait untuk dilakukan update"/>
    <s v="SOP #05"/>
    <s v="1. Pastikan merchant &amp; transaksi tersebut valid_x000a_2. Cek VA di apps.plink, bandingkan amount:_x000a__x0009_Amount sama → Update transaksi._x000a__x0009_Amount berbeda → Tidak bisa diupdate, informasikan ke merchant."/>
    <d v="2026-02-04T14:12:00"/>
    <x v="5"/>
  </r>
  <r>
    <s v="INC20260205254"/>
    <d v="2026-02-05T08:54:00"/>
    <s v="WA"/>
    <s v="-"/>
    <s v="Tripay"/>
    <s v="Request"/>
    <s v="VA"/>
    <x v="3"/>
    <x v="4"/>
    <x v="248"/>
    <s v="BRI"/>
    <s v="R01"/>
    <x v="0"/>
    <s v="05/02 Tripay tanyakan trx 4041910117986475 / T3422430371014M6NNS_x000a_05/02 Support cek di mbase aprvd _x000a_05/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5T09:24:00"/>
    <x v="5"/>
  </r>
  <r>
    <s v="INC20260205255"/>
    <d v="2026-02-05T09:19:00"/>
    <s v="WA"/>
    <s v="-"/>
    <s v="PT Daya Net Gemilang"/>
    <s v="Request"/>
    <s v="VA"/>
    <x v="3"/>
    <x v="4"/>
    <x v="249"/>
    <s v="BRI"/>
    <s v="R01"/>
    <x v="0"/>
    <s v="05/02 DNT tanyakan trx 4041910125056745 / NACL1351511663_x000a_05/02 Support cek di mbase aprvd _x000a_05/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5T09:28:00"/>
    <x v="5"/>
  </r>
  <r>
    <s v="INC20260205256"/>
    <d v="2026-02-05T10:05:00"/>
    <s v="WA"/>
    <s v="-"/>
    <s v="PT ENVOIZ DIGITAL INDONESIA"/>
    <s v="Request"/>
    <s v="VA"/>
    <x v="3"/>
    <x v="4"/>
    <x v="250"/>
    <s v="BRI"/>
    <s v="R01"/>
    <x v="0"/>
    <s v="05/02 DNT tanyakan trx 4041910125056745 / NACL1351511663_x000a_05/02 Support cek di mbase aprvd _x000a_05/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5T10:10:00"/>
    <x v="5"/>
  </r>
  <r>
    <s v="INC20260205257"/>
    <d v="2026-02-05T15:11:00"/>
    <s v="WA"/>
    <s v="-"/>
    <s v="PT ENVOIZ DIGITAL INDONESIA"/>
    <s v="Request"/>
    <s v="VA"/>
    <x v="3"/>
    <x v="4"/>
    <x v="251"/>
    <s v="BCA"/>
    <s v="R01"/>
    <x v="0"/>
    <s v="05/02 Tripay tanyakan trx 7900117900062502 _x000a_05/02 Support cek di mbase dan plink VA nya belum ditemukan_x000a_05/02 Support infokan tunggu rekon_x000a_06/02 support infokan trx gaga"/>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6T00:00:00"/>
    <x v="5"/>
  </r>
  <r>
    <s v="INC20260205258"/>
    <d v="2026-02-05T18:47:00"/>
    <s v="WA"/>
    <s v="-"/>
    <s v="PT Daya Net Gemilang"/>
    <s v="Request"/>
    <s v="VA"/>
    <x v="3"/>
    <x v="4"/>
    <x v="252"/>
    <s v="MANDIRI"/>
    <s v="R01"/>
    <x v="0"/>
    <s v="05/02 dayaNet tanyakan trx 8903910125059726 / NACL1352424049_x000a_05/02 Support cek di mbase dan db sukses_x000a_05/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5T18:52:00"/>
    <x v="5"/>
  </r>
  <r>
    <s v="INC20260205259"/>
    <d v="2026-02-05T22:28:00"/>
    <s v="WA"/>
    <s v="-"/>
    <s v="PT Daya Net Gemilang"/>
    <s v="Request"/>
    <s v="VA"/>
    <x v="3"/>
    <x v="4"/>
    <x v="253"/>
    <s v="MANDIRI"/>
    <s v="R01"/>
    <x v="0"/>
    <s v="05/02 dayaNet tanyakan trx 8903910125071480 / NACL1352077593_x000a_05/02 Support cek di mbase dan db sukses_x000a_05/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5T22:34:00"/>
    <x v="5"/>
  </r>
  <r>
    <s v="INC20260206260"/>
    <d v="2026-02-06T15:30:00"/>
    <s v="Email"/>
    <s v="Fariq Rais Hakim &lt;Fariq.Hakim@danamon.co.id&gt;"/>
    <s v="PT Daya Net Gemilang"/>
    <s v="Request"/>
    <s v="VA"/>
    <x v="3"/>
    <x v="4"/>
    <x v="254"/>
    <s v="MANDIRI"/>
    <s v="R01"/>
    <x v="0"/>
    <s v="06/02 req masuk dr danamon_x000a_06/02 support infokan jika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6T00:00:00"/>
    <x v="5"/>
  </r>
  <r>
    <s v="INC20260207261"/>
    <d v="2026-02-07T22:36:00"/>
    <s v="Email"/>
    <s v="Josh Lai Say Aik &lt;joshlai_sayaik@waters.com&gt;"/>
    <s v="MOLINA"/>
    <s v="Request"/>
    <s v="VOA"/>
    <x v="4"/>
    <x v="8"/>
    <x v="255"/>
    <s v="BRI VOA"/>
    <s v="R02"/>
    <x v="0"/>
    <s v="07/02 req masuk_x000a_07/02 support melampirkan payment receipt"/>
    <m/>
    <m/>
    <d v="2026-02-07T00:00:00"/>
    <x v="5"/>
  </r>
  <r>
    <s v="INC20260209262"/>
    <d v="2026-02-09T08:25:00"/>
    <s v="Email"/>
    <s v="Distribusi Lancar Jaya &lt;distribusilancarjaya@gmail.com&gt;"/>
    <s v="Jatimpark Vending Mechine"/>
    <s v="Request"/>
    <s v="QR"/>
    <x v="0"/>
    <x v="0"/>
    <x v="246"/>
    <s v="NOBU"/>
    <s v="R04"/>
    <x v="0"/>
    <s v="09/02 req masuk + support teruskan ke NOBU_x000a_09/02 DONE"/>
    <m/>
    <s v="Buka SOP 'REFUND QR NOBU'"/>
    <d v="2026-02-09T00:00:00"/>
    <x v="5"/>
  </r>
  <r>
    <s v="INC20260209263"/>
    <d v="2026-02-09T13:40:00"/>
    <s v="Email"/>
    <s v="chargebackops.acq@corp.bri.co.id"/>
    <s v="MOLINA"/>
    <s v="Request"/>
    <s v="VOA"/>
    <x v="4"/>
    <x v="5"/>
    <x v="256"/>
    <s v="BRI VOA"/>
    <s v="R02"/>
    <x v="0"/>
    <s v="09/02 req masuk_x000a_1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3T00:00:00"/>
    <x v="5"/>
  </r>
  <r>
    <s v="INC20260209264"/>
    <d v="2026-02-09T14:28:00"/>
    <s v="Email"/>
    <s v="keluhan_payment@bca.co.id"/>
    <s v="PT Teknologi Awan Cerah"/>
    <s v="Issue"/>
    <s v="VA"/>
    <x v="2"/>
    <x v="2"/>
    <x v="257"/>
    <s v="BCA"/>
    <s v="C01"/>
    <x v="0"/>
    <s v="09/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09265"/>
    <d v="2026-02-09T16:23:00"/>
    <s v="Email"/>
    <s v="keluhan_payment@bca.co.id"/>
    <s v="PT Kreasi Kode Kreatif_x000a__x000a_PT TEKNOLOGI AWAN CERAH"/>
    <s v="Issue"/>
    <s v="VA"/>
    <x v="2"/>
    <x v="2"/>
    <x v="258"/>
    <s v="BCA"/>
    <s v="C01"/>
    <x v="0"/>
    <s v="09/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10266"/>
    <d v="2026-02-10T08:28:00"/>
    <s v="Email"/>
    <s v="Distribusi Lancar Jaya &lt;distribusilancarjaya@gmail.com&gt;"/>
    <s v="Jatimpark Vending Mechine"/>
    <s v="Request"/>
    <s v="QR"/>
    <x v="0"/>
    <x v="0"/>
    <x v="259"/>
    <s v="NOBU"/>
    <s v="R04"/>
    <x v="0"/>
    <s v="10/02 req masuk + support teruskan ke NOBU_x000a_10/02 DONE"/>
    <m/>
    <s v="Buka SOP 'REFUND QR NOBU'"/>
    <m/>
    <x v="5"/>
  </r>
  <r>
    <s v="INC20260210267"/>
    <d v="2026-02-10T13:52:00"/>
    <s v="Email"/>
    <s v="keluhan_payment@bca.co.id"/>
    <s v="PT ENVOIZ DIGITAL INDONESIA"/>
    <s v="Issue"/>
    <s v="VA"/>
    <x v="2"/>
    <x v="2"/>
    <x v="260"/>
    <s v="BCA"/>
    <s v="C01"/>
    <x v="0"/>
    <s v="10/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10268"/>
    <d v="2026-02-10T13:55:00"/>
    <s v="Email"/>
    <s v="keluhan_payment@bca.co.id"/>
    <s v="PT ENVOIZ DIGITAL INDONESIA"/>
    <s v="Issue"/>
    <s v="VA"/>
    <x v="2"/>
    <x v="2"/>
    <x v="260"/>
    <s v="BCA"/>
    <s v="C01"/>
    <x v="0"/>
    <s v="10/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10269"/>
    <d v="2026-02-10T13:55:00"/>
    <s v="Email"/>
    <s v="keluhan_payment@bca.co.id"/>
    <s v="PT ENVOIZ DIGITAL INDONESIA"/>
    <s v="Issue"/>
    <s v="VA"/>
    <x v="2"/>
    <x v="2"/>
    <x v="261"/>
    <s v="BCA"/>
    <s v="C01"/>
    <x v="0"/>
    <s v="10/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10270"/>
    <d v="2026-02-10T14:42:00"/>
    <s v="Email"/>
    <s v="keluhan_payment@bca.co.id"/>
    <s v="PT ENVOIZ DIGITAL INDONESIA"/>
    <s v="Issue"/>
    <s v="VA"/>
    <x v="2"/>
    <x v="2"/>
    <x v="261"/>
    <s v="BCA"/>
    <s v="C01"/>
    <x v="0"/>
    <s v="10/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5"/>
  </r>
  <r>
    <s v="INC20260210271"/>
    <d v="2026-02-10T14:56:00"/>
    <s v="Email"/>
    <s v="chargebackops.acq@corp.bri.co.id"/>
    <s v="MOLINA"/>
    <s v="Request"/>
    <s v="VOA"/>
    <x v="4"/>
    <x v="5"/>
    <x v="262"/>
    <s v="BRI VOA"/>
    <s v="R02"/>
    <x v="0"/>
    <s v="09/02 req masuk_x000a_10/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0T00:00:00"/>
    <x v="5"/>
  </r>
  <r>
    <s v="INC20260206272"/>
    <d v="2026-02-06T10:37:00"/>
    <s v="WA"/>
    <s v="-"/>
    <s v="PT Daya Net Gemilang"/>
    <s v="Request"/>
    <s v="VA"/>
    <x v="3"/>
    <x v="4"/>
    <x v="263"/>
    <s v="BCA"/>
    <s v="R01"/>
    <x v="0"/>
    <s v="06/02 DNT tanyakan trx  7900125000092786 / NACL1354159953 _x000a_06/02 Support cek di mbase aprvd dan db settled_x000a_06/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6T10:45:00"/>
    <x v="5"/>
  </r>
  <r>
    <s v="INC20260206273"/>
    <d v="2026-02-06T13:05:00"/>
    <s v="WA"/>
    <s v="-"/>
    <s v="PT ENVOIZ DIGITAL INDONESIA"/>
    <s v="Request"/>
    <s v="VA"/>
    <x v="3"/>
    <x v="3"/>
    <x v="264"/>
    <s v="BNI"/>
    <s v="R01"/>
    <x v="0"/>
    <s v="06/02 envoiz tanyakan trx  8919101249102581 _x000a_06/02 Support  update pada dashboard_x000a_06/02 Support infokan updated"/>
    <s v="SOP #05"/>
    <s v="1. Pastikan merchant &amp; transaksi tersebut valid_x000a_2. Cek VA di apps.plink, bandingkan amount:_x000a__x0009_Amount sama → Update transaksi._x000a__x0009_Amount berbeda → Tidak bisa diupdate, informasikan ke merchant."/>
    <d v="2026-02-06T13:05:00"/>
    <x v="5"/>
  </r>
  <r>
    <s v="INC20260206274"/>
    <d v="2026-02-06T12:56:00"/>
    <s v="WA"/>
    <s v="-"/>
    <s v="Hotel Murah"/>
    <s v="Request"/>
    <s v="QR"/>
    <x v="3"/>
    <x v="3"/>
    <x v="265"/>
    <s v="NOBU"/>
    <s v="R01"/>
    <x v="0"/>
    <s v="06/02 hotelmurah tanyakan trx  P84799588 _x000a_06/02 Support cek di dashboard cancel, support cek dashboard nobu ada_x000a_06/02 Support infokan trx sukses"/>
    <s v="SOP #05"/>
    <s v="1. Pastikan merchant &amp; transaksi tersebut valid_x000a_2. Cek VA di apps.plink, bandingkan amount:_x000a__x0009_Amount sama → Update transaksi._x000a__x0009_Amount berbeda → Tidak bisa diupdate, informasikan ke merchant."/>
    <d v="2026-02-06T00:00:00"/>
    <x v="5"/>
  </r>
  <r>
    <s v="INC20260206275"/>
    <d v="2026-02-06T13:38:00"/>
    <s v="WA"/>
    <s v="-"/>
    <s v="PT ENVOIZ DIGITAL INDONESIA"/>
    <s v="Request"/>
    <s v="VA"/>
    <x v="3"/>
    <x v="3"/>
    <x v="266"/>
    <s v="BNI"/>
    <s v="R01"/>
    <x v="0"/>
    <s v="06/02 Envoiz tanyakan trx  78919101249557168 / NACL1354173022_x000a_06/02 Support cek di mbase eror aprvd dan db cancel_x000a_06/02 Support infokan team terkait untuk update_x000a_06/02 Support infokan trx sukses karena sudah setld di db"/>
    <s v="SOP #05"/>
    <s v="1. Pastikan merchant &amp; transaksi tersebut valid_x000a_2. Cek VA di apps.plink, bandingkan amount:_x000a__x0009_Amount sama → Update transaksi._x000a__x0009_Amount berbeda → Tidak bisa diupdate, informasikan ke merchant."/>
    <d v="2026-02-06T00:00:00"/>
    <x v="5"/>
  </r>
  <r>
    <s v="INC20260206276"/>
    <d v="2026-02-06T14:31:00"/>
    <s v="WA"/>
    <s v="-"/>
    <s v="PT Infra Digital Nusantara"/>
    <s v="Request"/>
    <s v="VA"/>
    <x v="3"/>
    <x v="4"/>
    <x v="267"/>
    <s v="PERMATA"/>
    <s v="R01"/>
    <x v="0"/>
    <s v="06/02 IDN tanyakan trx  8507000000165949_x000a_06/02 Support cek di operator reject_x000a_06/02 Support infokan trx gagal/tidak berhasi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6T00:00:00"/>
    <x v="5"/>
  </r>
  <r>
    <s v="INC20260206277"/>
    <d v="2026-02-06T15:00:00"/>
    <s v="WA"/>
    <s v="-"/>
    <s v="PT Teknologi Awan Cerah"/>
    <s v="Request"/>
    <s v="VA"/>
    <x v="3"/>
    <x v="3"/>
    <x v="268"/>
    <s v="BCA"/>
    <s v="R01"/>
    <x v="0"/>
    <s v="06/02 Nobecul  tanyakan trx  7900121700033081 / 2026020542500381048 _x000a_06/02 Support cek dimbase aprvd dan db pending_x000a_06/02 Support infokan pada team terkait untuk update_x000a_06/02 Support infokan trx sukses "/>
    <s v="SOP #05"/>
    <s v="1. Pastikan merchant &amp; transaksi tersebut valid_x000a_2. Cek VA di apps.plink, bandingkan amount:_x000a__x0009_Amount sama → Update transaksi._x000a__x0009_Amount berbeda → Tidak bisa diupdate, informasikan ke merchant."/>
    <d v="2026-02-06T00:00:00"/>
    <x v="5"/>
  </r>
  <r>
    <s v="INC20260206278"/>
    <d v="2026-02-06T15:25:00"/>
    <s v="WA"/>
    <s v="-"/>
    <s v="PT Teknologi Awan Cerah"/>
    <s v="Request"/>
    <s v="VA"/>
    <x v="3"/>
    <x v="3"/>
    <x v="269"/>
    <s v="BCA"/>
    <s v="R01"/>
    <x v="0"/>
    <s v="06/02 Envoiz tanyakan trx  7900124900017522 / NACL1354750622_x000a_06/02 Support cek di mbase eror aprvd dan db cancel_x000a_06/02 Support infokan team terkait untuk update_x000a_06/02 Support infokan trx sukses karena sudah setld di db"/>
    <s v="SOP #05"/>
    <s v="1. Pastikan merchant &amp; transaksi tersebut valid_x000a_2. Cek VA di apps.plink, bandingkan amount:_x000a__x0009_Amount sama → Update transaksi._x000a__x0009_Amount berbeda → Tidak bisa diupdate, informasikan ke merchant."/>
    <d v="2026-02-06T00:00:00"/>
    <x v="5"/>
  </r>
  <r>
    <s v="INC20260206279"/>
    <d v="2026-02-06T15:50:00"/>
    <s v="WA"/>
    <s v="-"/>
    <s v="PT Daya Net Gemilang"/>
    <s v="Request"/>
    <s v="VA"/>
    <x v="3"/>
    <x v="4"/>
    <x v="270"/>
    <s v="BCA"/>
    <s v="R01"/>
    <x v="0"/>
    <s v="06/02 dnt tanyakan trx 7900125000092903 / NACL1354624702_x000a_06/02 Support cek di mbase aprvd dan db sukses_x000a_06/02 Support infokan trx sukses karena sudah setld di db"/>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6T00:00:00"/>
    <x v="5"/>
  </r>
  <r>
    <s v="INC20260206280"/>
    <d v="2026-02-06T17:50:00"/>
    <s v="WA"/>
    <s v="-"/>
    <s v="PT BARAKA SARANA TAMA"/>
    <s v="Request"/>
    <s v="VA"/>
    <x v="3"/>
    <x v="3"/>
    <x v="271"/>
    <s v="BCA"/>
    <s v="R01"/>
    <x v="0"/>
    <s v="06/02 Baraka tanyakan trx 1551200000089490_x000a_06/02 Support cek di mbase aprvd dan db pending_x000a_06/02 Support update_x000a_06/02 Support infokan trx sukses karena sudah setld di db"/>
    <s v="SOP #05"/>
    <s v="1. Pastikan merchant &amp; transaksi tersebut valid_x000a_2. Cek VA di apps.plink, bandingkan amount:_x000a__x0009_Amount sama → Update transaksi._x000a__x0009_Amount berbeda → Tidak bisa diupdate, informasikan ke merchant."/>
    <d v="2026-02-06T00:00:00"/>
    <x v="5"/>
  </r>
  <r>
    <s v="INC20260209281"/>
    <d v="2026-02-09T15:09:00"/>
    <s v="WA"/>
    <s v="-"/>
    <s v="PT Wahana Pembayaran Digital"/>
    <s v="Request"/>
    <s v="VA"/>
    <x v="3"/>
    <x v="4"/>
    <x v="272"/>
    <s v="BRI"/>
    <s v="R01"/>
    <x v="0"/>
    <s v="09/02 paylabs tanyakan trx  4041913274578000  _x000a_09/02 Support cek di dashboard apprv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9T00:00:00"/>
    <x v="5"/>
  </r>
  <r>
    <s v="INC20260209282"/>
    <d v="2026-02-09T16:03:00"/>
    <s v="WA"/>
    <s v="-"/>
    <s v="PT Daya Net Gemilang"/>
    <s v="Request"/>
    <s v="VA"/>
    <x v="3"/>
    <x v="4"/>
    <x v="273"/>
    <s v="BRI"/>
    <s v="R01"/>
    <x v="0"/>
    <s v="09/02 dnt tanyakan trx  4041910125089630   _x000a_09/02 Support cek di dashboard dan mbase no result_x000a_09/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9T00:00:00"/>
    <x v="5"/>
  </r>
  <r>
    <s v="INC20260209283"/>
    <d v="2026-02-09T19:10:00"/>
    <s v="WA"/>
    <s v="-"/>
    <s v="PT Daya Net Gemilang"/>
    <s v="Request"/>
    <s v="VA"/>
    <x v="3"/>
    <x v="4"/>
    <x v="274"/>
    <s v="BRI"/>
    <s v="R01"/>
    <x v="0"/>
    <s v="09/02 dnt tanyakan trx  4041910124910645 dengan ID NACL1359542459   _x000a_09/02 Support cek di dashboard dan mbase apprv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09T00:00:00"/>
    <x v="5"/>
  </r>
  <r>
    <s v="INC20260210284"/>
    <d v="2026-02-10T11:14:00"/>
    <s v="WA"/>
    <s v="-"/>
    <s v="Hotel Murah"/>
    <s v="Request"/>
    <s v="QR"/>
    <x v="3"/>
    <x v="3"/>
    <x v="275"/>
    <s v="NOBU"/>
    <s v="R01"/>
    <x v="0"/>
    <s v="10/02 Hotel Murah tanyakan trx dengan RRN 117342836 / Merchant Ref P85129951_x000a_10/02 Support cek di db Nobu RRN dan MTN nya ada_x000a_10/02 cek MTN di db prismalink, stts nya cancel sehingga support up ke Nobu untuk cek lebih lanjut_x000a_10/02 Nobu infokan trx sukses, done infokan ke merch"/>
    <s v="SOP #05"/>
    <s v="1. Pastikan merchant &amp; transaksi tersebut valid_x000a_2. Cek VA di apps.plink, bandingkan amount:_x000a__x0009_Amount sama → Update transaksi._x000a__x0009_Amount berbeda → Tidak bisa diupdate, informasikan ke merchant."/>
    <d v="2026-02-10T12:30:00"/>
    <x v="5"/>
  </r>
  <r>
    <s v="INC20260210285"/>
    <d v="2026-02-10T11:30:00"/>
    <s v="WA"/>
    <s v="-"/>
    <s v="Hotel Murah"/>
    <s v="Request"/>
    <s v="QR"/>
    <x v="3"/>
    <x v="3"/>
    <x v="276"/>
    <s v="NOBU"/>
    <s v="R01"/>
    <x v="0"/>
    <s v="10/02 Hotel Murah tanyakan trx dengan RRN 604163150134 / RRN Qris 1llj77103939 / merchant ref no P85130928_x000a_10/02 Support cek di db Nobu RRN dan MTN nya ada_x000a_10/02 cek MTN di db prismalink, stts nya cancel sehingga support up ke Nobu untuk cek lebih lanjut"/>
    <s v="SOP #05"/>
    <s v="1. Pastikan merchant &amp; transaksi tersebut valid_x000a_2. Cek VA di apps.plink, bandingkan amount:_x000a__x0009_Amount sama → Update transaksi._x000a__x0009_Amount berbeda → Tidak bisa diupdate, informasikan ke merchant."/>
    <d v="2026-02-10T12:30:00"/>
    <x v="5"/>
  </r>
  <r>
    <s v="INC20260210286"/>
    <d v="2026-02-10T11:38:00"/>
    <s v="WA"/>
    <s v="-"/>
    <s v="Hotel Murah"/>
    <s v="Request"/>
    <s v="QR"/>
    <x v="3"/>
    <x v="3"/>
    <x v="277"/>
    <s v="NOBU"/>
    <s v="R01"/>
    <x v="0"/>
    <s v="10/02 Hotel Murah tanyakan trx dengan RRN 017975853845 / merc ref no P85129952_x000a_10/02 Support cek di db Nobu RRN dan MTN nya ada_x000a_10/02 cek MTN di db prismalink, stts nya cancel sehingga support up ke Nobu untuk cek lebih lanjut"/>
    <s v="SOP #05"/>
    <s v="1. Pastikan merchant &amp; transaksi tersebut valid_x000a_2. Cek VA di apps.plink, bandingkan amount:_x000a__x0009_Amount sama → Update transaksi._x000a__x0009_Amount berbeda → Tidak bisa diupdate, informasikan ke merchant."/>
    <d v="2026-02-10T12:30:00"/>
    <x v="5"/>
  </r>
  <r>
    <s v="INC20260210287"/>
    <d v="2026-02-10T11:47:00"/>
    <s v="WA"/>
    <s v="-"/>
    <s v="Hotel Murah"/>
    <s v="Request"/>
    <s v="QR"/>
    <x v="3"/>
    <x v="3"/>
    <x v="278"/>
    <s v="NOBU"/>
    <s v="R01"/>
    <x v="0"/>
    <s v="10/02 Hotel Murah tanyakan trx dengan RRN AX4UR577V3AN / merc ref no P85132190  _x000a_10/02 Support cek di db Nobu RRN dan MTN nya ada_x000a_10/02 cek MTN di db prismalink, stts nya cancel sehingga support up ke Nobu untuk cek lebih lanjut_x000a_10/02 Nobu infokan trx sukses, done infokan ke merch"/>
    <s v="SOP #05"/>
    <s v="1. Pastikan merchant &amp; transaksi tersebut valid_x000a_2. Cek VA di apps.plink, bandingkan amount:_x000a__x0009_Amount sama → Update transaksi._x000a__x0009_Amount berbeda → Tidak bisa diupdate, informasikan ke merchant."/>
    <d v="2026-02-10T12:37:00"/>
    <x v="5"/>
  </r>
  <r>
    <s v="INC20260210288"/>
    <d v="2026-02-10T11:14:00"/>
    <s v="WA"/>
    <s v="-"/>
    <s v="Hotel Murah"/>
    <s v="Request"/>
    <s v="QR"/>
    <x v="3"/>
    <x v="3"/>
    <x v="279"/>
    <s v="NOBU"/>
    <s v="R01"/>
    <x v="0"/>
    <s v="10/02 Hotel Murah tanyakan trx _x000a__x000a_Reff no P85130928 // RRN 1llj77103939 _x000a_Reff no P85131460 // RRN 017903897263 _x000a_Reff no P85132190 // RRN AX4UR577V3AN  _x000a_Reff no P85131979 // RRN AX4UR577V0XY  _x000a_Reff no P85132010 // RRN 1lljs6l28537 _x000a_Reff no P85132301 // RRN 017859793086_x000a_Reff no P85132036 // RRN TNGD03180751 _x000a_Reff no P85131813 // RRN 000000M6GL9G _x000a_Reff no P85132299 // RRN 017882762737_x000a_Reff no P85131843 // RRN 018297528059 _x000a_Reff no P85131836 // RRN 018118986155_x000a_Reff no P85132218 // RRN 1c3228b71569  _x000a_10/02 Support cek di db Nobu RRN dan MTN nya ada_x000a_10/02 cek MTN di db prismalink, stts nya cancel sehingga support up ke Nobu untuk cek lebih lanjut_x000a_10/02 Nobu infokan trx sukses, done infokan ke merchant"/>
    <s v="SOP #05"/>
    <s v="1. Pastikan merchant &amp; transaksi tersebut valid_x000a_2. Cek VA di apps.plink, bandingkan amount:_x000a__x0009_Amount sama → Update transaksi._x000a__x0009_Amount berbeda → Tidak bisa diupdate, informasikan ke merchant."/>
    <d v="2026-02-10T14:36:00"/>
    <x v="5"/>
  </r>
  <r>
    <s v="INC20260210289"/>
    <d v="2026-02-10T18:30:00"/>
    <s v="Email"/>
    <s v="Melania Harmita &lt;harmitasinar@gmail.com&gt;"/>
    <s v="PT ENVOIZ DIGITAL INDONESIA"/>
    <s v="Issue"/>
    <s v="VA"/>
    <x v="2"/>
    <x v="2"/>
    <x v="280"/>
    <s v="BCA"/>
    <s v="C01"/>
    <x v="0"/>
    <s v="10/02 req masuk + support meminta kronologis dkk_x000a_10/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1290"/>
    <d v="2026-02-11T09:17:00"/>
    <s v="Email"/>
    <s v="Distribusi Lancar Jaya &lt;distribusilancarjaya@gmail.com&gt;"/>
    <s v="Jatimpark Vending Mechine"/>
    <s v="Request"/>
    <s v="QR"/>
    <x v="0"/>
    <x v="0"/>
    <x v="281"/>
    <s v="NOBU"/>
    <s v="R04"/>
    <x v="0"/>
    <s v="11/02 req masuk + support teruskan ke NOBU_x000a_11/02 DONE"/>
    <m/>
    <s v="Buka SOP 'REFUND QR NOBU'"/>
    <d v="2026-02-11T00:00:00"/>
    <x v="6"/>
  </r>
  <r>
    <s v="INC20260211291"/>
    <d v="2026-02-11T14:50:00"/>
    <s v="Email"/>
    <s v="kkd_ipm2@corp.bri.co.id"/>
    <s v="MOLINA"/>
    <s v="Request"/>
    <s v="VOA"/>
    <x v="4"/>
    <x v="5"/>
    <x v="282"/>
    <s v="BRI VOA"/>
    <s v="R02"/>
    <x v="0"/>
    <s v="11/02 req masuk_x000a_1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3T00:00:00"/>
    <x v="6"/>
  </r>
  <r>
    <s v="INC20260211292"/>
    <d v="2026-02-11T14:52:00"/>
    <s v="Email"/>
    <s v="kkd_ipm2@corp.bri.co.id"/>
    <s v="MOLINA"/>
    <s v="Request"/>
    <s v="VOA"/>
    <x v="4"/>
    <x v="5"/>
    <x v="283"/>
    <s v="BRI VOA"/>
    <s v="R02"/>
    <x v="0"/>
    <s v="11/02 req masuk_x000a_1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3T00:00:00"/>
    <x v="6"/>
  </r>
  <r>
    <s v="INC20260211293"/>
    <d v="2026-02-11T17:03:00"/>
    <s v="Email"/>
    <s v="keluhan_payment@bca.co.id"/>
    <s v="PT ENVOIZ DIGITAL INDONESIA"/>
    <s v="Issue"/>
    <s v="VA"/>
    <x v="2"/>
    <x v="2"/>
    <x v="284"/>
    <s v="BCA"/>
    <s v="C01"/>
    <x v="0"/>
    <s v="11/02 req masuk + support meminta kronologis dkk_x000a_11/02 belum ada update_x000a_18/02 BCA melampirkan data_x000a_18/02 support teruskan ke envoiz dgn subj 'FW: [O847270b] Indikasi Penipuan: BAYAR2.COM/11022026/025  VA 7900124900061653'_x000a_18/02 merchant meminta data foto selfi dgn KTP &amp; mutasi rekening_x000a_18/02 support meminta email nasabah guna meminta data lai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1294"/>
    <d v="2026-02-11T21:06:00"/>
    <s v="Email"/>
    <s v="Xiaoyi Ze &lt;xiaoyi.ze@asiapacific.ca&gt;"/>
    <s v="MOLINA"/>
    <s v="Request"/>
    <s v="VOA"/>
    <x v="4"/>
    <x v="8"/>
    <x v="285"/>
    <s v="BRI VOA"/>
    <s v="R02"/>
    <x v="0"/>
    <s v="11/02 req masuk_x000a_19/02 support menanyakan no cc yg digunakan_x000a_20/02 belum ada update"/>
    <m/>
    <m/>
    <m/>
    <x v="6"/>
  </r>
  <r>
    <s v="INC20260212295"/>
    <d v="2026-02-12T08:33:00"/>
    <s v="Email"/>
    <s v="Distribusi Lancar Jaya &lt;distribusilancarjaya@gmail.com&gt;"/>
    <s v="Jatimpark Vending Mechine"/>
    <s v="Request"/>
    <s v="QR"/>
    <x v="0"/>
    <x v="0"/>
    <x v="286"/>
    <s v="NOBU"/>
    <s v="R04"/>
    <x v="0"/>
    <s v="12/02 req masuk + support teruskan ke NOBU_x000a_12/02 DONE"/>
    <m/>
    <s v="Buka SOP 'REFUND QR NOBU'"/>
    <d v="2026-02-12T00:00:00"/>
    <x v="6"/>
  </r>
  <r>
    <s v="INC20260212296"/>
    <d v="2026-02-12T16:30:00"/>
    <s v="Email"/>
    <s v="keluhan_payment@bca.co.id"/>
    <s v="PT Kreasi Kode Kreatif"/>
    <s v="Issue"/>
    <s v="VA"/>
    <x v="2"/>
    <x v="2"/>
    <x v="287"/>
    <s v="BCA"/>
    <s v="C01"/>
    <x v="0"/>
    <s v="12/02 req masuk + support meminta kronologis dkk_x000a_12/02 belum ada update_x000a_18/02 BCA menanyakan perihal dana_x000a_18/02 support infokan jika memang terbukti bisa dikembalikan _x000a_20/02 BCA melampirkan bukti + support teruskan ke merchant dgn subj 'FW: [O1296dd1] Indikasi Penipuan: BAYAR2.COM/12022026/026 VA 7900119200495477'_x000a_23/02 kvoucher infokan bisa memotong settelment_x000a_23/02 support req hold dana ke finance_x000a_24/02 finance infokan dana sudah di hold_x000a_25/02 support req finance untuk tf ke rek biro BCA_x000a_25/02 finance sudah tf ke BC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2-26T00:00:00"/>
    <x v="6"/>
  </r>
  <r>
    <s v="INC20260213297"/>
    <d v="2026-02-13T01:00:00"/>
    <s v="Email"/>
    <s v="Davis, Paige &lt;paige.davis@abbott.com&gt;"/>
    <s v="MOLINA"/>
    <s v="Request"/>
    <s v="VOA"/>
    <x v="4"/>
    <x v="8"/>
    <x v="288"/>
    <s v="BRI VOA"/>
    <s v="R02"/>
    <x v="0"/>
    <s v="13/02 req masuk_x000a_13/02 DONE"/>
    <m/>
    <m/>
    <d v="2026-02-13T00:00:00"/>
    <x v="6"/>
  </r>
  <r>
    <s v="INC20260213298"/>
    <d v="2026-02-13T08:24:00"/>
    <s v="Email"/>
    <s v="Distribusi Lancar Jaya &lt;distribusilancarjaya@gmail.com&gt;"/>
    <s v="Jatimpark Vending Mechine"/>
    <s v="Request"/>
    <s v="QR"/>
    <x v="0"/>
    <x v="0"/>
    <x v="289"/>
    <s v="NOBU"/>
    <s v="R04"/>
    <x v="0"/>
    <s v="13/02 req masuk + support teruskan ke NOBU_x000a_13/02 DONE"/>
    <m/>
    <s v="Buka SOP 'REFUND QR NOBU'"/>
    <d v="2026-02-13T00:00:00"/>
    <x v="6"/>
  </r>
  <r>
    <s v="INC20260202299"/>
    <d v="2026-02-02T14:55:00"/>
    <s v="Email"/>
    <s v="松枝菜奈' &lt;nana-matsue@t.anabuki.ac.jp&gt;"/>
    <s v="MOLINA"/>
    <s v="Request"/>
    <s v="VOA"/>
    <x v="4"/>
    <x v="8"/>
    <x v="290"/>
    <s v="BRI VOA"/>
    <s v="R02"/>
    <x v="0"/>
    <s v="02/02 req masuk + support meminta info cc_x000a_12/02 cust melampirkan no cc yang digunakan_x000a_13/02 DONE"/>
    <m/>
    <m/>
    <d v="2026-02-13T00:00:00"/>
    <x v="6"/>
  </r>
  <r>
    <s v="INC20260213300"/>
    <d v="2026-02-13T15:12:00"/>
    <s v="Email"/>
    <s v="7th World Congress on Probation and Parole &lt;mail@wcpp2026.id&gt;"/>
    <s v="WCPP Indonesia 2026"/>
    <s v="Request"/>
    <s v="CC"/>
    <x v="5"/>
    <x v="9"/>
    <x v="291"/>
    <s v="BRI CC"/>
    <s v="R05"/>
    <x v="0"/>
    <s v="13/02 req masuk + teruskan ke pak karno guna approval_x000a_18/02 sudah diapprove + support prosess"/>
    <m/>
    <m/>
    <d v="2026-02-18T00:00:00"/>
    <x v="6"/>
  </r>
  <r>
    <s v="INC20260213301"/>
    <d v="2026-02-13T16:03:00"/>
    <s v="Email"/>
    <s v="chargebackops.acq@corp.bri.co.id"/>
    <s v="MOLINA"/>
    <s v="Request"/>
    <s v="VOA"/>
    <x v="1"/>
    <x v="1"/>
    <x v="292"/>
    <s v="BRI VOA"/>
    <s v="R02"/>
    <x v="0"/>
    <s v="13/02 KKD KONFIRMASI Pre-Arbitrasi _x000a_13/02 Support infokan jika terdapat request Pre-Arb dari Bank"/>
    <m/>
    <m/>
    <d v="2026-02-13T00:00:00"/>
    <x v="6"/>
  </r>
  <r>
    <s v="INC20260213302"/>
    <d v="2026-02-13T16:47:00"/>
    <s v="Email"/>
    <s v="chargebackops.acq@corp.bri.co.id"/>
    <s v="MOLINA"/>
    <s v="Request"/>
    <s v="VOA"/>
    <x v="4"/>
    <x v="5"/>
    <x v="293"/>
    <s v="BRI VOA"/>
    <s v="R02"/>
    <x v="0"/>
    <s v="13/02 req masuk_x000a_18/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8T00:00:00"/>
    <x v="6"/>
  </r>
  <r>
    <s v="INC20260215303"/>
    <d v="2026-02-15T14:08:00"/>
    <s v="Email"/>
    <s v="小川　健次 &lt;ogaken@lion.co.jp&gt;"/>
    <s v="MOLINA"/>
    <s v="Request"/>
    <s v="VOA"/>
    <x v="4"/>
    <x v="8"/>
    <x v="294"/>
    <s v="BRI VOA"/>
    <s v="R02"/>
    <x v="0"/>
    <s v="15/02 req masuk_x000a_15/02 DONE"/>
    <m/>
    <m/>
    <d v="2026-02-15T00:00:00"/>
    <x v="6"/>
  </r>
  <r>
    <s v="INC20260216304"/>
    <d v="2026-02-16T09:22:00"/>
    <s v="Email"/>
    <s v="Yvonne.Li &lt;yvonne.li@storyland.com.cn&gt;"/>
    <s v="MOLINA"/>
    <s v="Request"/>
    <s v="VOA"/>
    <x v="4"/>
    <x v="8"/>
    <x v="295"/>
    <s v="BRI VOA"/>
    <s v="R02"/>
    <x v="0"/>
    <s v="15/02 req masuk_x000a_15/02 DONE"/>
    <m/>
    <m/>
    <d v="2026-02-15T00:00:00"/>
    <x v="6"/>
  </r>
  <r>
    <s v="INC20260216305"/>
    <d v="2026-02-16T10:28:00"/>
    <s v="Email"/>
    <s v="Distribusi Lancar Jaya &lt;distribusilancarjaya@gmail.com&gt;"/>
    <s v="Jatimpark Vending Mechine"/>
    <s v="Request"/>
    <s v="QR"/>
    <x v="0"/>
    <x v="0"/>
    <x v="296"/>
    <s v="NOBU"/>
    <s v="R04"/>
    <x v="0"/>
    <s v="15/02 req masuk + support teruskan ke NOBU_x000a_18/02 done"/>
    <m/>
    <s v="Buka SOP 'REFUND QR NOBU'"/>
    <d v="2026-02-18T00:00:00"/>
    <x v="6"/>
  </r>
  <r>
    <s v="INC20260216306"/>
    <d v="2026-02-16T15:46:00"/>
    <s v="Email"/>
    <s v="kazuki.mabuchi@ctc-g.co.jp"/>
    <s v="MOLINA"/>
    <s v="Request"/>
    <s v="VOA"/>
    <x v="4"/>
    <x v="8"/>
    <x v="297"/>
    <s v="BRI VOA"/>
    <s v="R02"/>
    <x v="0"/>
    <s v="16/02 req masuk_x000a_16/02 DONE"/>
    <m/>
    <m/>
    <d v="2026-02-16T00:00:00"/>
    <x v="6"/>
  </r>
  <r>
    <s v="INC20260217307"/>
    <d v="2026-02-17T13:21:00"/>
    <s v="Email"/>
    <s v="Hendra Sukma Widodo &lt;hendra.s.widodo@gmail.com&gt;"/>
    <s v="PT Daya Net Gemilang"/>
    <s v="Request"/>
    <s v="VA"/>
    <x v="3"/>
    <x v="4"/>
    <x v="298"/>
    <s v="BRI"/>
    <s v="R01"/>
    <x v="0"/>
    <s v="17/02 req masuk_x000a_18/02 support sarankan user agar menghubungi pihak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8T00:00:00"/>
    <x v="6"/>
  </r>
  <r>
    <s v="INC20260218308"/>
    <d v="2026-02-18T07:48:00"/>
    <s v="Email"/>
    <s v="Murdani Dani &lt;murdani231091@gmail.com&gt;"/>
    <s v="PT Daya Net Gemilang"/>
    <s v="Request"/>
    <s v="VA"/>
    <x v="3"/>
    <x v="4"/>
    <x v="299"/>
    <s v="BRI"/>
    <s v="R01"/>
    <x v="0"/>
    <s v="18/02 req masuk_x000a_18/02 support infokan jika trx sukses &amp; bisa menghubungi pihak partner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8T00:00:00"/>
    <x v="6"/>
  </r>
  <r>
    <s v="INC20260218309"/>
    <d v="2026-02-18T10:11:00"/>
    <s v="Email"/>
    <s v="Distribusi Lancar Jaya &lt;distribusilancarjaya@gmail.com&gt;"/>
    <s v="Jatimpark Vending Mechine"/>
    <s v="Request"/>
    <s v="QR"/>
    <x v="0"/>
    <x v="0"/>
    <x v="300"/>
    <s v="NOBU"/>
    <s v="R04"/>
    <x v="0"/>
    <s v="18/02 req masuk + support teruskan ke NOBU_x000a_18/02 done"/>
    <m/>
    <s v="Buka SOP 'REFUND QR NOBU'"/>
    <d v="2026-02-18T00:00:00"/>
    <x v="6"/>
  </r>
  <r>
    <s v="INC20260210310"/>
    <d v="2026-02-10T16:56:00"/>
    <s v="WA"/>
    <s v="-"/>
    <s v="YAYASAN ENAM PEDULI PENDIDIKAN"/>
    <s v="Request"/>
    <s v="QR"/>
    <x v="3"/>
    <x v="4"/>
    <x v="301"/>
    <s v="NOBU"/>
    <s v="R01"/>
    <x v="0"/>
    <s v="10/02 univ sains tanyakan trx  000000M3WCGJ   _x000a_10/02 Support cek di dashboard nobu ada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16:59:00"/>
    <x v="6"/>
  </r>
  <r>
    <s v="INC20260210311"/>
    <d v="2026-02-10T21:19:00"/>
    <s v="WA"/>
    <s v="-"/>
    <s v="PT ENVOIZ DIGITAL INDONESIA"/>
    <s v="Request"/>
    <s v="VA"/>
    <x v="3"/>
    <x v="4"/>
    <x v="302"/>
    <s v="BNI"/>
    <s v="R01"/>
    <x v="0"/>
    <s v="10/02 ENVOIZ tanyakan trx  8919101249080532    _x000a_10/02 Support cek di mbase error apprv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20:20:00"/>
    <x v="6"/>
  </r>
  <r>
    <s v="INC20260210312"/>
    <d v="2026-02-10T22:53:00"/>
    <s v="WA"/>
    <s v="-"/>
    <s v="YAYASAN ENAM PEDULI PENDIDIKAN"/>
    <s v="Request"/>
    <s v="QR"/>
    <x v="3"/>
    <x v="4"/>
    <x v="301"/>
    <s v="NOBU"/>
    <s v="R01"/>
    <x v="0"/>
    <s v="10/02 univ sains tanyakan trx  000000M3WCGJ   _x000a_10/02 Support cek di dashboard nobu ada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16:59:00"/>
    <x v="6"/>
  </r>
  <r>
    <s v="INC20260210313"/>
    <d v="2026-02-10T20:15:00"/>
    <s v="WA"/>
    <s v="-"/>
    <s v="PT Daya Net Gemilang"/>
    <s v="Request"/>
    <s v="QR"/>
    <x v="3"/>
    <x v="4"/>
    <x v="303"/>
    <s v="NOBU"/>
    <s v="R01"/>
    <x v="0"/>
    <s v="10/02 dnt tanyakan trx  602502662412   _x000a_10/02 Support cek di dashboard nobu ada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20:20:00"/>
    <x v="6"/>
  </r>
  <r>
    <s v="INC20260210314"/>
    <d v="2026-02-10T21:19:00"/>
    <s v="WA"/>
    <s v="-"/>
    <s v="PT ENVOIZ DIGITAL INDONESIA"/>
    <s v="Request"/>
    <s v="VA"/>
    <x v="3"/>
    <x v="4"/>
    <x v="302"/>
    <s v="BNI"/>
    <s v="R01"/>
    <x v="0"/>
    <s v="10/02 ENVOIZ tanyakan trx  8919101249080532    _x000a_10/02 Support cek di mbase error apprv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21:34:00"/>
    <x v="6"/>
  </r>
  <r>
    <s v="INC20260210315"/>
    <d v="2026-02-10T22:53:00"/>
    <s v="WA"/>
    <s v="-"/>
    <s v="Hotel Murah"/>
    <s v="Request"/>
    <s v="QR"/>
    <x v="3"/>
    <x v="4"/>
    <x v="304"/>
    <s v="NOBU"/>
    <s v="R01"/>
    <x v="0"/>
    <s v="10/02 hotekmurah tanyakan trx  P85132276, RRN AX4U1MEVM4QP    _x000a_10/02 Support cek di dashboard nobu ada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22:56:00"/>
    <x v="6"/>
  </r>
  <r>
    <s v="INC20260210316"/>
    <d v="2026-02-10T23:02:00"/>
    <s v="WA"/>
    <s v="-"/>
    <s v="PT Daya Net Gemilang"/>
    <s v="Request"/>
    <s v="QR"/>
    <x v="3"/>
    <x v="4"/>
    <x v="305"/>
    <s v="NOBU"/>
    <s v="R01"/>
    <x v="0"/>
    <s v="10/02 DNT tanyakan trx  RRN 000131476909 / NACL1361301912    _x000a_10/02 Support cek di dashboard nobu ada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0T23:08:00"/>
    <x v="6"/>
  </r>
  <r>
    <s v="INC20260211317"/>
    <d v="2026-02-11T02:39:00"/>
    <s v="WA"/>
    <s v="-"/>
    <s v="PT Daya Net Gemilang"/>
    <s v="Request"/>
    <s v="VA"/>
    <x v="3"/>
    <x v="4"/>
    <x v="306"/>
    <s v="BCA"/>
    <s v="R01"/>
    <x v="0"/>
    <s v="10/02 DNT tanyakan trx  7900125000090047 / NACL1361301858_x000a_10/02 Support cek di mbase aprvd dan db setld_x000a_09/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1T03:30:00"/>
    <x v="6"/>
  </r>
  <r>
    <s v="INC20260211318"/>
    <d v="2026-02-11T10:31:00"/>
    <s v="WA"/>
    <s v="-"/>
    <s v="Hotel Murah"/>
    <s v="Request"/>
    <s v="QR"/>
    <x v="3"/>
    <x v="3"/>
    <x v="307"/>
    <s v="NOBU"/>
    <s v="R01"/>
    <x v="0"/>
    <s v="11/02 hotelmurah tanyakan trx P85130976, RRN TNGD03157280       _x000a_11/02 Support cek di dashboard nobu ada namun di db cancel_x000a_11/02 Support up wag nobu_x000a_11/02 Support infokan trx sukses"/>
    <s v="SOP #05"/>
    <s v="1. Pastikan merchant &amp; transaksi tersebut valid_x000a_2. Cek VA di apps.plink, bandingkan amount:_x000a__x0009_Amount sama → Update transaksi._x000a__x0009_Amount berbeda → Tidak bisa diupdate, informasikan ke merchant."/>
    <d v="2026-02-11T11:01:00"/>
    <x v="6"/>
  </r>
  <r>
    <s v="INC20260212319"/>
    <d v="2026-02-12T03:43:00"/>
    <s v="WA"/>
    <s v="-"/>
    <s v="PT ENVOIZ DIGITAL INDONESIA"/>
    <s v="Request"/>
    <s v="VA"/>
    <x v="3"/>
    <x v="4"/>
    <x v="308"/>
    <s v="BNI"/>
    <s v="R01"/>
    <x v="0"/>
    <s v="12/02 NOBECUL tanyakan trx  8919101217435469    _x000a_12/02 Support cek di mbase apprv di dashboard tidak ada_x000a_12/02 Support infokan menunggu rekon&quot;_x000a_12/02 Support infokan sukses karena di db sudah setld"/>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2T15:05:00"/>
    <x v="6"/>
  </r>
  <r>
    <s v="INC20260212320"/>
    <d v="2026-02-12T12:41:00"/>
    <s v="WA"/>
    <s v="-"/>
    <s v="PT Daya Net Gemilang"/>
    <s v="Request"/>
    <s v="QR"/>
    <x v="3"/>
    <x v="3"/>
    <x v="309"/>
    <s v="NOBU"/>
    <s v="R01"/>
    <x v="0"/>
    <s v="12/02 hotelmurah tanyakan trx NACL1363464608 / 0012211022627001869    _x000a_12/02 Support cek di dashboard nobu ada namun di db cancel_x000a_12/02 Support infokan team terkait"/>
    <s v="SOP #05"/>
    <s v="1. Pastikan merchant &amp; transaksi tersebut valid_x000a_2. Cek VA di apps.plink, bandingkan amount:_x000a__x0009_Amount sama → Update transaksi._x000a__x0009_Amount berbeda → Tidak bisa diupdate, informasikan ke merchant."/>
    <d v="2026-02-12T00:00:00"/>
    <x v="6"/>
  </r>
  <r>
    <s v="INC20260212321"/>
    <d v="2026-02-12T15:14:00"/>
    <s v="WA"/>
    <s v="-"/>
    <s v="PT Daya Net Gemilang"/>
    <s v="Request"/>
    <s v="QR"/>
    <x v="3"/>
    <x v="3"/>
    <x v="310"/>
    <s v="NOBU"/>
    <s v="R01"/>
    <x v="0"/>
    <s v="12/02 DNT tanyakan trx NACL1363411164 // RRN 974528029699    _x000a_12/02 Support cek di dashboard nobu ada namun di db cancel_x000a_12/02 Support infokan team terkait untuk update_x000a_12/01 Support infokan sukses"/>
    <s v="SOP #05"/>
    <s v="1. Pastikan merchant &amp; transaksi tersebut valid_x000a_2. Cek VA di apps.plink, bandingkan amount:_x000a__x0009_Amount sama → Update transaksi._x000a__x0009_Amount berbeda → Tidak bisa diupdate, informasikan ke merchant."/>
    <d v="2026-02-12T16:10:00"/>
    <x v="6"/>
  </r>
  <r>
    <s v="INC20260212322"/>
    <d v="2026-02-12T20:24:00"/>
    <s v="WA"/>
    <s v="-"/>
    <s v="PT Daya Net Gemilang"/>
    <s v="Request"/>
    <s v="QR"/>
    <x v="3"/>
    <x v="3"/>
    <x v="311"/>
    <s v="NOBU"/>
    <s v="R01"/>
    <x v="0"/>
    <s v="12/02 DNT tanyakan trx 0012211022636591571 // RRN 000162624943    _x000a_12/02 Support cek di dashboard nobu ada namun di db cancel_x000a_12/02 Support infokan team terkait untuk update_x000a_"/>
    <s v="SOP #05"/>
    <s v="1. Pastikan merchant &amp; transaksi tersebut valid_x000a_2. Cek VA di apps.plink, bandingkan amount:_x000a__x0009_Amount sama → Update transaksi._x000a__x0009_Amount berbeda → Tidak bisa diupdate, informasikan ke merchant."/>
    <d v="2026-02-12T22:40:00"/>
    <x v="6"/>
  </r>
  <r>
    <s v="INC20260212323"/>
    <d v="2026-02-12T23:00:00"/>
    <s v="WA"/>
    <s v="-"/>
    <s v="PT Daya Net Gemilang"/>
    <s v="Request"/>
    <s v="QR"/>
    <x v="3"/>
    <x v="3"/>
    <x v="312"/>
    <s v="NOBU"/>
    <s v="R01"/>
    <x v="0"/>
    <s v="12/02 DNT tanyakan trx 0012211022636591571 // RRN 000162624943    _x000a_12/02 Support cek di dashboard nobu ada namun di db cancel_x000a_12/02 Support infokan team terkait untuk update_x000a_"/>
    <s v="SOP #05"/>
    <s v="1. Pastikan merchant &amp; transaksi tersebut valid_x000a_2. Cek VA di apps.plink, bandingkan amount:_x000a__x0009_Amount sama → Update transaksi._x000a__x0009_Amount berbeda → Tidak bisa diupdate, informasikan ke merchant."/>
    <d v="2026-02-12T00:00:00"/>
    <x v="6"/>
  </r>
  <r>
    <s v="INC20260213324"/>
    <d v="2026-02-13T03:51:00"/>
    <s v="WA"/>
    <s v="-"/>
    <s v="PT Kreasi Kode Kreatif"/>
    <s v="Request"/>
    <s v="VA"/>
    <x v="3"/>
    <x v="3"/>
    <x v="313"/>
    <s v="BCA"/>
    <s v="R01"/>
    <x v="0"/>
    <s v="12/02 K Voucher tanyakan trx  7900119200501488  / 2026021340100120177_x000a_12/02 Support cek di Mbase masih belum ada_x000a_12/02 Support infokan tunggu rekon_x000a_13/02 Support infokan tunggu rekon karena trx cek by mbase maupun operator tidak ada 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25"/>
    <d v="2026-02-13T04:13:00"/>
    <s v="WA"/>
    <s v="-"/>
    <s v="PT Kreasi Kode Kreatif"/>
    <s v="Request"/>
    <s v="VA"/>
    <x v="3"/>
    <x v="3"/>
    <x v="314"/>
    <s v="BCA"/>
    <s v="R01"/>
    <x v="0"/>
    <s v="12/02 K Voucher tanyakan trx  7900119200501490 / 2026021340100120334_x000a_12/02 Support cek di Mbase masih belum ada_x000a_12/02 Support infokan tunggu rekon&quot;_x000a_13/02 Support infokan tunggu rekon karena trx cek by mbase maupun operator tidak ada 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26"/>
    <d v="2026-02-13T03:28:00"/>
    <s v="WA"/>
    <s v="-"/>
    <s v="PT Daya Net Gemilang"/>
    <s v="Request"/>
    <s v="QR"/>
    <x v="3"/>
    <x v="3"/>
    <x v="315"/>
    <s v="NOBU"/>
    <s v="R01"/>
    <x v="0"/>
    <s v="12/02 DNT tanyakan trx NACL1365474672 with RRN 602527504391 _x000a_12/02 Support cek di dashboard nobu ada namun di db cancel_x000a_12/02 Support infokan team terkait untuk update_x000a_13/02 Support infokan sukses karena di db sudah setld "/>
    <s v="SOP #05"/>
    <s v="1. Pastikan merchant &amp; transaksi tersebut valid_x000a_2. Cek VA di apps.plink, bandingkan amount:_x000a__x0009_Amount sama → Update transaksi._x000a__x0009_Amount berbeda → Tidak bisa diupdate, informasikan ke merchant."/>
    <d v="2026-02-13T10:00:00"/>
    <x v="6"/>
  </r>
  <r>
    <s v="INC20260213327"/>
    <d v="2026-02-13T03:27:00"/>
    <s v="WA"/>
    <s v="-"/>
    <s v="PT Teknologi Awan Cerah"/>
    <s v="Request"/>
    <s v="VA"/>
    <x v="3"/>
    <x v="3"/>
    <x v="316"/>
    <s v="BCA"/>
    <s v="R01"/>
    <x v="0"/>
    <s v="12/02 K Voucher tanyakan trx  7900119200501490 / 2026021340100120334_x000a_12/02 Support cek di Mbase masih belum ada_x000a_12/02 Support infokan tunggu rekon&quot;_x000a_13/02 Support infokan tunggu rekon karena trx cek by mbase maupun operator tidak ada 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28"/>
    <d v="2026-02-13T11:28:00"/>
    <s v="WA"/>
    <s v="-"/>
    <s v="PT Daya Net Gemilang"/>
    <s v="Request"/>
    <s v="VA"/>
    <x v="3"/>
    <x v="4"/>
    <x v="317"/>
    <s v="BCA"/>
    <s v="R01"/>
    <x v="0"/>
    <s v="13/02 dnt tanyakan trx  7900125000071732     _x000a_12/02 Support cek di mbase dashboard tidak ada_x000a_13/02 Support infokan menunggu rekon_x000a_16/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6T00:00:00"/>
    <x v="6"/>
  </r>
  <r>
    <s v="INC20260213329"/>
    <d v="2026-02-13T11:44:00"/>
    <s v="WA"/>
    <s v="-"/>
    <s v="PT Teknologi Awan Cerah"/>
    <s v="Request"/>
    <s v="VA"/>
    <x v="3"/>
    <x v="3"/>
    <x v="318"/>
    <s v="BCA"/>
    <s v="R01"/>
    <x v="0"/>
    <s v="13/02 NOBECUL tanyakan trx  7900121700094470     _x000a_13/02 Support cek di mbase dashboard tidak ada_x000a_13/02 Support infokan menunggu rekon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30"/>
    <d v="2026-02-13T08:33:00"/>
    <s v="WA"/>
    <s v="-"/>
    <s v="PT Teknologi Awan Cerah"/>
    <s v="Request"/>
    <s v="VA"/>
    <x v="3"/>
    <x v="3"/>
    <x v="319"/>
    <s v="BCA"/>
    <s v="R01"/>
    <x v="0"/>
    <s v="13/02 Nobecul tanyakan trx   7900121700038986 / 2026021340100119844 _x000a_13/02 Support cek di mbase tidak ada dan db pending_x000a_13/02 Support infokan menunggu rekon 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31"/>
    <d v="2026-02-13T14:11:00"/>
    <s v="WA"/>
    <s v="-"/>
    <s v="PT Teknologi Awan Cerah"/>
    <s v="Request"/>
    <s v="VA"/>
    <x v="3"/>
    <x v="3"/>
    <x v="320"/>
    <s v="BCA"/>
    <s v="R01"/>
    <x v="0"/>
    <s v="13/02 Nobecul tanyakan trx   7900121700098603 _x000a_13/02 Support cek di mbase tidak ada dan db pending_x000a_13/02 Support infokan menunggu rekon 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32"/>
    <d v="2026-02-13T14:54:00"/>
    <s v="WA"/>
    <s v="-"/>
    <s v="PT Daya Net Gemilang"/>
    <s v="Request"/>
    <s v="VA"/>
    <x v="3"/>
    <x v="3"/>
    <x v="321"/>
    <s v="BCA"/>
    <s v="R01"/>
    <x v="0"/>
    <s v="13/02 dayanet tanyakan trx  7900125000081846      _x000a_13/02 Support cek di mbase dashboard tidak ada_x000a_13/02 Support infokan menunggu rekon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33"/>
    <d v="2026-02-13T15:39:00"/>
    <s v="WA"/>
    <s v="-"/>
    <s v="PT Daya Net Gemilang"/>
    <s v="Request"/>
    <s v="VA"/>
    <x v="3"/>
    <x v="3"/>
    <x v="322"/>
    <s v="BCA"/>
    <s v="R01"/>
    <x v="0"/>
    <s v="13/02 dayanet tanyakan trx  7900125000071732      _x000a_13/02 Support cek di mbase dashboard tidak ada_x000a_13/02 Support infokan menunggu rekon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34"/>
    <d v="2026-02-13T18:47:00"/>
    <s v="WA"/>
    <s v="-"/>
    <s v="PT Daya Net Gemilang"/>
    <s v="Request"/>
    <s v="QR"/>
    <x v="3"/>
    <x v="3"/>
    <x v="323"/>
    <s v="NOBU"/>
    <s v="R01"/>
    <x v="0"/>
    <s v="13/02 dayanet tanyakan trx 0000000MKFSVC      _x000a_13/02 Support cek di db Nobu tidak ada_x000a_13/02 Support up Nobu_x000a_14/02 support infokan trx sukses"/>
    <s v="SOP #05"/>
    <s v="1. Pastikan merchant &amp; transaksi tersebut valid_x000a_2. Cek VA di apps.plink, bandingkan amount:_x000a__x0009_Amount sama → Update transaksi._x000a__x0009_Amount berbeda → Tidak bisa diupdate, informasikan ke merchant."/>
    <d v="2026-02-14T00:00:00"/>
    <x v="6"/>
  </r>
  <r>
    <s v="INC20260213335"/>
    <d v="2026-02-13T19:02:00"/>
    <s v="WA"/>
    <s v="-"/>
    <s v="PT Daya Net Gemilang"/>
    <s v="Request"/>
    <s v="QR"/>
    <x v="3"/>
    <x v="4"/>
    <x v="324"/>
    <s v="NOBU"/>
    <s v="R01"/>
    <x v="0"/>
    <s v="13/02 dayanet tanyakan trx 602539449029      _x000a_13/02 Support cek di db prismalink dan Nobu ada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00:00:00"/>
    <x v="6"/>
  </r>
  <r>
    <s v="INC20260213336"/>
    <d v="2026-02-13T19:19:00"/>
    <s v="WA"/>
    <s v="-"/>
    <s v="PT Daya Net Gemilang"/>
    <s v="Request"/>
    <s v="VA"/>
    <x v="3"/>
    <x v="4"/>
    <x v="325"/>
    <s v="BCA"/>
    <s v="R01"/>
    <x v="0"/>
    <s v="13/02 dayanet tanyakan trx NACL1366835049 / 7900125000098969      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0:19:00"/>
    <x v="6"/>
  </r>
  <r>
    <s v="INC20260213337"/>
    <d v="2026-02-13T19:25:00"/>
    <s v="WA"/>
    <s v="-"/>
    <s v="PT Daya Net Gemilang"/>
    <s v="Request"/>
    <s v="VA"/>
    <x v="3"/>
    <x v="4"/>
    <x v="326"/>
    <s v="MANDIRI"/>
    <s v="R01"/>
    <x v="0"/>
    <s v="13/02 dayanet tanyakan trx NACL1366854083 / 8903910125032116_x000a_13/02 Support cek di db prismalink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0:19:00"/>
    <x v="6"/>
  </r>
  <r>
    <s v="INC20260213338"/>
    <d v="2026-02-13T19:40:00"/>
    <s v="WA"/>
    <s v="-"/>
    <s v="PT Daya Net Gemilang"/>
    <s v="Request"/>
    <s v="VA"/>
    <x v="3"/>
    <x v="4"/>
    <x v="327"/>
    <s v="BCA"/>
    <s v="R01"/>
    <x v="0"/>
    <s v="13/02 dayanet tanyakan trx NACL1366339379 / 7900125000008298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3036-02-13T20:19:00"/>
    <x v="6"/>
  </r>
  <r>
    <s v="INC20260213339"/>
    <d v="2026-02-13T19:50:00"/>
    <s v="WA"/>
    <s v="-"/>
    <s v="PT Daya Net Gemilang"/>
    <s v="Request"/>
    <s v="VA"/>
    <x v="3"/>
    <x v="4"/>
    <x v="328"/>
    <s v="BCA"/>
    <s v="R01"/>
    <x v="0"/>
    <s v="13/02 dayanet tanyakan trx NACL1366857934 / 7900125000086885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0:19:00"/>
    <x v="6"/>
  </r>
  <r>
    <s v="INC20260213340"/>
    <d v="2026-02-13T20:35:00"/>
    <s v="WA"/>
    <s v="-"/>
    <s v="PT Daya Net Gemilang"/>
    <s v="Request"/>
    <s v="VA"/>
    <x v="3"/>
    <x v="4"/>
    <x v="329"/>
    <s v="BCA"/>
    <s v="R01"/>
    <x v="0"/>
    <s v="13/02 dayanet tanyakan trx NACL1366854859 / 7900125000094512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0:38:00"/>
    <x v="6"/>
  </r>
  <r>
    <s v="INC20260213341"/>
    <d v="2026-02-13T21:21:00"/>
    <s v="WA"/>
    <s v="-"/>
    <s v="PT Daya Net Gemilang"/>
    <s v="Request"/>
    <s v="QR"/>
    <x v="3"/>
    <x v="4"/>
    <x v="330"/>
    <s v="NOBU"/>
    <s v="R01"/>
    <x v="0"/>
    <s v="13/02 dayanet tanyakan trx NACL1367175675 / 018240468277      _x000a_13/02 Support cek di db prismalink dan Nobu ada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1:25:00"/>
    <x v="6"/>
  </r>
  <r>
    <s v="INC20260213342"/>
    <d v="2026-02-13T21:23:00"/>
    <s v="WA"/>
    <s v="-"/>
    <s v="PT Daya Net Gemilang"/>
    <s v="Request"/>
    <s v="QR"/>
    <x v="3"/>
    <x v="4"/>
    <x v="331"/>
    <s v="NOBU"/>
    <s v="R01"/>
    <x v="0"/>
    <s v="13/02 dayanet tanyakan trx NACL1367176561 / 000213702490   _x000a_13/02 Support cek di db prismalink dan Nobu ada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1:43:00"/>
    <x v="6"/>
  </r>
  <r>
    <s v="INC20260213343"/>
    <d v="2026-02-13T21:34:00"/>
    <s v="WA"/>
    <s v="-"/>
    <s v="PT Daya Net Gemilang"/>
    <s v="Request"/>
    <s v="VA"/>
    <x v="3"/>
    <x v="3"/>
    <x v="332"/>
    <s v="BCA"/>
    <s v="R01"/>
    <x v="0"/>
    <s v="13/02 dayanet tanyakan trx  7900125000051597      _x000a_13/02 Support cek di mbase dashboard tidak ada_x000a_13/02 Support infokan menunggu rekon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3344"/>
    <d v="2026-02-13T22:05:00"/>
    <s v="WA"/>
    <s v="-"/>
    <s v="PT Daya Net Gemilang"/>
    <s v="Request"/>
    <s v="VA"/>
    <x v="3"/>
    <x v="4"/>
    <x v="333"/>
    <s v="BCA"/>
    <s v="R01"/>
    <x v="0"/>
    <s v="13/02 dayanet tanyakan trx 7900125000060295 / NACL1366855505 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2:12:00"/>
    <x v="6"/>
  </r>
  <r>
    <s v="INC20260213345"/>
    <d v="2026-02-13T22:31:00"/>
    <s v="WA"/>
    <s v="-"/>
    <s v="PT Daya Net Gemilang"/>
    <s v="Request"/>
    <s v="VA"/>
    <x v="3"/>
    <x v="4"/>
    <x v="334"/>
    <s v="BCA"/>
    <s v="R01"/>
    <x v="0"/>
    <s v="13/02 dayanet tanyakan trx 7900125000012062 / NACL1366854518 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2:46:00"/>
    <x v="6"/>
  </r>
  <r>
    <s v="INC20260213346"/>
    <d v="2026-02-13T22:37:00"/>
    <s v="WA"/>
    <s v="-"/>
    <s v="PT Daya Net Gemilang"/>
    <s v="Request"/>
    <s v="VA"/>
    <x v="3"/>
    <x v="4"/>
    <x v="335"/>
    <s v="BCA"/>
    <s v="R01"/>
    <x v="0"/>
    <s v="13/02 dayanet tanyakan trx NACL1366706815 / 7900125000079992_x000a_13/02 Support cek di db prismalink dan mbase sukses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2:56:00"/>
    <x v="6"/>
  </r>
  <r>
    <s v="INC20260213347"/>
    <d v="2026-02-13T22:39:00"/>
    <s v="WA"/>
    <s v="-"/>
    <s v="PT Daya Net Gemilang"/>
    <s v="Request"/>
    <s v="QR"/>
    <x v="3"/>
    <x v="4"/>
    <x v="336"/>
    <s v="BCA"/>
    <s v="R01"/>
    <x v="0"/>
    <s v="13/02 dayanet tanyakan trx NACL1367176272 / 1lpaiiv08236   _x000a_13/02 Support cek di db prismalink dan Nobu ada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2:49:00"/>
    <x v="6"/>
  </r>
  <r>
    <s v="INC20260213348"/>
    <d v="2026-02-13T22:40:00"/>
    <s v="WA"/>
    <s v="-"/>
    <s v="PT Daya Net Gemilang"/>
    <s v="Request"/>
    <s v="VA"/>
    <x v="3"/>
    <x v="4"/>
    <x v="335"/>
    <s v="BCA"/>
    <s v="R01"/>
    <x v="0"/>
    <s v="13/02 dayanet tanyakan trx NACL1366706815 / 7900125000079992   _x000a_13/02 Support cek di db prismalink dan Nobu ada_x000a_13/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3T22:56:00"/>
    <x v="6"/>
  </r>
  <r>
    <s v="INC20260214349"/>
    <d v="2026-02-14T22:37:00"/>
    <s v="WA"/>
    <s v="-"/>
    <s v="PT Daya Net Gemilang"/>
    <s v="Request"/>
    <s v="QR"/>
    <x v="3"/>
    <x v="3"/>
    <x v="337"/>
    <s v="NOBU"/>
    <s v="R01"/>
    <x v="0"/>
    <s v="14/02 dayanet tanyakan trx _x000a_NACL1369297935 RRN 000245991398_x000a_NACL1369297562 RRN 000245988557_x000a_NACL1369290465 No ref: 000000MPVMDZ_x000a_NACL1369281125 RRN 000245874754_x000a_NACL1369281242 No ref: 000000MPVJPS_x000a_NACL1369281235 RRN 017819672633_x000a_NACL1369281125 RRN 000245874754_x000a_14/02 Support cek di db Nobu ada namun dashboard 1 cancel_x000a_14/02 Support up ke Nobu"/>
    <s v="SOP #05"/>
    <s v="1. Pastikan merchant &amp; transaksi tersebut valid_x000a_2. Cek VA di apps.plink, bandingkan amount:_x000a__x0009_Amount sama → Update transaksi._x000a__x0009_Amount berbeda → Tidak bisa diupdate, informasikan ke merchant."/>
    <d v="2026-02-14T23:51:00"/>
    <x v="6"/>
  </r>
  <r>
    <s v="INC20260214350"/>
    <d v="2026-02-14T15:15:00"/>
    <s v="WA"/>
    <s v="-"/>
    <s v="PT Daya Net Gemilang"/>
    <s v="Request"/>
    <s v="QR"/>
    <x v="3"/>
    <x v="4"/>
    <x v="338"/>
    <s v="NOBU"/>
    <s v="R01"/>
    <x v="0"/>
    <s v="14/02 dayanet tanyakan trx _x000a_NACL1367717823 / 018010459709_x000a_14/02 Support cek di db Nobu ada namun dashboard 1 setld_x000a_14/02 Support info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4T15:55:00"/>
    <x v="6"/>
  </r>
  <r>
    <s v="INC20260214351"/>
    <d v="2026-02-14T15:18:00"/>
    <s v="WA"/>
    <s v="-"/>
    <s v="PT Daya Net Gemilang"/>
    <s v="Request"/>
    <s v="VA"/>
    <x v="3"/>
    <x v="4"/>
    <x v="339"/>
    <s v="BCA"/>
    <s v="R01"/>
    <x v="0"/>
    <s v="14/02 dayanet tanyakan trx  7900125000001990 / NACL1368236774   _x000a_14/02 Support cek di mbase dashboard  ada_x000a_14/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4T15:57:00"/>
    <x v="6"/>
  </r>
  <r>
    <s v="INC20260214352"/>
    <d v="2026-02-14T16:21:00"/>
    <s v="WA"/>
    <s v="-"/>
    <s v="PT Daya Net Gemilang"/>
    <s v="Request"/>
    <s v="VA"/>
    <x v="3"/>
    <x v="3"/>
    <x v="340"/>
    <s v="BCA"/>
    <s v="R01"/>
    <x v="0"/>
    <s v="14/02 Nobecul  tanyakan trx  7900121700073313   _x000a_14/02 Support cek di mbase aprvd dan dashboard cancel_x000a_14/02 Supporrt infokan ke team terkait_x000a_15/02 Support infokan sukses"/>
    <s v="SOP #05"/>
    <s v="1. Pastikan merchant &amp; transaksi tersebut valid_x000a_2. Cek VA di apps.plink, bandingkan amount:_x000a__x0009_Amount sama → Update transaksi._x000a__x0009_Amount berbeda → Tidak bisa diupdate, informasikan ke merchant."/>
    <d v="2026-02-15T00:07:00"/>
    <x v="6"/>
  </r>
  <r>
    <s v="INC20260214353"/>
    <d v="2026-02-14T20:04:00"/>
    <s v="WA"/>
    <s v="-"/>
    <s v="Tripay"/>
    <s v="Request"/>
    <s v="VA"/>
    <x v="3"/>
    <x v="4"/>
    <x v="341"/>
    <s v="BCA"/>
    <s v="R01"/>
    <x v="0"/>
    <s v="14/02 Tripay  tanyakan trx  7900117900024848   _x000a_14/02 Support cek di mbase reject_x000a_14/02 Supporrt infokan ke team terkait_x000a_14/02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4T20:53:00"/>
    <x v="6"/>
  </r>
  <r>
    <s v="INC20260214354"/>
    <d v="2026-02-14T19:21:00"/>
    <s v="WA"/>
    <s v="-"/>
    <s v="Tripay"/>
    <s v="Request"/>
    <s v="VA"/>
    <x v="3"/>
    <x v="4"/>
    <x v="342"/>
    <s v="BRI"/>
    <s v="R01"/>
    <x v="0"/>
    <s v="14/02 Tripaay  tanyakan trx  4041910117901473    _x000a_14/02 Support cek di mbase tidak ada dan dashbaord cancel_x000a_14/02 Supporrt infokan ke team terkait_x000a_14/02 Support infokan menunggu rekon_x000a_16/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6T00:00:00"/>
    <x v="6"/>
  </r>
  <r>
    <s v="INC20260215355"/>
    <d v="2026-02-15T00:23:00"/>
    <s v="WA"/>
    <s v="-"/>
    <s v="PT Daya Net Gemilang"/>
    <s v="Request"/>
    <s v="QR"/>
    <x v="3"/>
    <x v="3"/>
    <x v="343"/>
    <s v="NOBU"/>
    <s v="R01"/>
    <x v="0"/>
    <s v="15/02 dayanet tanyakan trx 0012214022667443438 / 000245947200_x000a_0012214022667443438 / 000245947200_x000a_15/02 Support cek di db Nobu ada namun dashboard cancel_x000a_15/02 Support up ke Nobu dan update"/>
    <s v="SOP #05"/>
    <s v="1. Pastikan merchant &amp; transaksi tersebut valid_x000a_2. Cek VA di apps.plink, bandingkan amount:_x000a__x0009_Amount sama → Update transaksi._x000a__x0009_Amount berbeda → Tidak bisa diupdate, informasikan ke merchant."/>
    <d v="2026-02-15T00:50:00"/>
    <x v="6"/>
  </r>
  <r>
    <s v="INC20260215356"/>
    <d v="2026-02-15T01:28:00"/>
    <s v="WA"/>
    <s v="-"/>
    <s v="PT Daya Net Gemilang"/>
    <s v="Request"/>
    <s v="QR"/>
    <x v="3"/>
    <x v="3"/>
    <x v="344"/>
    <s v="NOBU"/>
    <s v="R01"/>
    <x v="0"/>
    <s v="15/02 dayanet tanyakan trx NACL1369281077 / 1lqhrmh65214 _x000a_NACL1369297979 / 000245991440_x000a_15/02 Support cek di db Nobu ada namun dashboard cancel_x000a_15/02 Support up ke Nobu dan update"/>
    <s v="SOP #05"/>
    <s v="1. Pastikan merchant &amp; transaksi tersebut valid_x000a_2. Cek VA di apps.plink, bandingkan amount:_x000a__x0009_Amount sama → Update transaksi._x000a__x0009_Amount berbeda → Tidak bisa diupdate, informasikan ke merchant."/>
    <d v="2026-02-15T00:00:00"/>
    <x v="6"/>
  </r>
  <r>
    <s v="INC20260215357"/>
    <d v="2026-02-15T12:39:00"/>
    <s v="WA"/>
    <s v="-"/>
    <s v="PT Daya Net Gemilang"/>
    <s v="Request"/>
    <s v="QR"/>
    <x v="3"/>
    <x v="3"/>
    <x v="345"/>
    <s v="NOBU"/>
    <s v="R01"/>
    <x v="0"/>
    <s v="15/02 dnt tanyakan trx  NACL1370081169_x000a_RRN 021511464333    _x000a_15/02 Support cek di db nobu no result eskalasi nobu info gagal_x000a_15/02 Support infokan gagal"/>
    <s v="SOP #05"/>
    <s v="1. Pastikan merchant &amp; transaksi tersebut valid_x000a_2. Cek VA di apps.plink, bandingkan amount:_x000a__x0009_Amount sama → Update transaksi._x000a__x0009_Amount berbeda → Tidak bisa diupdate, informasikan ke merchant."/>
    <d v="2026-02-15T12:46:00"/>
    <x v="6"/>
  </r>
  <r>
    <s v="INC20260215358"/>
    <d v="2026-02-15T12:20:00"/>
    <s v="WA"/>
    <s v="-"/>
    <s v="PT Daya Net Gemilang"/>
    <s v="Request"/>
    <s v="QR"/>
    <x v="3"/>
    <x v="3"/>
    <x v="346"/>
    <s v="NOBU"/>
    <s v="R01"/>
    <x v="0"/>
    <s v="15/02 dnt tanyakan trx  NACL1370094414 // 602559464466  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59"/>
    <d v="2026-02-15T12:18:00"/>
    <s v="WA"/>
    <s v="-"/>
    <s v="PT Daya Net Gemilang"/>
    <s v="Request"/>
    <s v="QR"/>
    <x v="3"/>
    <x v="3"/>
    <x v="347"/>
    <s v="NOBU"/>
    <s v="R01"/>
    <x v="0"/>
    <s v="15/02 dnt tanyakan trx  NACL1369300081 // 246038359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00:00:00"/>
    <x v="6"/>
  </r>
  <r>
    <s v="INC20260215360"/>
    <d v="2026-02-15T12:24:00"/>
    <s v="WA"/>
    <s v="-"/>
    <s v="PT Daya Net Gemilang"/>
    <s v="Request"/>
    <s v="QR"/>
    <x v="3"/>
    <x v="3"/>
    <x v="348"/>
    <s v="NOBU"/>
    <s v="R01"/>
    <x v="0"/>
    <s v="15/02 dnt tanyakan trx  NACL1370072642 // 255910115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1"/>
    <d v="2026-02-15T12:57:00"/>
    <s v="WA"/>
    <s v="-"/>
    <s v="PT Daya Net Gemilang"/>
    <s v="Request"/>
    <s v="QR"/>
    <x v="3"/>
    <x v="3"/>
    <x v="349"/>
    <s v="NOBU"/>
    <s v="R01"/>
    <x v="0"/>
    <s v="15/02 dnt tanyakan trx  NACL1370075075 // 976138035006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2"/>
    <d v="2026-02-15T13:05:00"/>
    <s v="WA"/>
    <s v="-"/>
    <s v="PT Daya Net Gemilang"/>
    <s v="Request"/>
    <s v="QR"/>
    <x v="3"/>
    <x v="3"/>
    <x v="350"/>
    <s v="NOBU"/>
    <s v="R01"/>
    <x v="0"/>
    <s v="15/02 dnt tanyakan trx  NACL1370115936 // 017987442822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3"/>
    <d v="2026-02-15T13:16:00"/>
    <s v="WA"/>
    <s v="-"/>
    <s v="PT Daya Net Gemilang"/>
    <s v="Request"/>
    <s v="QR"/>
    <x v="3"/>
    <x v="3"/>
    <x v="351"/>
    <s v="NOBU"/>
    <s v="R01"/>
    <x v="0"/>
    <s v="15/02 dnt tanyakan trx  NACL1370115608 // 257122900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4"/>
    <d v="2026-02-15T13:22:00"/>
    <s v="WA"/>
    <s v="-"/>
    <s v="PT Daya Net Gemilang"/>
    <s v="Request"/>
    <s v="QR"/>
    <x v="3"/>
    <x v="3"/>
    <x v="352"/>
    <s v="NOBU"/>
    <s v="R01"/>
    <x v="0"/>
    <s v="15/02 dnt tanyakan trx  NACL1370132235 // 257670331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5"/>
    <d v="2026-02-15T13:23:00"/>
    <s v="WA"/>
    <s v="-"/>
    <s v="PT Daya Net Gemilang"/>
    <s v="Request"/>
    <s v="QR"/>
    <x v="3"/>
    <x v="3"/>
    <x v="353"/>
    <s v="NOBU"/>
    <s v="R01"/>
    <x v="0"/>
    <s v="15/02 dnt tanyakan trx  NACL1370134627 // 257762310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00:00:00"/>
    <x v="6"/>
  </r>
  <r>
    <s v="INC20260215366"/>
    <d v="2026-02-15T13:35:00"/>
    <s v="WA"/>
    <s v="-"/>
    <s v="PT Daya Net Gemilang"/>
    <s v="Request"/>
    <s v="QR"/>
    <x v="3"/>
    <x v="3"/>
    <x v="354"/>
    <s v="NOBU"/>
    <s v="R01"/>
    <x v="0"/>
    <s v="15/02 dnt tanyakan trx  NACL1370142485 // 258010016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7"/>
    <d v="2026-02-15T13:37:00"/>
    <s v="WA"/>
    <s v="-"/>
    <s v="PT Daya Net Gemilang"/>
    <s v="Request"/>
    <s v="QR"/>
    <x v="3"/>
    <x v="3"/>
    <x v="355"/>
    <s v="NOBU"/>
    <s v="R01"/>
    <x v="0"/>
    <s v="15/02 dnt tanyakan trx  NACL1370091332 // 000000MRHMHN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8"/>
    <d v="2026-02-15T13:37:00"/>
    <s v="WA"/>
    <s v="-"/>
    <s v="PT Daya Net Gemilang"/>
    <s v="Request"/>
    <s v="QR"/>
    <x v="3"/>
    <x v="3"/>
    <x v="356"/>
    <s v="NOBU"/>
    <s v="R01"/>
    <x v="0"/>
    <s v="15/02 dnt tanyakan trx  NACL1370122054 // 001005859335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69"/>
    <d v="2026-02-15T13:38:00"/>
    <s v="WA"/>
    <s v="-"/>
    <s v="PT Daya Net Gemilang"/>
    <s v="Request"/>
    <s v="QR"/>
    <x v="3"/>
    <x v="3"/>
    <x v="357"/>
    <s v="NOBU"/>
    <s v="R01"/>
    <x v="0"/>
    <s v="15/02 dnt tanyakan trx  NACL1370104678 // 256850473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70"/>
    <d v="2026-02-15T13:43:00"/>
    <s v="WA"/>
    <s v="-"/>
    <s v="PT Daya Net Gemilang"/>
    <s v="Request"/>
    <s v="QR"/>
    <x v="3"/>
    <x v="3"/>
    <x v="358"/>
    <s v="NOBU"/>
    <s v="R01"/>
    <x v="0"/>
    <s v="15/02 dnt tanyakan trx  NACL1370129272 // 602550801833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71"/>
    <d v="2026-02-15T13:54:00"/>
    <s v="WA"/>
    <s v="-"/>
    <s v="PT Daya Net Gemilang"/>
    <s v="Request"/>
    <s v="QR"/>
    <x v="3"/>
    <x v="3"/>
    <x v="359"/>
    <s v="NOBU"/>
    <s v="R01"/>
    <x v="0"/>
    <s v="15/02 dnt tanyakan trx  NACL1370117797 // 1lr51pt26990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72"/>
    <d v="2026-02-15T14:19:00"/>
    <s v="WA"/>
    <s v="-"/>
    <s v="PT Daya Net Gemilang"/>
    <s v="Request"/>
    <s v="QR"/>
    <x v="3"/>
    <x v="3"/>
    <x v="360"/>
    <s v="NOBU"/>
    <s v="R01"/>
    <x v="0"/>
    <s v="15/02 dnt tanyakan trx  NACL1370082719 // 256174313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73"/>
    <d v="2026-02-15T14:25:00"/>
    <s v="WA"/>
    <s v="-"/>
    <s v="PT Daya Net Gemilang"/>
    <s v="Request"/>
    <s v="QR"/>
    <x v="3"/>
    <x v="3"/>
    <x v="361"/>
    <s v="NOBU"/>
    <s v="R01"/>
    <x v="0"/>
    <s v="15/02 dnt tanyakan trx  NACL1370082719 // 256174313_x000a_15/02 Support cek di db nobu ada, di dashboard plink cancel_x000a_15/02 infokan sukses saja"/>
    <s v="SOP #05"/>
    <s v="1. Pastikan merchant &amp; transaksi tersebut valid_x000a_2. Cek VA di apps.plink, bandingkan amount:_x000a__x0009_Amount sama → Update transaksi._x000a__x0009_Amount berbeda → Tidak bisa diupdate, informasikan ke merchant."/>
    <d v="2026-02-15T14:57:00"/>
    <x v="6"/>
  </r>
  <r>
    <s v="INC20260215374"/>
    <d v="2026-02-15T14:28:00"/>
    <s v="WA"/>
    <s v="-"/>
    <s v="PT Daya Net Gemilang"/>
    <s v="Request"/>
    <s v="VA"/>
    <x v="3"/>
    <x v="3"/>
    <x v="362"/>
    <s v="BCA"/>
    <s v="R01"/>
    <x v="0"/>
    <s v="15/02 dayanet tanyakan trx  T001230869800QIRHW_x000a_7900117900035323      _x000a_15/02 Support cek di mbase dashboard tidak ada_x000a_15/02 Support infokan menunggu rekon_x000a_16/02 support infokan trx sukses"/>
    <s v="SOP #05"/>
    <s v="1. Pastikan merchant &amp; transaksi tersebut valid_x000a_2. Cek VA di apps.plink, bandingkan amount:_x000a__x0009_Amount sama → Update transaksi._x000a__x0009_Amount berbeda → Tidak bisa diupdate, informasikan ke merchant."/>
    <d v="2026-02-16T00:00:00"/>
    <x v="6"/>
  </r>
  <r>
    <s v="INC20260215375"/>
    <d v="2026-02-15T15:44:00"/>
    <s v="WA"/>
    <s v="-"/>
    <s v="PT Daya Net Gemilang"/>
    <s v="Request"/>
    <s v="QR"/>
    <x v="3"/>
    <x v="3"/>
    <x v="363"/>
    <s v="NOBU"/>
    <s v="R01"/>
    <x v="0"/>
    <s v="15/02 Dnt tanyakan trx  NACL1370123787 / 018022395802_x000a_15/02 Support cek di db nobu ada, di dashboard plink cancel_x000a_15/02 infokan sukses karena di dashboard sudah setld"/>
    <s v="SOP #05"/>
    <s v="1. Pastikan merchant &amp; transaksi tersebut valid_x000a_2. Cek VA di apps.plink, bandingkan amount:_x000a__x0009_Amount sama → Update transaksi._x000a__x0009_Amount berbeda → Tidak bisa diupdate, informasikan ke merchant."/>
    <d v="2026-02-16T00:00:00"/>
    <x v="6"/>
  </r>
  <r>
    <s v="INC20260215376"/>
    <d v="2026-02-15T15:45:00"/>
    <s v="WA"/>
    <s v="-"/>
    <s v="PT Daya Net Gemilang"/>
    <s v="Request"/>
    <s v="QR"/>
    <x v="3"/>
    <x v="3"/>
    <x v="364"/>
    <s v="NOBU"/>
    <s v="R01"/>
    <x v="0"/>
    <s v="15/02 Dnt tanyakan trx  NACL1370114801 / 976155509926_x000a_15/02 Support cek di db nobu ada, di dashboard plink cancel_x000a_15/02 Support infokan ke team terkait_x000a_15/02 infokan sukses karena di dashboard sudah setld"/>
    <s v="SOP #05"/>
    <s v="1. Pastikan merchant &amp; transaksi tersebut valid_x000a_2. Cek VA di apps.plink, bandingkan amount:_x000a__x0009_Amount sama → Update transaksi._x000a__x0009_Amount berbeda → Tidak bisa diupdate, informasikan ke merchant."/>
    <d v="2026-02-15T16:57:00"/>
    <x v="6"/>
  </r>
  <r>
    <s v="INC20260215377"/>
    <d v="2026-02-15T15:46:00"/>
    <s v="WA"/>
    <s v="-"/>
    <s v="PT Daya Net Gemilang"/>
    <s v="Request"/>
    <s v="QR"/>
    <x v="3"/>
    <x v="3"/>
    <x v="365"/>
    <s v="NOBU"/>
    <s v="R01"/>
    <x v="0"/>
    <s v="15/02 Dnt tanyakan trx  NACL1370110066 / 976154527770_x000a_15/02 Support cek di db nobu ada, di dashboard plink cancel_x000a_15/02 Support infokan ke team terkait_x000a_15/02 infokan sukses karena di dashboard sudah setld"/>
    <s v="SOP #05"/>
    <s v="1. Pastikan merchant &amp; transaksi tersebut valid_x000a_2. Cek VA di apps.plink, bandingkan amount:_x000a__x0009_Amount sama → Update transaksi._x000a__x0009_Amount berbeda → Tidak bisa diupdate, informasikan ke merchant."/>
    <d v="2026-02-15T16:57:00"/>
    <x v="6"/>
  </r>
  <r>
    <s v="INC20260215378"/>
    <d v="2026-02-15T15:48:00"/>
    <s v="WA"/>
    <s v="-"/>
    <s v="PT Daya Net Gemilang"/>
    <s v="Request"/>
    <s v="QR"/>
    <x v="3"/>
    <x v="3"/>
    <x v="366"/>
    <s v="NOBU"/>
    <s v="R01"/>
    <x v="0"/>
    <s v="15/02 Dnt tanyakan trx  NACL1370088025 / 319292348608_x000a_NACL1370112965 / 017791140949_x000a_NACL1370094098 / 602559463598_x000a_15/02 Support cek di db nobu ada, di dashboard plink cancel_x000a_15/02 Support infokan ke team terkait_x000a_15/02 infokan sukses karena di dashboard sudah setld"/>
    <s v="SOP #05"/>
    <s v="1. Pastikan merchant &amp; transaksi tersebut valid_x000a_2. Cek VA di apps.plink, bandingkan amount:_x000a__x0009_Amount sama → Update transaksi._x000a__x0009_Amount berbeda → Tidak bisa diupdate, informasikan ke merchant."/>
    <d v="2026-02-15T16:24:00"/>
    <x v="6"/>
  </r>
  <r>
    <s v="INC20260215379"/>
    <d v="2026-02-15T15:49:00"/>
    <s v="WA"/>
    <s v="-"/>
    <s v="PT Daya Net Gemilang"/>
    <s v="Request"/>
    <s v="QR"/>
    <x v="3"/>
    <x v="3"/>
    <x v="367"/>
    <s v="NOBU"/>
    <s v="R01"/>
    <x v="0"/>
    <s v="15/02 Dnt tanyakan trx  NACL1370103355 / 018096275529_x000a_NACL1370097281 / 000000MRJ6YL_x000a_NACL1370124893 / 257442783_x000a_NACL1370132899 / 001005883196_x000a_15/02 Support cek di db nobu ada, di dashboard plink cancel_x000a_15/02 Support infokan ke team terkait_x000a_15/02 infokan sukses karena di dashboard sudah setld"/>
    <s v="SOP #05"/>
    <s v="1. Pastikan merchant &amp; transaksi tersebut valid_x000a_2. Cek VA di apps.plink, bandingkan amount:_x000a__x0009_Amount sama → Update transaksi._x000a__x0009_Amount berbeda → Tidak bisa diupdate, informasikan ke merchant."/>
    <d v="2026-02-15T16:20:00"/>
    <x v="6"/>
  </r>
  <r>
    <s v="INC20260215380"/>
    <d v="2026-02-15T16:06:00"/>
    <s v="WA"/>
    <s v="-"/>
    <s v="PT Daya Net Gemilang"/>
    <s v="Request"/>
    <s v="QR"/>
    <x v="3"/>
    <x v="3"/>
    <x v="368"/>
    <s v="NOBU"/>
    <s v="R01"/>
    <x v="0"/>
    <s v="15/02 Dnt tanyakan trx  NACL1370123129 / 296a03fb1778_x000a_NACL1370126785 / 257531270_x000a_15/02 Support cek di db nobu ada, di dashboard plink cancel_x000a_15/02 Support infokan ke team terkait_x000a_15/02 infokan sukses karena di dashboard sudah setld"/>
    <s v="SOP #05"/>
    <s v="1. Pastikan merchant &amp; transaksi tersebut valid_x000a_2. Cek VA di apps.plink, bandingkan amount:_x000a__x0009_Amount sama → Update transaksi._x000a__x0009_Amount berbeda → Tidak bisa diupdate, informasikan ke merchant."/>
    <d v="2026-02-15T16:21:00"/>
    <x v="6"/>
  </r>
  <r>
    <s v="INC20260215381"/>
    <d v="2026-02-15T23:05:00"/>
    <s v="WA"/>
    <s v="-"/>
    <s v="PT Daya Net Gemilang"/>
    <s v="Request"/>
    <s v="QR"/>
    <x v="3"/>
    <x v="3"/>
    <x v="369"/>
    <s v="NOBU"/>
    <s v="R01"/>
    <x v="0"/>
    <s v="15/02 Dnt tanyakan trx NACL1369294518 / 602548312706_x000a_15/02 Support cek di db nobu ada, di dashboard plink sukses_x000a_15/02 Support infokan sukses"/>
    <s v="SOP #05"/>
    <s v="1. Pastikan merchant &amp; transaksi tersebut valid_x000a_2. Cek VA di apps.plink, bandingkan amount:_x000a__x0009_Amount sama → Update transaksi._x000a__x0009_Amount berbeda → Tidak bisa diupdate, informasikan ke merchant."/>
    <d v="2026-02-15T23:09:00"/>
    <x v="6"/>
  </r>
  <r>
    <s v="INC20260216382"/>
    <d v="2026-02-16T01:45:00"/>
    <s v="WA"/>
    <s v="-"/>
    <s v="PT Daya Net Gemilang"/>
    <s v="Request"/>
    <s v="VA"/>
    <x v="3"/>
    <x v="3"/>
    <x v="370"/>
    <s v="BCA"/>
    <s v="R01"/>
    <x v="0"/>
    <s v="16/02 Dnt tanyakan trx NACL1365776982 / 7900125000071732_x000a_16/02 Support cek di db cancel_x000a_16/02 Support infokan tunggu rekon, Update"/>
    <s v="SOP #05"/>
    <s v="1. Pastikan merchant &amp; transaksi tersebut valid_x000a_2. Cek VA di apps.plink, bandingkan amount:_x000a__x0009_Amount sama → Update transaksi._x000a__x0009_Amount berbeda → Tidak bisa diupdate, informasikan ke merchant."/>
    <d v="2026-02-15T10:36:00"/>
    <x v="6"/>
  </r>
  <r>
    <s v="INC20260216383"/>
    <d v="2026-02-16T17:02:00"/>
    <s v="WA"/>
    <s v="-"/>
    <s v="PT Daya Net Gemilang"/>
    <s v="Request"/>
    <s v="VA"/>
    <x v="3"/>
    <x v="4"/>
    <x v="371"/>
    <s v="BCA"/>
    <s v="R01"/>
    <x v="0"/>
    <s v="16/02 Dnt tanyakan trx 7900125000090368_x000a_16/02 Support cek di db cancel_x000a_16/02 Support infokan tunggu rekon_x000a_18/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8T00:00:00"/>
    <x v="6"/>
  </r>
  <r>
    <s v="INC20260216384"/>
    <d v="2026-02-16T19:25:00"/>
    <s v="WA"/>
    <s v="-"/>
    <s v="PT Teknologi Awan Cerah"/>
    <s v="Request"/>
    <s v="VA"/>
    <x v="3"/>
    <x v="4"/>
    <x v="372"/>
    <s v="BCA"/>
    <s v="R01"/>
    <x v="0"/>
    <s v="16/02 nobecul tanyakan trx 7900121700010913_x000a_2026021640100617501_x000a_16/02 Support cek di db setld_x000a_16/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6T19:34:00"/>
    <x v="6"/>
  </r>
  <r>
    <s v="INC20260218385"/>
    <d v="2026-02-18T11:12:00"/>
    <s v="Email"/>
    <s v="chargebackops.acq@corp.bri.co.id"/>
    <s v="MOLINA"/>
    <s v="Request"/>
    <s v="VOA"/>
    <x v="4"/>
    <x v="5"/>
    <x v="373"/>
    <s v="BRI VOA"/>
    <s v="R02"/>
    <x v="0"/>
    <s v="13/02 req masuk_x000a_19/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19T00:00:00"/>
    <x v="6"/>
  </r>
  <r>
    <s v="INC20260218386"/>
    <d v="2026-02-18T14:54:00"/>
    <s v="Email"/>
    <s v="keluhan_payment@bca.co.id"/>
    <s v="PT Teknologi Awan Cerah"/>
    <s v="Issue"/>
    <s v="VA"/>
    <x v="2"/>
    <x v="2"/>
    <x v="374"/>
    <s v="BCA"/>
    <s v="C01"/>
    <x v="0"/>
    <s v="18/02 Req masuk_x000a_18/02 Support meminta data kronologis dkk_x000a_18/02 Belum ada dat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8387"/>
    <d v="2026-02-18T16:44:00"/>
    <s v="Email"/>
    <s v="jamaludinaproni1979@gmail.com"/>
    <s v="PT Daya Net Gemilang"/>
    <s v="Request"/>
    <s v="VA"/>
    <x v="3"/>
    <x v="4"/>
    <x v="375"/>
    <s v="BCA"/>
    <s v="R01"/>
    <x v="0"/>
    <s v="18/02 req masuk_x000a_18/02 support infokan jika trx sukses &amp; bisa menghubungi pihak partner mercha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8T00:00:00"/>
    <x v="6"/>
  </r>
  <r>
    <s v="INC20260218388"/>
    <d v="2026-02-18T17:52:00"/>
    <s v="Email"/>
    <s v="keluhan_payment@bca.co.id"/>
    <s v="PT Envoiz Digital Indonesia_x000a_PT Daya Net Gemilang_x000a_PT TEKNOLOGI AWAN CERAH"/>
    <s v="Request"/>
    <s v="VA"/>
    <x v="3"/>
    <x v="4"/>
    <x v="376"/>
    <s v="BCA"/>
    <s v="R01"/>
    <x v="0"/>
    <s v="18/02 req masuk_x000a_18/02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8T00:00:00"/>
    <x v="6"/>
  </r>
  <r>
    <s v="INC20260219389"/>
    <d v="2026-02-19T09:16:00"/>
    <s v="Email"/>
    <s v="Distribusi Lancar Jaya &lt;distribusilancarjaya@gmail.com&gt;"/>
    <s v="Jatimpark Vending Mechine"/>
    <s v="Request"/>
    <s v="QR"/>
    <x v="0"/>
    <x v="0"/>
    <x v="377"/>
    <s v="NOBU"/>
    <s v="R04"/>
    <x v="0"/>
    <s v="19/02 req masuk + support teruskan ke NOBU_x000a_19/02 DONE"/>
    <m/>
    <s v="Buka SOP 'REFUND QR NOBU'"/>
    <d v="2026-02-19T00:00:00"/>
    <x v="6"/>
  </r>
  <r>
    <s v="INC20260219390"/>
    <d v="2026-02-19T09:56:00"/>
    <s v="Email"/>
    <s v="kkd_ipm2@corp.bri.co.id"/>
    <s v="MOLINA"/>
    <s v="Request"/>
    <s v="VOA"/>
    <x v="4"/>
    <x v="5"/>
    <x v="378"/>
    <s v="BRI VOA"/>
    <s v="R02"/>
    <x v="0"/>
    <s v="19/02 req masuk_x000a_23/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23T00:00:00"/>
    <x v="6"/>
  </r>
  <r>
    <s v="INC20260219391"/>
    <d v="2026-02-19T13:08:00"/>
    <s v="Email"/>
    <s v="keluhan_payment@bca.co.id"/>
    <s v="PT Kreasi Kode Kreatif"/>
    <s v="Issue"/>
    <s v="VA"/>
    <x v="2"/>
    <x v="2"/>
    <x v="379"/>
    <s v="BCA"/>
    <s v="C01"/>
    <x v="0"/>
    <s v="19/02 Req masuk_x000a_19/02 Support meminta data kronologis dkk_x000a_19/02 Belum ada data_x000a_27/02 BCA menanyakan perihal dana apakah masih ada yg bisa dikembalikan_x000a_27/02 support infokan jika memang terbukti dana bisa dikembalik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9392"/>
    <d v="2026-02-19T13:11:00"/>
    <s v="Email"/>
    <s v="keluhan_payment@bca.co.id"/>
    <s v="PT Kreasi Kode Kreatif"/>
    <s v="Issue"/>
    <s v="VA"/>
    <x v="2"/>
    <x v="2"/>
    <x v="380"/>
    <s v="BCA"/>
    <s v="C01"/>
    <x v="0"/>
    <s v="19/02 Req masuk_x000a_19/02 Support meminta data kronologis dkk_x000a_19/02 Belum ada dat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9393"/>
    <d v="2026-02-19T14:48:00"/>
    <s v="Email"/>
    <s v="keluhan_payment@bca.co.id"/>
    <s v="PT Kreasi Kode Kreatif"/>
    <s v="Issue"/>
    <s v="VA"/>
    <x v="2"/>
    <x v="2"/>
    <x v="381"/>
    <s v="BCA"/>
    <s v="C01"/>
    <x v="0"/>
    <s v="19/02 Req masuk_x000a_19/02 Support meminta data kronologis dkk_x000a_19/02 Belum ada dat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9394"/>
    <d v="2026-02-19T15:36:00"/>
    <s v="Email"/>
    <s v="JPL &lt;jpl.singapore@gmail.com&gt;"/>
    <s v="PT TEKNOLOGI AWAN CERAH_x000a_PT Kreasi Kode Kreatif"/>
    <s v="Issue"/>
    <s v="VA"/>
    <x v="2"/>
    <x v="2"/>
    <x v="382"/>
    <s v="BCA"/>
    <s v="C01"/>
    <x v="0"/>
    <s v="19/02 req masuk melampirkan bukti2 support teruskan ke merchant 'FW: Pengecekan transaksi VA 7900121700073485 &amp; 7900119200528237'_x000a_20/02 merchant ack_x000a_20/02 nobecul infokan bisa memotong settelment_x000a_23/02 kvoucher infokan bisa memotong settelment_x000a__x000a_menunggu email dr BC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19395"/>
    <d v="2026-02-19T08:54:00"/>
    <s v="Email"/>
    <s v="kkd_ipm2@corp.bri.co.id"/>
    <s v="MOLINA"/>
    <s v="Request"/>
    <s v="VOA"/>
    <x v="4"/>
    <x v="5"/>
    <x v="383"/>
    <s v="BRI VOA"/>
    <s v="R02"/>
    <x v="0"/>
    <s v="19/02 req masuk_x000a_20/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20T00:00:00"/>
    <x v="6"/>
  </r>
  <r>
    <s v="INC20260220396"/>
    <d v="2026-02-20T09:43:00"/>
    <s v="Email"/>
    <s v="Distribusi Lancar Jaya &lt;distribusilancarjaya@gmail.com&gt;"/>
    <s v="Jatimpark Vending Mechine"/>
    <s v="Request"/>
    <s v="QR"/>
    <x v="0"/>
    <x v="0"/>
    <x v="384"/>
    <s v="NOBU"/>
    <s v="R04"/>
    <x v="0"/>
    <s v="20/02 req masuk + support teruskan ke NOBU_x000a_20/02 DONE"/>
    <m/>
    <s v="Buka SOP 'REFUND QR NOBU'"/>
    <d v="2026-02-20T00:00:00"/>
    <x v="6"/>
  </r>
  <r>
    <s v="INC20260220397"/>
    <d v="2026-02-20T11:54:00"/>
    <s v="Email"/>
    <s v="Rovere Massimo &lt;m.rovere@thailand.danieli.com&gt;"/>
    <s v="MOLINA"/>
    <s v="Request"/>
    <s v="VOA"/>
    <x v="4"/>
    <x v="8"/>
    <x v="385"/>
    <s v="BRI VOA"/>
    <s v="R02"/>
    <x v="0"/>
    <s v="20/02 req masuk_x000a_20/02 support melampirkan payment receipt"/>
    <m/>
    <m/>
    <d v="2026-02-20T00:00:00"/>
    <x v="6"/>
  </r>
  <r>
    <s v="INC20260220398"/>
    <d v="2026-02-20T11:23:00"/>
    <s v="Email"/>
    <s v="lukas.feglar@excaliburinternational.cz"/>
    <s v="MOLINA"/>
    <s v="Request"/>
    <s v="VOA"/>
    <x v="4"/>
    <x v="8"/>
    <x v="386"/>
    <s v="BRI VOA"/>
    <s v="R02"/>
    <x v="0"/>
    <s v="20/02 req masuk_x000a_20/02 support melampirkan payment receipt"/>
    <m/>
    <m/>
    <d v="2026-02-20T00:00:00"/>
    <x v="6"/>
  </r>
  <r>
    <s v="INC20260220399"/>
    <d v="2026-02-20T13:28:00"/>
    <s v="Email"/>
    <s v="keluhan_payment@bca.co.id"/>
    <s v="PT Kreasi Kode Kreatif"/>
    <s v="Issue"/>
    <s v="VA"/>
    <x v="2"/>
    <x v="2"/>
    <x v="387"/>
    <s v="BCA"/>
    <s v="C01"/>
    <x v="0"/>
    <s v="20/02 Req masuk_x000a_20/02 Support meminta data kronologis dkk_x000a_20/02 Belum ada dat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6"/>
  </r>
  <r>
    <s v="INC20260220400"/>
    <d v="2026-02-20T16:07:00"/>
    <s v="Email"/>
    <s v="Merchant Resolution &lt;merchant.resolution@nobubank.com&gt;"/>
    <s v="PT Hotel Murah Travelindo"/>
    <s v="Request"/>
    <s v="QR"/>
    <x v="3"/>
    <x v="7"/>
    <x v="388"/>
    <s v="NOBU"/>
    <s v="R01"/>
    <x v="0"/>
    <s v="20/02 req masuk + support infokan jika trx sukses"/>
    <s v="SOP #02"/>
    <s v="1. Memastikan status transaksi pada Dashboard_x000a_     IF &quot;Transaksi GAGAL&quot;, AND &quot;Dana TDK MASUK&quot; (via rekon) then &quot;Infokan GAGAL&quot;_x000a_     IF &quot;Transaksi SUKSES&quot;, AND &quot;Dana MASUK&quot; (via rekon) then &quot;Infokan SUKSES&quot;"/>
    <d v="2026-02-20T00:00:00"/>
    <x v="6"/>
  </r>
  <r>
    <s v="INC20260218401"/>
    <d v="2026-02-18T09:24:00"/>
    <s v="WA"/>
    <s v="-"/>
    <s v="PT Teknologi Awan Cerah"/>
    <s v="Request"/>
    <s v="VA"/>
    <x v="3"/>
    <x v="3"/>
    <x v="389"/>
    <s v="BCA_x000a_BNI"/>
    <s v="R01"/>
    <x v="0"/>
    <s v="18/02 nobecul tanyakan trx 7900121700009950 / 2026020740100501246_x000a_8919101217465198 / 2026021240100079004_x000a_18/02 Support cek di db cancel / schedule_x000a_18/02 support update_x000a_18/02 Support infokan sukses"/>
    <s v="SOP #05"/>
    <s v="1. Pastikan merchant &amp; transaksi tersebut valid_x000a_2. Cek VA di apps.plink, bandingkan amount:_x000a__x0009_Amount sama → Update transaksi._x000a__x0009_Amount berbeda → Tidak bisa diupdate, informasikan ke merchant."/>
    <d v="2026-02-18T10:46:00"/>
    <x v="6"/>
  </r>
  <r>
    <s v="INC20260218402"/>
    <d v="2026-02-18T15:57:00"/>
    <s v="WA"/>
    <s v="-"/>
    <s v="PT Daya Net Gemilang"/>
    <s v="Request"/>
    <s v="QR"/>
    <x v="3"/>
    <x v="3"/>
    <x v="390"/>
    <s v="NOBU"/>
    <s v="R01"/>
    <x v="0"/>
    <s v="16/02 DNT infokan  trx NACL1366876226 sudah di settle namun statusnya cancel di dashboard_x000a_16/02 Support cek di db cancel, support update status trx_x000a_16/02 Support infokan sukses update"/>
    <s v="SOP #05"/>
    <s v="1. Pastikan merchant &amp; transaksi tersebut valid_x000a_2. Cek VA di apps.plink, bandingkan amount:_x000a__x0009_Amount sama → Update transaksi._x000a__x0009_Amount berbeda → Tidak bisa diupdate, informasikan ke merchant."/>
    <d v="2026-02-18T16:19:00"/>
    <x v="6"/>
  </r>
  <r>
    <s v="INC20260218403"/>
    <d v="2026-02-18T16:50:00"/>
    <s v="WA"/>
    <s v="-"/>
    <s v="PT Daya Net Gemilang"/>
    <s v="Request"/>
    <s v="QR"/>
    <x v="3"/>
    <x v="3"/>
    <x v="391"/>
    <s v="NOBU"/>
    <s v="R01"/>
    <x v="0"/>
    <s v="16/02 DNT infokan  trx NACL1369094714 sudah di settle namun statusnya cancel di dashboard_x000a_16/02 Support cek di db cancel, support update status trx_x000a_16/02 Support infokan sukses update"/>
    <s v="SOP #05"/>
    <s v="1. Pastikan merchant &amp; transaksi tersebut valid_x000a_2. Cek VA di apps.plink, bandingkan amount:_x000a__x0009_Amount sama → Update transaksi._x000a__x0009_Amount berbeda → Tidak bisa diupdate, informasikan ke merchant."/>
    <d v="2026-02-18T17:11:00"/>
    <x v="6"/>
  </r>
  <r>
    <s v="INC20260218404"/>
    <d v="2026-02-18T22:01:00"/>
    <s v="WA"/>
    <s v="-"/>
    <s v="PT Wahana Pembayaran Digital"/>
    <s v="Request"/>
    <s v="VA"/>
    <x v="3"/>
    <x v="4"/>
    <x v="392"/>
    <s v="BRI"/>
    <s v="R01"/>
    <x v="0"/>
    <s v="18/02 Paylabs tanyakan trx 4041913211500257_x000a_18/02 Support cek di mbase tidak ada, cek di operator setld_x000a_18/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18T22:18:00"/>
    <x v="6"/>
  </r>
  <r>
    <s v="INC20260219405"/>
    <d v="2026-02-19T09:17:00"/>
    <s v="WA"/>
    <s v="-"/>
    <s v="YAYASAN ENAM PEDULI PENDIDIKAN"/>
    <s v="Request"/>
    <s v="QR"/>
    <x v="3"/>
    <x v="3"/>
    <x v="393"/>
    <s v="NOBU"/>
    <s v="R01"/>
    <x v="0"/>
    <s v="19/02 Univ sains infokan  trx berhasil namun cancel  2521100003-260215131938 / 602559694183_x000a_19/02 Support cek di dashboard nobu ada, dashbaord plink pending, dilakukan callback manual tetap pending_x000a_19/02 Support infokan team terkait_x000a_19/02 Support infokan sukses karena sudah setld"/>
    <s v="SOP #05"/>
    <s v="1. Pastikan merchant &amp; transaksi tersebut valid_x000a_2. Cek VA di apps.plink, bandingkan amount:_x000a__x0009_Amount sama → Update transaksi._x000a__x0009_Amount berbeda → Tidak bisa diupdate, informasikan ke merchant."/>
    <d v="2026-02-19T09:24:00"/>
    <x v="6"/>
  </r>
  <r>
    <s v="INC20260219406"/>
    <d v="2026-02-19T16:55:00"/>
    <s v="WA"/>
    <s v="-"/>
    <s v="PT Teknologi Awan Cerah"/>
    <s v="Request"/>
    <s v="QR"/>
    <x v="3"/>
    <x v="3"/>
    <x v="394"/>
    <s v="BCA_x000a_BNI"/>
    <s v="R01"/>
    <x v="0"/>
    <s v="19/02 Nobecul tanyakan trx 7900121700040304 _x000a_8919101217968414 _x000a_19/02 Support cek di mbase cancel scheduler, db cancel, di agree ada_x000a_19/02 support update_x000a_19/02 infokan sukses"/>
    <s v="SOP #05"/>
    <s v="1. Pastikan merchant &amp; transaksi tersebut valid_x000a_2. Cek VA di apps.plink, bandingkan amount:_x000a__x0009_Amount sama → Update transaksi._x000a__x0009_Amount berbeda → Tidak bisa diupdate, informasikan ke merchant."/>
    <d v="2026-02-19T18:58:00"/>
    <x v="6"/>
  </r>
  <r>
    <s v="INC20260220407"/>
    <d v="2026-02-20T13:11:00"/>
    <s v="WA"/>
    <s v="-"/>
    <s v="Tripay"/>
    <s v="Request"/>
    <s v="VA"/>
    <x v="3"/>
    <x v="4"/>
    <x v="395"/>
    <s v="BCA"/>
    <s v="R01"/>
    <x v="0"/>
    <s v="20/02 Tripay  tanyakan trx  7900117900010943    _x000a_20/02 Support cek di mbase Eror reject_x000a_20/02 Supporrt infokan ke team terkait_x000a_20/02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0T13:19:00"/>
    <x v="6"/>
  </r>
  <r>
    <s v="INC20260220408"/>
    <d v="2026-02-20T14:24:00"/>
    <s v="WA"/>
    <s v="-"/>
    <s v="PT Hotel Murah Travelindo"/>
    <s v="Request"/>
    <s v="QR"/>
    <x v="3"/>
    <x v="4"/>
    <x v="396"/>
    <s v="NOBU"/>
    <s v="R01"/>
    <x v="0"/>
    <s v="20/02 hotelmurah  tanyakan trx  P85949764 dengan RRN 001016215755    _x000a_20/02 Support cek di dashboard dan nobu sukses_x000a_20/02 Suppor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0T14:27:00"/>
    <x v="6"/>
  </r>
  <r>
    <s v="INC20260220409"/>
    <d v="2026-02-20T15:25:00"/>
    <s v="WA"/>
    <s v="-"/>
    <s v="PT Wahana Pembayaran Digital"/>
    <s v="Request"/>
    <s v="VA"/>
    <x v="3"/>
    <x v="4"/>
    <x v="397"/>
    <s v="CIMB"/>
    <s v="R01"/>
    <x v="0"/>
    <s v="20/02 Paylabs  tanyakan trx  2189132221900002    _x000a_20/02 Support cek di mbase Eror reject_x000a_20/02 Supporrt jelaskan ada no va yg sama sukses namun berbeda jam dan nominal_x000a_20/02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0T15:33:00"/>
    <x v="6"/>
  </r>
  <r>
    <s v="INC20260220410"/>
    <d v="2026-02-20T17:07:00"/>
    <s v="Email"/>
    <s v="Merchant Resolution &lt;merchant.resolution@nobubank.com&gt;"/>
    <s v="PT Hotel Murah Travelindo"/>
    <s v="Request"/>
    <s v="QR"/>
    <x v="3"/>
    <x v="7"/>
    <x v="398"/>
    <s v="NOBU"/>
    <s v="R01"/>
    <x v="0"/>
    <s v="20/02 req masuk + support infokan jika trx sukses"/>
    <s v="SOP #02"/>
    <s v="1. Memastikan status transaksi pada Dashboard_x000a_     IF &quot;Transaksi GAGAL&quot;, AND &quot;Dana TDK MASUK&quot; (via rekon) then &quot;Infokan GAGAL&quot;_x000a_     IF &quot;Transaksi SUKSES&quot;, AND &quot;Dana MASUK&quot; (via rekon) then &quot;Infokan SUKSES&quot;"/>
    <d v="2026-02-20T00:00:00"/>
    <x v="7"/>
  </r>
  <r>
    <s v="INC20260221411"/>
    <d v="2026-02-21T16:32:00"/>
    <s v="WA"/>
    <s v="-"/>
    <s v="PT ENVOIZ DIGITAL INDONESIA"/>
    <s v="Request"/>
    <s v="VA"/>
    <x v="3"/>
    <x v="4"/>
    <x v="399"/>
    <s v="BCA"/>
    <s v="R01"/>
    <x v="0"/>
    <s v="20/02 Envoiz   tanyakan trx  7900124900009891 ID NACL1377974281    _x000a_20/02 Support cek di mbase Eror aprvd dan setld_x000a_20/02 Support infokan sukses karena sudah di callback"/>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1T16:42:00"/>
    <x v="7"/>
  </r>
  <r>
    <s v="INC20260221412"/>
    <d v="2026-02-21T23:28:00"/>
    <s v="WA"/>
    <s v="-"/>
    <s v="PT Kreasi Kode Kreatif"/>
    <s v="Request"/>
    <s v="VA"/>
    <x v="3"/>
    <x v="4"/>
    <x v="400"/>
    <s v="BCA"/>
    <s v="R01"/>
    <x v="0"/>
    <s v="21/02 Kvoucher tanyakan trx 79001192003810 / 2026022140100713854_x000a_21/02 Support cek di mbase belum ditemukan_x000a_21/02 Support infokan tunggu rekon_x000a_22/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2T00:00:00"/>
    <x v="7"/>
  </r>
  <r>
    <s v="INC20260222413"/>
    <d v="2026-02-22T02:22:00"/>
    <s v="WA"/>
    <s v="-"/>
    <s v="PT Kreasi Kode Kreatif"/>
    <s v="Request"/>
    <s v="VA"/>
    <x v="3"/>
    <x v="4"/>
    <x v="401"/>
    <s v="BCA"/>
    <s v="R01"/>
    <x v="0"/>
    <s v="21/02 Kvoucher tanyakan trx 7900119200538160_x000a_21/02 Support cek di mbase belum ditemukan_x000a_21/02 Support infokan tunggu rekon_x000a_22/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2T00:00:00"/>
    <x v="7"/>
  </r>
  <r>
    <s v="INC20260220414"/>
    <d v="2026-02-20T18:34:00"/>
    <s v="Email"/>
    <s v="Merchant Resolution &lt;merchant.resolution@nobubank.com&gt;"/>
    <s v="PT Hotel Murah Travelindo"/>
    <s v="Request"/>
    <s v="QR"/>
    <x v="3"/>
    <x v="7"/>
    <x v="402"/>
    <s v="NOBU"/>
    <s v="R01"/>
    <x v="0"/>
    <s v="20/02 req masuk + support infokan jika trx sukses"/>
    <s v="SOP #02"/>
    <s v="1. Memastikan status transaksi pada Dashboard_x000a_     IF &quot;Transaksi GAGAL&quot;, AND &quot;Dana TDK MASUK&quot; (via rekon) then &quot;Infokan GAGAL&quot;_x000a_     IF &quot;Transaksi SUKSES&quot;, AND &quot;Dana MASUK&quot; (via rekon) then &quot;Infokan SUKSES&quot;"/>
    <d v="2026-02-20T00:00:00"/>
    <x v="7"/>
  </r>
  <r>
    <s v="INC20260223415"/>
    <d v="2026-02-23T08:50:00"/>
    <s v="Email"/>
    <s v="Distribusi Lancar Jaya &lt;distribusilancarjaya@gmail.com&gt;"/>
    <s v="Jatimpark Vending Mechine"/>
    <s v="Request"/>
    <s v="QR"/>
    <x v="0"/>
    <x v="0"/>
    <x v="403"/>
    <s v="NOBU"/>
    <s v="R04"/>
    <x v="0"/>
    <s v="23/02 req masuk_x000a_24/02 DONE_x000a_"/>
    <m/>
    <s v="Buka SOP 'REFUND QR NOBU'"/>
    <d v="2026-02-24T00:00:00"/>
    <x v="7"/>
  </r>
  <r>
    <s v="INC20260223416"/>
    <d v="2026-02-23T11:29:00"/>
    <s v="Email"/>
    <s v="keluhan_payment@bca.co.id"/>
    <s v="PT Kreasi Kode Kreatif"/>
    <s v="Issue"/>
    <s v="VA"/>
    <x v="2"/>
    <x v="2"/>
    <x v="404"/>
    <s v="BCA"/>
    <s v="C01"/>
    <x v="0"/>
    <s v="23/02 Req masuk_x000a_23/02 Support meminta data kronologis dkk_x000a_"/>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8"/>
  </r>
  <r>
    <s v="INC20260223417"/>
    <d v="2026-02-23T12:30:00"/>
    <s v="Email"/>
    <s v="arief mariyanto &lt;ariefm1165@gmail.com&gt;"/>
    <s v="PT Daya Net Gemilang"/>
    <s v="Request"/>
    <s v="VA"/>
    <x v="3"/>
    <x v="4"/>
    <x v="405"/>
    <s v="BCA"/>
    <s v="R01"/>
    <x v="0"/>
    <s v="23/02 request bukti tertulis terkait dana yang gagal_x000a_23/02 support meminta no rekening_x000a_24/02 support konfirm dana ke sisi rekon_x000a_24/02 rekon infokan jika dana belum di setteld ke merchant_x000a_24/02 cust melampirkan no rekening_x000a_24/02 support req approbal ke pak laks_x000a_24/02 pak laks approve + support teruskan ke finance untuk tf sana ke req user_x000a_24/02 finance sudah tf ke cust_x000a_24/02 support infokan ke customr"/>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4T00:00:00"/>
    <x v="8"/>
  </r>
  <r>
    <s v="INC20260223418"/>
    <d v="2026-02-23T14:25:00"/>
    <s v="Email"/>
    <s v="keluhan_payment@bca.co.id"/>
    <s v="PT Kreasi Kode Kreatif"/>
    <s v="Issue"/>
    <s v="VA"/>
    <x v="2"/>
    <x v="2"/>
    <x v="406"/>
    <s v="BCA"/>
    <s v="C01"/>
    <x v="0"/>
    <s v="23/02 req masuk + support meminta kronologis_x000a_24/02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8"/>
  </r>
  <r>
    <s v="INC20260223419"/>
    <d v="2026-02-23T15:39:00"/>
    <s v="Email"/>
    <s v="kkd_ipm2@corp.bri.co.id"/>
    <s v="MOLINA"/>
    <s v="Request"/>
    <s v="VOA"/>
    <x v="1"/>
    <x v="1"/>
    <x v="407"/>
    <s v="BRI VOA"/>
    <s v="R02"/>
    <x v="0"/>
    <s v="23/02 KKD KONFIRMASI Pre-Arbitrasi _x000a_23/02 Support infokan jika terdapat request Pre-Arb dari Bank"/>
    <m/>
    <m/>
    <m/>
    <x v="8"/>
  </r>
  <r>
    <s v="INC20260223420"/>
    <d v="2026-02-23T16:15:00"/>
    <s v="Email"/>
    <s v="keluhan_payment@bca.co.id"/>
    <s v="PT Envoiz Digital Indonesia_x000a_PT Daya Net Gemilang"/>
    <s v="Issue"/>
    <s v="VA"/>
    <x v="2"/>
    <x v="2"/>
    <x v="408"/>
    <s v="BCA"/>
    <s v="C01"/>
    <x v="0"/>
    <s v="24/02 req masuk + support meminta kronologis_x000a_24/02 belum ada update_x000a_05/03 BCA menanyakan perihal sisa dana_x000a_05/03 support infokan jika terbukti umumnya bisa dikembalikan_x000a_06/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8"/>
  </r>
  <r>
    <s v="INC20260223421"/>
    <d v="2026-02-23T17:24:00"/>
    <s v="Email"/>
    <s v="Merchant Resolution &lt;merchant.resolution@nobubank.com&gt;"/>
    <s v="PT Hotel Murah Travelindo"/>
    <s v="Request"/>
    <s v="QR"/>
    <x v="3"/>
    <x v="7"/>
    <x v="409"/>
    <s v="NOBU"/>
    <s v="R01"/>
    <x v="0"/>
    <s v="23/02 Req masuk_x000a_24/02 DONE_x000a_"/>
    <s v="SOP #02"/>
    <s v="1. Memastikan status transaksi pada Dashboard_x000a_     IF &quot;Transaksi GAGAL&quot;, AND &quot;Dana TDK MASUK&quot; (via rekon) then &quot;Infokan GAGAL&quot;_x000a_     IF &quot;Transaksi SUKSES&quot;, AND &quot;Dana MASUK&quot; (via rekon) then &quot;Infokan SUKSES&quot;"/>
    <d v="2026-02-24T00:00:00"/>
    <x v="8"/>
  </r>
  <r>
    <s v="INC20260224422"/>
    <d v="2026-02-24T07:29:00"/>
    <s v="Email"/>
    <s v="Distribusi Lancar Jaya &lt;distribusilancarjaya@gmail.com&gt;"/>
    <s v="Jatimpark Vending Mechine"/>
    <s v="Request"/>
    <s v="QR"/>
    <x v="0"/>
    <x v="0"/>
    <x v="410"/>
    <s v="NOBU"/>
    <s v="R04"/>
    <x v="0"/>
    <s v="24/02 req masuk_x000a_25/02 DONE"/>
    <m/>
    <s v="Buka SOP 'REFUND QR NOBU'"/>
    <d v="2026-02-25T00:00:00"/>
    <x v="8"/>
  </r>
  <r>
    <s v="INC20260224423"/>
    <d v="2026-02-24T08:59:00"/>
    <s v="Email"/>
    <s v="Anton 11 &lt;a42937056@gmail.com&gt;"/>
    <s v="PT ENVOIZ DIGITAL INDONESIA"/>
    <s v="Request"/>
    <s v="VA"/>
    <x v="3"/>
    <x v="4"/>
    <x v="411"/>
    <s v="BCA"/>
    <s v="R01"/>
    <x v="0"/>
    <s v="24/02 req masuk_x000a_24/02 support infokan jika trx gagal karn different amou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4T00:00:00"/>
    <x v="8"/>
  </r>
  <r>
    <s v="INC20260223424"/>
    <d v="2026-02-23T19:36:00"/>
    <s v="WA"/>
    <s v="-"/>
    <s v="PT Hotel Murah Travelindo"/>
    <s v="Request"/>
    <s v="QR"/>
    <x v="3"/>
    <x v="4"/>
    <x v="412"/>
    <s v="NOBU"/>
    <s v="R01"/>
    <x v="0"/>
    <s v="20/02 hotelmurah  tanyakan trx  P85949764 dengan RRN 001016215755    _x000a_20/02 Support cek di dashboard dan nobu sukses_x000a_20/02 Suppor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3T00:00:00"/>
    <x v="8"/>
  </r>
  <r>
    <s v="INC20260224425"/>
    <d v="2026-02-24T00:34:00"/>
    <s v="WA"/>
    <s v="-"/>
    <s v="PT Teknologi Awan Cerah"/>
    <s v="Request"/>
    <s v="VA"/>
    <x v="3"/>
    <x v="3"/>
    <x v="413"/>
    <s v="BCA"/>
    <s v="R01"/>
    <x v="0"/>
    <s v="24/02 Nobecul tanyakan trx  7900121700061315_x000a_24/02 Support cek di mbase aprvd dan dashbaord cancel_x000a_24/02 Support infokan ke team terkait untuk update_x000a_24/02 Support infokan menunggu rekon terlebih dahulu_x000a_24/02 Support update dan infokan sukses"/>
    <s v="SOP #05"/>
    <s v="1. Pastikan merchant &amp; transaksi tersebut valid_x000a_2. Cek VA di apps.plink, bandingkan amount:_x000a__x0009_Amount sama → Update transaksi._x000a__x0009_Amount berbeda → Tidak bisa diupdate, informasikan ke merchant."/>
    <d v="2026-02-24T00:00:00"/>
    <x v="8"/>
  </r>
  <r>
    <s v="INC20260225426"/>
    <d v="2026-02-25T12:46:00"/>
    <s v="Email"/>
    <s v="kkd_ipm2@corp.bri.co.id"/>
    <s v="MOLINA"/>
    <s v="Request"/>
    <s v="VOA"/>
    <x v="4"/>
    <x v="5"/>
    <x v="414"/>
    <s v="BRI VOA"/>
    <s v="R02"/>
    <x v="0"/>
    <s v="25/02 req masuk_x000a_26/02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26T00:00:00"/>
    <x v="9"/>
  </r>
  <r>
    <s v="INC20260225427"/>
    <d v="2026-02-25T12:48:00"/>
    <s v="Email"/>
    <s v="kkd_ipm2@corp.bri.co.id"/>
    <s v="MOLINA"/>
    <s v="Request"/>
    <s v="VOA"/>
    <x v="4"/>
    <x v="5"/>
    <x v="415"/>
    <s v="BRI VOA"/>
    <s v="R02"/>
    <x v="0"/>
    <s v="25/02 req masuk_x000a_26/02 DONE_x000a_"/>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27T00:00:00"/>
    <x v="9"/>
  </r>
  <r>
    <s v="INC20260225428"/>
    <d v="2026-02-25T14:15:00"/>
    <s v="Email"/>
    <s v="kkd_ipm2@corp.bri.co.id"/>
    <s v="MOLINA"/>
    <s v="Request"/>
    <s v="VOA"/>
    <x v="4"/>
    <x v="5"/>
    <x v="416"/>
    <s v="BRI VOA"/>
    <s v="R02"/>
    <x v="0"/>
    <s v="25/02 req masuk_x000a_25/02 support meminta info no cc_x000a__x000a_27/02  belum ada updat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9"/>
  </r>
  <r>
    <s v="INC20260225429"/>
    <d v="2026-02-25T14:53:00"/>
    <s v="Email"/>
    <s v="kkd_ipm2@corp.bri.co.id"/>
    <s v="MOLINA"/>
    <s v="Request"/>
    <s v="VOA"/>
    <x v="1"/>
    <x v="1"/>
    <x v="417"/>
    <s v="BRI VOA"/>
    <s v="R02"/>
    <x v="0"/>
    <s v="25/02 KKD KONFIRMASI Pre-Arbitrasi _x000a_25/02 Support infokan jika terdapat request Pre-Arb dari Bank"/>
    <m/>
    <m/>
    <m/>
    <x v="9"/>
  </r>
  <r>
    <s v="INC20260225430"/>
    <d v="2026-02-25T15:31:00"/>
    <s v="Email"/>
    <s v="kkd_ipm2@corp.bri.co.id"/>
    <s v="PT Cerdik Karya Gemilang"/>
    <s v="Request"/>
    <s v="VOA"/>
    <x v="1"/>
    <x v="1"/>
    <x v="418"/>
    <s v="BRI VOA"/>
    <s v="R02"/>
    <x v="0"/>
    <s v="25/02 KKD KONFIRMASI Pre-Arbitrasi _x000a_25/02 Support infokan jika terdapat request Pre-Arb dari Bank"/>
    <m/>
    <m/>
    <m/>
    <x v="9"/>
  </r>
  <r>
    <s v="INC20260225431"/>
    <d v="2026-02-25T09:52:00"/>
    <s v="WA"/>
    <s v="-"/>
    <s v="PT Daya Net Gemilang"/>
    <s v="Request"/>
    <s v="QR"/>
    <x v="3"/>
    <x v="4"/>
    <x v="419"/>
    <s v="NOBU"/>
    <s v="R01"/>
    <x v="0"/>
    <s v="25/02 DNT tanyakan trx  NACL1364325455 / 000171597831_x000a_25/02 Support cek db prismalink dan Nobu sukses_x000a_25/02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4T10:00:00"/>
    <x v="10"/>
  </r>
  <r>
    <s v="INC20260225432"/>
    <d v="2026-02-25T11:57:00"/>
    <s v="WA"/>
    <s v="-"/>
    <s v="PT Hotel Murah Travelindo"/>
    <s v="Request"/>
    <s v="QR"/>
    <x v="3"/>
    <x v="4"/>
    <x v="420"/>
    <s v="NOBU"/>
    <s v="R01"/>
    <x v="0"/>
    <s v="25/02 Hotel Murah tanyakan trx P86310732_x000a_P86310127_x000a_25/02 Support cek db prismalink cancel dan di Nobu tidak ditemukan_x000a_25/02 Support up ke Nobu dan Nobu ingin nominal nya di rupiahkan_x000a_25/02 Support infokan ke Hotel murah untuk infokan nominal rupiahnya_x000a_25/02 info dari Nobu bahwa trx tersebut gagal_x000a_25/02 Support infokan bahwa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5T14:48:00"/>
    <x v="10"/>
  </r>
  <r>
    <s v="INC20260225433"/>
    <d v="2026-02-25T22:27:00"/>
    <s v="WA"/>
    <s v="-"/>
    <s v="PT Daya Net Gemilang"/>
    <s v="Request"/>
    <s v="VA"/>
    <x v="3"/>
    <x v="4"/>
    <x v="421"/>
    <s v="BCA"/>
    <s v="R01"/>
    <x v="0"/>
    <s v="24/02 DNT  tanyakan trx  _x000a_VA 7900125000002770 // ID NACL1381985184   _x000a_24/02 Support cek di mbase cancel dan pg admin reject_x000a_24/02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5T22:42:00"/>
    <x v="10"/>
  </r>
  <r>
    <s v="INC20260226434"/>
    <d v="2026-02-26T11:04:00"/>
    <s v="WA"/>
    <s v="-"/>
    <s v="YAYASAN ENAM PEDULI PENDIDIKAN"/>
    <s v="Request"/>
    <s v="QR"/>
    <x v="3"/>
    <x v="3"/>
    <x v="422"/>
    <s v="NOBU"/>
    <s v="R01"/>
    <x v="0"/>
    <s v="26/02 Univesitas sains tanyakan trx 2511110028-260210110146 / 118234269_x000a_26/02 Support cek db prismalink cancel dan di Nobu ada_x000a_26/02 Support infokan ke team terkait_x000a_26/02 Support infokan sukses karea sudah setld di dashboard "/>
    <s v="SOP #05"/>
    <s v="1. Pastikan merchant &amp; transaksi tersebut valid_x000a_2. Cek VA di apps.plink, bandingkan amount:_x000a__x0009_Amount sama → Update transaksi._x000a__x0009_Amount berbeda → Tidak bisa diupdate, informasikan ke merchant."/>
    <d v="2026-02-26T11:55:00"/>
    <x v="10"/>
  </r>
  <r>
    <s v="INC20260226435"/>
    <d v="2026-02-26T22:17:00"/>
    <s v="WA"/>
    <s v="-"/>
    <s v="PT Teknologi Awan Cerah"/>
    <s v="Request"/>
    <s v="VA"/>
    <x v="3"/>
    <x v="3"/>
    <x v="423"/>
    <s v="BCA"/>
    <s v="R01"/>
    <x v="0"/>
    <s v="26/02 Nobecul tanyakan trx 7900121700059960_x000a_26/02 Support cek mbase belum ada_x000a_26/02 Support infokan tunggu rekon_x000a_28/02 support infokan trx gagal "/>
    <s v="SOP #05"/>
    <s v="1. Pastikan merchant &amp; transaksi tersebut valid_x000a_2. Cek VA di apps.plink, bandingkan amount:_x000a__x0009_Amount sama → Update transaksi._x000a__x0009_Amount berbeda → Tidak bisa diupdate, informasikan ke merchant."/>
    <d v="2026-02-28T00:00:00"/>
    <x v="10"/>
  </r>
  <r>
    <s v="INC20260225436"/>
    <d v="2026-02-25T15:41:00"/>
    <s v="Email"/>
    <s v="support@prismalink.co.id"/>
    <s v="PT Kreasi Kode Kreatif"/>
    <s v="Issue"/>
    <s v="VA"/>
    <x v="2"/>
    <x v="2"/>
    <x v="424"/>
    <s v="BCA"/>
    <s v="C01"/>
    <x v="0"/>
    <s v="25/02 req masuk, support konfirm ke merchant terkait_x000a_26/02 kvoucher infokan jika bisa memotong settelment harian_x000a_02/03 support req hold dana_x000a_02/03 finance infokan dana sudah di hold_x000a_02/03 case sama dgn email '[O9bcaac6] Indikasi Penipuan: BAYAR2.COM/02032026/038' _x000a_02/03 support req finance untuk tf ke rekening penampung_x000a_03/03 FInance refund"/>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03T00:00:00"/>
    <x v="10"/>
  </r>
  <r>
    <s v="INC20260226437"/>
    <d v="2026-02-26T07:37:00"/>
    <s v="Email"/>
    <s v="Distribusi Lancar Jaya &lt;distribusilancarjaya@gmail.com&gt;"/>
    <s v="Jatimpark Vending Mechine"/>
    <s v="Request"/>
    <s v="QR"/>
    <x v="0"/>
    <x v="0"/>
    <x v="425"/>
    <s v="NOBU"/>
    <s v="R04"/>
    <x v="0"/>
    <s v="26/02 req masuk_x000a_26/02 DONE"/>
    <m/>
    <s v="Buka SOP 'REFUND QR NOBU'"/>
    <d v="2026-02-26T00:00:00"/>
    <x v="10"/>
  </r>
  <r>
    <s v="INC20260226438"/>
    <d v="2026-02-26T13:45:00"/>
    <s v="Email"/>
    <s v="chargebackops.acq@corp.bri.co.id"/>
    <s v="MOLINA"/>
    <s v="Request"/>
    <s v="VOA"/>
    <x v="1"/>
    <x v="1"/>
    <x v="426"/>
    <s v="BRI VOA"/>
    <s v="R02"/>
    <x v="0"/>
    <s v="26/02 KKD KONFIRMASI Pre-Arbitrasi _x000a_26/02 Support infokan jika terdapat request Pre-Arb dari Bank_x000a_04/03 terdapat update dr BRI jika 4 card bisa di ignore_x000a_04/03 Re: KONFIRMASI PRE ARBITRASI Prismalink*IND VISAARR 26/02/2026 40TRX"/>
    <m/>
    <m/>
    <d v="2026-02-26T00:00:00"/>
    <x v="10"/>
  </r>
  <r>
    <s v="INC20260226439"/>
    <d v="2026-02-26T17:23:00"/>
    <s v="Email"/>
    <s v="Putri Oktaviani &lt;putri@data-link.co.id&gt;"/>
    <s v="PT ENVOIZ DIGITAL INDONESIA"/>
    <s v="Issue"/>
    <s v="VA"/>
    <x v="2"/>
    <x v="2"/>
    <x v="427"/>
    <s v="BCA"/>
    <s v="C01"/>
    <x v="0"/>
    <s v="26/02 req masuk, user infokan kendala pada aplikasi KTA Kilat dan req hold dana_x000a_26/02 support meminta kronologis dkk_x000a_26/02 user melampirkan data2_x000a_26/02 support teruskan ke envoiz 'FW: Pengecekan VA 7900124900006227'_x000a_27/02 cust FU_x000a_27/02 envoiz infokan jika bisa memotong settelment harian_x000a_02/03 support req hold dana ke finance_x000a_03/03 finance infokan dana sudah di hold &amp; req untuk di tf ke BCA_x000a_03/03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03T00:00:00"/>
    <x v="10"/>
  </r>
  <r>
    <s v="INC20260227440"/>
    <d v="2026-02-27T08:05:00"/>
    <s v="Email"/>
    <s v="Distribusi Lancar Jaya &lt;distribusilancarjaya@gmail.com&gt;"/>
    <s v="Jatimpark Vending Mechine"/>
    <s v="Request"/>
    <s v="QR"/>
    <x v="0"/>
    <x v="0"/>
    <x v="428"/>
    <s v="NOBU"/>
    <s v="R04"/>
    <x v="0"/>
    <s v="27/02 req masuk_x000a_02/03 DONE"/>
    <m/>
    <s v="Buka SOP 'REFUND QR NOBU'"/>
    <d v="2026-03-02T00:00:00"/>
    <x v="10"/>
  </r>
  <r>
    <s v="INC20260226441"/>
    <d v="2026-02-26T15:54:00"/>
    <s v="Email"/>
    <s v="kkd_ipm2@corp.bri.co.id"/>
    <s v="PT Cerdik Karya Gemilang"/>
    <s v="Request"/>
    <s v="VOA"/>
    <x v="1"/>
    <x v="1"/>
    <x v="429"/>
    <s v="BRI VOA"/>
    <s v="R02"/>
    <x v="0"/>
    <s v="26/02 KKD KONFIRMASI Pre-Arbitrasi _x000a_26/02 Support infokan jika terdapat request Pre-Arb dari Bank"/>
    <m/>
    <m/>
    <d v="2026-02-27T00:00:00"/>
    <x v="10"/>
  </r>
  <r>
    <s v="INC20260226442"/>
    <d v="2026-02-26T13:40:00"/>
    <s v="Email"/>
    <s v="kkd_ipm2@corp.bri.co.id"/>
    <s v="MOLINA"/>
    <s v="Request"/>
    <s v="VOA"/>
    <x v="4"/>
    <x v="5"/>
    <x v="430"/>
    <s v="BRI VOA"/>
    <s v="R02"/>
    <x v="0"/>
    <s v="26/02 REQ MASUK_x000a_02/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2-27T00:00:00"/>
    <x v="10"/>
  </r>
  <r>
    <s v="INC20260227443"/>
    <d v="2026-02-27T11:01:00"/>
    <s v="Email"/>
    <s v="Anisa Anjar Saputri &lt;anisa.anjar@bukalapak.com&gt;"/>
    <s v="PT VISI JAYA INDONESI"/>
    <s v="Request"/>
    <s v="VA"/>
    <x v="3"/>
    <x v="4"/>
    <x v="431"/>
    <s v="BCA"/>
    <s v="R01"/>
    <x v="0"/>
    <s v="27/02 req masuk_x000a_27/02 support infokan trx VA tersebut gaga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7T00:00:00"/>
    <x v="10"/>
  </r>
  <r>
    <s v="INC20260227444"/>
    <d v="2026-02-27T11:44:00"/>
    <s v="Email"/>
    <s v="keluhan_payment@bca.co.id"/>
    <s v="PT Teknologi Awan Cerah"/>
    <s v="Issue"/>
    <s v="VA"/>
    <x v="2"/>
    <x v="2"/>
    <x v="432"/>
    <s v="BCA"/>
    <s v="C01"/>
    <x v="0"/>
    <s v="27/02 req masuk + support meminta kronologis_x000a_27/02 belum ada update_x000a_02/03 BCA melampirkan data_x000a_03/03 Support meminta data tambahan karena BCA hanya melampirkan surat dr mandiri"/>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2-27T00:00:00"/>
    <x v="10"/>
  </r>
  <r>
    <s v="INC20260227445"/>
    <d v="2026-02-27T14:56:00"/>
    <s v="Email"/>
    <s v="Viraditya Nadine Al Faritsi &lt;nadine.alfaritsi@advisory-group.one&gt;"/>
    <s v="MOLINA"/>
    <s v="Request"/>
    <s v="VOA"/>
    <x v="4"/>
    <x v="8"/>
    <x v="433"/>
    <s v="BRI VOA"/>
    <s v="R02"/>
    <x v="0"/>
    <s v="27/02 req masuk_x000a_27/02 DONE"/>
    <m/>
    <m/>
    <d v="2026-02-27T00:00:00"/>
    <x v="10"/>
  </r>
  <r>
    <s v="INC20260227446"/>
    <d v="2026-02-27T15:03:00"/>
    <s v="Email"/>
    <s v="kkd_ipm2@corp.bri.co.id"/>
    <s v="MOLINA"/>
    <s v="Request"/>
    <s v="VOA"/>
    <x v="1"/>
    <x v="1"/>
    <x v="434"/>
    <s v="BRI VOA"/>
    <s v="R02"/>
    <x v="0"/>
    <s v="27/02 KKD KONFIRMASI Pre-Arbitrasi _x000a_27/02 Support infokan jika terdapat request Pre-Arb dari Bank"/>
    <m/>
    <m/>
    <d v="2026-02-27T00:00:00"/>
    <x v="10"/>
  </r>
  <r>
    <s v="INC20260227447"/>
    <d v="2026-02-27T15:39:00"/>
    <s v="Email"/>
    <s v="keluhan_payment@bca.co.id"/>
    <s v="PT ENVOIZ DIGITAL INDONESIA"/>
    <s v="Issue"/>
    <s v="VA"/>
    <x v="2"/>
    <x v="2"/>
    <x v="435"/>
    <s v="BCA"/>
    <s v="C01"/>
    <x v="0"/>
    <s v="27/02 req masuk + support meminta kronologis_x000a_27/02 belum ada update_x000a_03/03 sama dengan case email '7900124900006227'_x000a_03/03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03T00:00:00"/>
    <x v="10"/>
  </r>
  <r>
    <s v="INC20260301448"/>
    <d v="2026-03-01T17:15:00"/>
    <s v="Email"/>
    <s v="Pavel Yakimenko &lt;pavel@yakimenko.com.au&gt;"/>
    <s v="MOLINA"/>
    <s v="Request"/>
    <s v="VOA"/>
    <x v="0"/>
    <x v="10"/>
    <x v="436"/>
    <s v="BRI VOA"/>
    <s v="R02"/>
    <x v="0"/>
    <s v="01/03 cust req refund karena double paymant (melampirkan evidence)_x000a_01/03 support infokan sudah diproses refund, dan dana akan masuk ke rekening 1-2 hari kerja"/>
    <m/>
    <m/>
    <d v="2026-03-01T00:00:00"/>
    <x v="10"/>
  </r>
  <r>
    <s v="INC20260302449"/>
    <d v="2026-03-02T07:49:00"/>
    <s v="Email"/>
    <s v="Distribusi Lancar Jaya &lt;distribusilancarjaya@gmail.com&gt;"/>
    <s v="Jatimpark Vending Mechine"/>
    <s v="Request"/>
    <s v="QR"/>
    <x v="0"/>
    <x v="0"/>
    <x v="437"/>
    <s v="NOBU"/>
    <s v="R04"/>
    <x v="0"/>
    <s v="02/03 req masuk_x000a_02/03 DONE"/>
    <m/>
    <s v="Buka SOP 'REFUND QR NOBU'"/>
    <d v="2025-03-02T00:00:00"/>
    <x v="10"/>
  </r>
  <r>
    <s v="INC20260227450"/>
    <d v="2026-02-27T12:17:00"/>
    <s v="WA"/>
    <s v="-"/>
    <s v="PT Hotel Murah Travelindo"/>
    <s v="Request"/>
    <s v="QR"/>
    <x v="3"/>
    <x v="4"/>
    <x v="438"/>
    <s v="NOBU"/>
    <s v="R01"/>
    <x v="0"/>
    <s v="27/02 hotelmurah  tanyakan trx  P86460043 dengan RRN QRIS 1m4f95v18318    _x000a_27/02 Support cek di dashboard dan nobu sukses_x000a_27/02 Suppor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7T12:29:00"/>
    <x v="10"/>
  </r>
  <r>
    <s v="INC20260227451"/>
    <d v="2026-02-27T11:16:00"/>
    <s v="WA"/>
    <s v="-"/>
    <s v="PT Teknologi Awan Cerah"/>
    <s v="Request"/>
    <s v="VA"/>
    <x v="3"/>
    <x v="3"/>
    <x v="439"/>
    <s v="BCA"/>
    <s v="R01"/>
    <x v="0"/>
    <s v="27/02 Envoiz tanyakan trx  8919101249116816_x000a_27/02 Support cek di mbase error aprvd dan dashbaord cancel_x000a_27/02 Support infokan ke team terkait untuk update_x000a_27/02 Support update dan infokan sukses karena sudah setld_x000a__x000a_"/>
    <s v="SOP #05"/>
    <s v="1. Pastikan merchant &amp; transaksi tersebut valid_x000a_2. Cek VA di apps.plink, bandingkan amount:_x000a__x0009_Amount sama → Update transaksi._x000a__x0009_Amount berbeda → Tidak bisa diupdate, informasikan ke merchant."/>
    <d v="2026-02-27T00:00:00"/>
    <x v="10"/>
  </r>
  <r>
    <s v="INC20260302452"/>
    <d v="2026-03-02T11:53:00"/>
    <s v="Email"/>
    <s v="chargebackops.acq@corp.bri.co.id"/>
    <s v="MOLINA"/>
    <s v="Request"/>
    <s v="VOA"/>
    <x v="4"/>
    <x v="5"/>
    <x v="440"/>
    <s v="BRI VOA"/>
    <s v="R02"/>
    <x v="0"/>
    <s v="02/03 REQ MASUK_x000a_05/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05T00:00:00"/>
    <x v="10"/>
  </r>
  <r>
    <s v="INC20260302453"/>
    <d v="2026-03-02T12:53:00"/>
    <s v="Email"/>
    <s v="keluhan_payment@bca.co.id"/>
    <s v="PT ENVOIZ DIGITAL INDONESIA"/>
    <s v="Issue"/>
    <s v="VA"/>
    <x v="2"/>
    <x v="2"/>
    <x v="441"/>
    <s v="BCA"/>
    <s v="C01"/>
    <x v="0"/>
    <s v="02/03 req masuk + support meminta kronologis_x000a_0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0"/>
  </r>
  <r>
    <s v="INC20260227454"/>
    <d v="2026-02-27T15:16:00"/>
    <s v="WA"/>
    <s v="-"/>
    <s v="JLF"/>
    <s v="Request"/>
    <s v="QR"/>
    <x v="3"/>
    <x v="4"/>
    <x v="442"/>
    <s v="BCA"/>
    <s v="R01"/>
    <x v="0"/>
    <s v="27/02 JLF tanyakan trx  7900104900000193173 _x000a_27/02 Support cek di mbase error reject _x000a_27/02 Support infokan gagal/tidak berhasi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7T15:21:00"/>
    <x v="10"/>
  </r>
  <r>
    <s v="INC20260227455"/>
    <d v="2026-02-27T23:29:00"/>
    <s v="WA"/>
    <s v="-"/>
    <s v="PT Teknologi Awan Cerah"/>
    <s v="Request"/>
    <s v="QR"/>
    <x v="3"/>
    <x v="4"/>
    <x v="443"/>
    <s v="BCA"/>
    <s v="R01"/>
    <x v="0"/>
    <s v="27/02 JLF tanyakan trx  7900121700092431 _x000a_27/02 Support cek di mbase cancel, support cek di agregator tidak ada_x000a_27/02 Support infokan gagal/tidak berhasi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7T00:08:00"/>
    <x v="10"/>
  </r>
  <r>
    <s v="INC20260228456"/>
    <d v="2026-02-28T08:57:00"/>
    <s v="WA"/>
    <s v="-"/>
    <s v="PT Teknologi Awan Cerah"/>
    <s v="Request"/>
    <s v="VA"/>
    <x v="3"/>
    <x v="3"/>
    <x v="444"/>
    <s v="BNI"/>
    <s v="R01"/>
    <x v="0"/>
    <s v="28/02 nobecul  tanyakan trx  8919101217249654 _x000a_28/02 Support cek di dashboard tidak ada_x000a_28/02 Supporrt infokan menunggu rekon_x000a_02/03 support update + infokan trx sukses"/>
    <s v="SOP #05"/>
    <s v="1. Pastikan merchant &amp; transaksi tersebut valid_x000a_2. Cek VA di apps.plink, bandingkan amount:_x000a__x0009_Amount sama → Update transaksi._x000a__x0009_Amount berbeda → Tidak bisa diupdate, informasikan ke merchant."/>
    <d v="2026-03-02T00:00:00"/>
    <x v="10"/>
  </r>
  <r>
    <s v="INC20260228457"/>
    <d v="2026-02-28T15:30:00"/>
    <s v="WA"/>
    <s v="-"/>
    <s v="PT Teknologi Awan Cerah"/>
    <s v="Request"/>
    <s v="QR"/>
    <x v="3"/>
    <x v="4"/>
    <x v="445"/>
    <s v="BCA"/>
    <s v="R01"/>
    <x v="0"/>
    <s v="28/02 Nobecull  tanyakan trx  7900121700059960 _x000a_28/02 Support cek di mbase error reject _x000a_28/02 Support infokan gagal/tidak berhasi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2-28T15:33:00"/>
    <x v="10"/>
  </r>
  <r>
    <s v="INC20260228458"/>
    <d v="2026-02-28T15:03:00"/>
    <s v="WA"/>
    <s v="-"/>
    <s v="PT Teknologi Awan Cerah"/>
    <s v="Request"/>
    <s v="VA"/>
    <x v="3"/>
    <x v="3"/>
    <x v="446"/>
    <s v="BNI"/>
    <s v="R01"/>
    <x v="0"/>
    <s v="28/02 Univ sains tanyakan trx  8919101212978989 _x000a_8919101212599863 _x000a_28/02 Support cek di mbase error aprvd dan dashbaord cancel_x000a_28/02 Support infokan ke team terkait untuk update_x000a_28/02 Support update dan infokan sukses karena sudah setld"/>
    <s v="SOP #05"/>
    <s v="1. Pastikan merchant &amp; transaksi tersebut valid_x000a_2. Cek VA di apps.plink, bandingkan amount:_x000a__x0009_Amount sama → Update transaksi._x000a__x0009_Amount berbeda → Tidak bisa diupdate, informasikan ke merchant."/>
    <d v="2026-02-28T22:00:00"/>
    <x v="10"/>
  </r>
  <r>
    <s v="INC20260228459"/>
    <d v="2026-02-28T16:42:00"/>
    <s v="WA"/>
    <s v="-"/>
    <s v="MOLINA"/>
    <s v="Request"/>
    <s v="VOA"/>
    <x v="0"/>
    <x v="10"/>
    <x v="447"/>
    <s v="BRI VOA"/>
    <s v="R02"/>
    <x v="0"/>
    <s v="28/02 tim imigrasai info telah terjadi double charge di kartu cc WNA _x000a_535456**5198_x000a_516815**3874_x000a_28/02 support cek di mbase dan pcs, status 1 trx sukses dan 1 decline _x000a_28/02 Support infokan ke team terkait untuk dilakukan void_x000a_28/02 support infokan untuk transaksi atas nomor kartu tersebut, sudah berhasil di void "/>
    <m/>
    <m/>
    <d v="2026-02-28T17:39:00"/>
    <x v="10"/>
  </r>
  <r>
    <s v="INC20260301460"/>
    <d v="2026-03-01T06:32:00"/>
    <s v="WA"/>
    <s v="-"/>
    <s v="PT ENVOIZ DIGITAL INDONESIA"/>
    <s v="Request"/>
    <s v="QR"/>
    <x v="3"/>
    <x v="4"/>
    <x v="448"/>
    <s v="BNI"/>
    <s v="R01"/>
    <x v="0"/>
    <s v="01/03 Envoiz tanyakan trx 8919101249225538 / NACL1388820975_x000a_01/03 Support cek di db Prismalink cancel dan cek mbase stts nya CANCL SCHEDULER_x000a_01/03 Support infokan ke team terkait untuk update_x000a_02/03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2T00:00:00"/>
    <x v="10"/>
  </r>
  <r>
    <s v="INC20260301461"/>
    <d v="2026-03-01T20:09:00"/>
    <s v="WA"/>
    <s v="-"/>
    <s v="Tripay"/>
    <s v="Request"/>
    <s v="QR"/>
    <x v="3"/>
    <x v="4"/>
    <x v="449"/>
    <s v="BNI"/>
    <s v="R01"/>
    <x v="0"/>
    <s v="01/03 Tripay  tanyakan trx  7900117900031713 _x000a_01/03 Support cek di mbase error reject _x000a_01/03  Support infokan gagal/tidak berhasi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1T20:26:00"/>
    <x v="10"/>
  </r>
  <r>
    <s v="INC20260301462"/>
    <d v="2026-03-01T21:50:00"/>
    <s v="WA"/>
    <s v="-"/>
    <s v="Tripay"/>
    <s v="Request"/>
    <s v="QR"/>
    <x v="3"/>
    <x v="4"/>
    <x v="450"/>
    <s v="BRI"/>
    <s v="R01"/>
    <x v="0"/>
    <s v="01/03 Tripay  tanyakan trx  4041910117945515_x000a_4041910117995682_x000a_01/03 Support cek di mbase tidak ada dan dashboard no result_x000a_01/03  Support infokan menunggu hasil rekon_x000a_02/03 support infokan trx sukses_x000a_"/>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2T00:00:00"/>
    <x v="10"/>
  </r>
  <r>
    <s v="INC20260302463"/>
    <d v="2026-03-02T14:49:00"/>
    <s v="Email"/>
    <s v="keluhan_payment@bca.co.id"/>
    <s v="PT Kreasi Kode Kreatif"/>
    <s v="Issue"/>
    <s v="VA"/>
    <x v="2"/>
    <x v="2"/>
    <x v="451"/>
    <s v="BCA"/>
    <s v="C01"/>
    <x v="0"/>
    <s v="02/03 req masuk + support meminta kronologis_x000a_02/03 belum ada update_x000a_03/03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03T00:00:00"/>
    <x v="10"/>
  </r>
  <r>
    <s v="INC20260302464"/>
    <d v="2026-03-02T15:35:00"/>
    <s v="Email"/>
    <s v="kkd_ipm2@corp.bri.co.id"/>
    <s v="MOLINA"/>
    <s v="Request"/>
    <s v="VOA"/>
    <x v="4"/>
    <x v="5"/>
    <x v="452"/>
    <s v="BRI VOA"/>
    <s v="R02"/>
    <x v="0"/>
    <s v="02/03 REQ MASUK_x000a_05/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05T00:00:00"/>
    <x v="10"/>
  </r>
  <r>
    <s v="INC20260302465"/>
    <d v="2026-03-02T16:40:00"/>
    <s v="Email"/>
    <s v="keluhan_payment@bca.co.id"/>
    <s v="PT Kreasi Kode Kreatif"/>
    <s v="Issue"/>
    <s v="VA"/>
    <x v="2"/>
    <x v="2"/>
    <x v="451"/>
    <s v="BCA"/>
    <s v="C01"/>
    <x v="0"/>
    <s v="02/03 req masuk + support meminta kronologis_x000a_0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0"/>
  </r>
  <r>
    <s v="INC20260303466"/>
    <d v="2026-03-03T09:00:00"/>
    <s v="Email"/>
    <s v="Distribusi Lancar Jaya &lt;distribusilancarjaya@gmail.com&gt;"/>
    <s v="Jatimpark Vending Mechine"/>
    <s v="Request"/>
    <s v="QR"/>
    <x v="0"/>
    <x v="0"/>
    <x v="453"/>
    <s v="NOBU"/>
    <s v="R04"/>
    <x v="0"/>
    <s v="03/03 req masuk + support teruskan ke nobu_x000a_05/03 DONE"/>
    <m/>
    <s v="Buka SOP 'REFUND QR NOBU'"/>
    <d v="2026-03-05T00:00:00"/>
    <x v="11"/>
  </r>
  <r>
    <s v="INC20260303467"/>
    <d v="2026-03-03T09:04:00"/>
    <s v="Email"/>
    <s v="冰 &lt;280136539@qq.com&gt;"/>
    <s v="MOLINA"/>
    <s v="Request"/>
    <s v="VOA"/>
    <x v="4"/>
    <x v="8"/>
    <x v="454"/>
    <s v="BRI VOA"/>
    <s v="R02"/>
    <x v="0"/>
    <s v="03/03 req masuk_x000a_03/03 DONE"/>
    <m/>
    <m/>
    <d v="2026-03-03T00:00:00"/>
    <x v="11"/>
  </r>
  <r>
    <s v="INC20260303468"/>
    <d v="2026-03-03T05:51:00"/>
    <s v="WA"/>
    <s v="-"/>
    <s v="PT Teknologi Awan Cerah"/>
    <s v="Request"/>
    <s v="VA"/>
    <x v="3"/>
    <x v="4"/>
    <x v="455"/>
    <s v="BCA"/>
    <s v="R01"/>
    <x v="0"/>
    <s v="03/03 Nobecul tanyakan trx  7900121700000501_x000a_03/03 Support cek di mbase error reject _x000a_03/03  Support infokan gagal/tidak berhasil karena perbedaan amou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3T06:30:00"/>
    <x v="11"/>
  </r>
  <r>
    <s v="INC20260303469"/>
    <d v="2026-03-03T13:14:00"/>
    <s v="Email"/>
    <s v="Felly Khaerunnissah &lt;felly.khaerunnissah@bankmandiri.co.id&gt;"/>
    <s v="PT Daya Net Gemilang"/>
    <s v="Issue"/>
    <s v="VA"/>
    <x v="2"/>
    <x v="2"/>
    <x v="456"/>
    <s v="BCA"/>
    <s v="C01"/>
    <x v="0"/>
    <s v="03/03 req masuk + support meminta kronologis dkk_x000a_04/03 mandiri menanyakan perihal pengembalian dana_x000a_04/03 support infokan jika memang terbukti dana bisa dikembalik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1"/>
  </r>
  <r>
    <s v="INC20260303470"/>
    <d v="2026-03-03T14:18:00"/>
    <s v="Email"/>
    <s v="keluhan_payment@bca.co.id"/>
    <s v="PT Kreasi Kode Kreatif"/>
    <s v="Issue"/>
    <s v="VA"/>
    <x v="2"/>
    <x v="2"/>
    <x v="457"/>
    <s v="BCA"/>
    <s v="C01"/>
    <x v="0"/>
    <s v="02/03 req masuk + support meminta kronologis_x000a_0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1"/>
  </r>
  <r>
    <s v="INC20260303471"/>
    <d v="2026-03-03T14:48:00"/>
    <s v="Email"/>
    <s v="chargebackops.acq@corp.bri.co.id"/>
    <s v="MOLINA"/>
    <s v="Request"/>
    <s v="VOA"/>
    <x v="4"/>
    <x v="5"/>
    <x v="458"/>
    <s v="BRI VOA"/>
    <s v="R02"/>
    <x v="0"/>
    <s v="02/03 REQ MASUK_x000a_05/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05T00:00:00"/>
    <x v="11"/>
  </r>
  <r>
    <s v="INC20260303472"/>
    <d v="2026-03-03T17:03:00"/>
    <s v="Email"/>
    <s v="keluhan_payment@bca.co.id"/>
    <s v="PT Daya Net Gemilang"/>
    <s v="Request"/>
    <s v="VA"/>
    <x v="3"/>
    <x v="4"/>
    <x v="459"/>
    <s v="BCA"/>
    <s v="R01"/>
    <x v="0"/>
    <s v="03/03 req masuk_x000a_03/03 support infokan jika trx tersebut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3T00:00:00"/>
    <x v="12"/>
  </r>
  <r>
    <s v="INC20260304473"/>
    <d v="2026-03-04T07:46:00"/>
    <s v="Email"/>
    <s v="Distribusi Lancar Jaya &lt;distribusilancarjaya@gmail.com&gt;"/>
    <s v="Jatimpark Vending Mechine"/>
    <s v="Request"/>
    <s v="QR"/>
    <x v="0"/>
    <x v="0"/>
    <x v="460"/>
    <s v="NOBU"/>
    <s v="R04"/>
    <x v="0"/>
    <s v="04/03 req masuk + support teruskan ke nobu_x000a_05/03 DONE"/>
    <m/>
    <s v="Buka SOP 'REFUND QR NOBU'"/>
    <d v="2026-03-05T00:00:00"/>
    <x v="12"/>
  </r>
  <r>
    <s v="INC20260303474"/>
    <d v="2026-03-03T10:04:00"/>
    <s v="WA"/>
    <s v="-"/>
    <s v="YAYASAN ENAM PEDULI PENDIDIKAN"/>
    <s v="Request"/>
    <s v="QR"/>
    <x v="3"/>
    <x v="3"/>
    <x v="461"/>
    <s v="NOBU"/>
    <s v="R01"/>
    <x v="0"/>
    <s v="03/03 Univ Sains tanyakan trx 000154285684 / 0011827022627956084_x000a_03/03 Support cek di db nobu ada namun di db prismalink cancel_x000a_03/03  Support update dan infokan sukses ke merchant"/>
    <s v="SOP #05"/>
    <s v="1. Pastikan merchant &amp; transaksi tersebut valid_x000a_2. Cek VA di apps.plink, bandingkan amount:_x000a__x0009_Amount sama → Update transaksi._x000a__x0009_Amount berbeda → Tidak bisa diupdate, informasikan ke merchant."/>
    <d v="2026-03-03T10:17:00"/>
    <x v="12"/>
  </r>
  <r>
    <s v="INC20260303475"/>
    <d v="2026-03-03T11:25:00"/>
    <s v="WA"/>
    <s v="-"/>
    <s v="PT Daya Net Gemilang"/>
    <s v="Request"/>
    <s v="VA"/>
    <x v="3"/>
    <x v="4"/>
    <x v="462"/>
    <s v="BRI"/>
    <s v="R01"/>
    <x v="0"/>
    <s v="03/03 DNT tanyakan trx  4041910125027050 / NACL1391576152_x000a_03/03 Support cek di db prismalink sukses dan info dari rekon sudah settle _x000a_03/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3T11:30:00"/>
    <x v="12"/>
  </r>
  <r>
    <s v="INC20260303476"/>
    <d v="2026-03-03T12:10:00"/>
    <s v="WA"/>
    <s v="-"/>
    <s v="PT Daya Net Gemilang"/>
    <s v="Request"/>
    <s v="VA"/>
    <x v="3"/>
    <x v="4"/>
    <x v="463"/>
    <s v="BRI"/>
    <s v="R01"/>
    <x v="0"/>
    <s v="03/03 DNT tanyakan trx 4041910125000856 / NACL1391575215_x000a_03/03 Support cek di db prismalink sukses, done callback_x000a_03/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3T12:16:00"/>
    <x v="12"/>
  </r>
  <r>
    <s v="INC20260303477"/>
    <d v="2026-03-03T11:58:00"/>
    <s v="WA"/>
    <s v="-"/>
    <s v="YAYASAN ENAM PEDULI PENDIDIKAN"/>
    <s v="Request"/>
    <s v="VA"/>
    <x v="3"/>
    <x v="3"/>
    <x v="464"/>
    <s v="BNI"/>
    <s v="R01"/>
    <x v="0"/>
    <s v="03/03 Univ sains tanyakan trx _x000a_8919101212841210 / 0010912022688969384 _x000a_8919101212333857 / 0011713112534278633 _x000a_03/03 Support cek di db prismalink belum ditemukan, info dari rekon dananya ada namun belum di settle karena miss_x000a_03/03 Support up untuk cek lebih lanjut_x000a_04/03 support infokan trx sukses"/>
    <s v="SOP #05"/>
    <s v="1. Pastikan merchant &amp; transaksi tersebut valid_x000a_2. Cek VA di apps.plink, bandingkan amount:_x000a__x0009_Amount sama → Update transaksi._x000a__x0009_Amount berbeda → Tidak bisa diupdate, informasikan ke merchant."/>
    <d v="2026-03-04T00:00:00"/>
    <x v="12"/>
  </r>
  <r>
    <s v="INC20260303478"/>
    <d v="2026-03-03T19:27:00"/>
    <s v="WA"/>
    <s v="-"/>
    <s v="Tripay"/>
    <s v="Request"/>
    <s v="VA"/>
    <x v="3"/>
    <x v="4"/>
    <x v="465"/>
    <s v="BCA"/>
    <s v="R01"/>
    <x v="0"/>
    <s v="03/03 tripay  tanyakan trx  7900117900091325  _x000a_03/03 Support cek di mbase error reject_x000a_03/03 Suppor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3T19:44:00"/>
    <x v="12"/>
  </r>
  <r>
    <s v="INC20260303479"/>
    <d v="2026-03-03T19:28:00"/>
    <s v="WA"/>
    <s v="-"/>
    <s v="PT Teknologi Awan Cerah"/>
    <s v="Request"/>
    <s v="VA"/>
    <x v="3"/>
    <x v="3"/>
    <x v="466"/>
    <s v="BCA"/>
    <s v="R01"/>
    <x v="0"/>
    <s v="03/03 nobecuk  tanyakan trx  7900121700018239  _x000a_03/03 Support cek di mbase apprv_x000a_03/03 Supporrt menunggu ko daniel update_x000a_04/02 support infokan trx sukses"/>
    <s v="SOP #05"/>
    <s v="1. Pastikan merchant &amp; transaksi tersebut valid_x000a_2. Cek VA di apps.plink, bandingkan amount:_x000a__x0009_Amount sama → Update transaksi._x000a__x0009_Amount berbeda → Tidak bisa diupdate, informasikan ke merchant."/>
    <d v="2026-02-04T00:00:00"/>
    <x v="12"/>
  </r>
  <r>
    <s v="INC20260304480"/>
    <d v="2026-03-04T03:45:00"/>
    <s v="WA"/>
    <s v="-"/>
    <s v="Tripay"/>
    <s v="Request"/>
    <s v="VA"/>
    <x v="3"/>
    <x v="4"/>
    <x v="467"/>
    <s v="BCA"/>
    <s v="R01"/>
    <x v="0"/>
    <s v="04/03 Kvoucher tanyakan trx  7900119200581819_x000a_04/03 Support cek di operator reject _x000a_04/03  Support infokan gagal/tidak berhasil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4T04:30:00"/>
    <x v="12"/>
  </r>
  <r>
    <s v="INC20260304481"/>
    <d v="2026-03-04T06:57:00"/>
    <s v="WA"/>
    <s v="-"/>
    <s v="PT Daya Net Gemilang"/>
    <s v="Request"/>
    <s v="VA"/>
    <x v="3"/>
    <x v="4"/>
    <x v="468"/>
    <s v="BCA"/>
    <s v="R01"/>
    <x v="0"/>
    <s v="04/03 DNT tanyakan trx  8903910125080264 / NACL1391576354   _x000a_04/03 Support cek mbase SETLD dan cek db prismalink sukses_x000a_04/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4T07:41:00"/>
    <x v="12"/>
  </r>
  <r>
    <s v="INC20260304482"/>
    <d v="2026-03-04T12:21:00"/>
    <s v="Email"/>
    <s v="keluhan_payment@bca.co.id"/>
    <s v="PT Daya Net Gemilang"/>
    <s v="Request"/>
    <s v="VA"/>
    <x v="3"/>
    <x v="4"/>
    <x v="469"/>
    <s v="BCA"/>
    <s v="R01"/>
    <x v="0"/>
    <s v="03/03 req masuk_x000a_03/03 support infokan jika trx tersebut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13"/>
  </r>
  <r>
    <s v="INC20260304483"/>
    <d v="2026-03-04T15:00:00"/>
    <s v="Email"/>
    <s v="kkd_ipm2@corp.bri.co.id"/>
    <s v="MOLINA"/>
    <s v="Request"/>
    <s v="VOA"/>
    <x v="4"/>
    <x v="5"/>
    <x v="470"/>
    <s v="BRI VOA"/>
    <s v="R02"/>
    <x v="0"/>
    <s v="04/03 REQ MASUK_x000a_06/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13"/>
  </r>
  <r>
    <s v="INC20260305484"/>
    <d v="2026-03-05T08:54:00"/>
    <s v="Email"/>
    <s v="Distribusi Lancar Jaya &lt;distribusilancarjaya@gmail.com&gt;"/>
    <s v="Jatimpark Vending Mechine"/>
    <s v="Request"/>
    <s v="QR"/>
    <x v="0"/>
    <x v="0"/>
    <x v="471"/>
    <s v="NOBU"/>
    <s v="R04"/>
    <x v="0"/>
    <s v="05/03 req masuk + support teruskan ke nobu_x000a_06/03 DONE"/>
    <m/>
    <s v="Buka SOP 'REFUND QR NOBU'"/>
    <d v="2026-03-06T00:00:00"/>
    <x v="13"/>
  </r>
  <r>
    <s v="INC20260304485"/>
    <d v="2026-03-04T10:40:00"/>
    <s v="WA"/>
    <s v="-"/>
    <s v="Tripay"/>
    <s v="Request"/>
    <s v="VA"/>
    <x v="3"/>
    <x v="4"/>
    <x v="472"/>
    <s v="BCA"/>
    <s v="R01"/>
    <x v="0"/>
    <s v="04/03 Tripay tanyakan trx 7900117900001760 / T1682931311470D4WK7  _x000a_04/03 Support cek mbase pndg dan cek db prismalink juga pndg_x000a_04/03  Support infokan tunggu rekon_x000a_05/03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5T00:00:00"/>
    <x v="13"/>
  </r>
  <r>
    <s v="INC20260304486"/>
    <d v="2026-03-04T11:54:00"/>
    <s v="WA"/>
    <s v="-"/>
    <s v="Tripay"/>
    <s v="Request"/>
    <s v="VA"/>
    <x v="3"/>
    <x v="4"/>
    <x v="473"/>
    <s v="BRI"/>
    <s v="R01"/>
    <x v="0"/>
    <s v="04/03 Tripay tanyakan trx 4041910117952394 / T2512031313656TGD7I _x000a_04/03 Support cek mbase pndg dan cek db prismalink juga pndg_x000a_04/03  Support infokan tunggu rekon_x000a_05/03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3036-03-05T00:00:00"/>
    <x v="13"/>
  </r>
  <r>
    <s v="INC20260305487"/>
    <d v="2026-03-05T15:12:00"/>
    <s v="Email"/>
    <s v="keluhan_payment@bca.co.id"/>
    <s v="PT Daya Net Gemilang"/>
    <s v="Issue"/>
    <s v="VA"/>
    <x v="2"/>
    <x v="2"/>
    <x v="474"/>
    <s v="BCA"/>
    <s v="R01"/>
    <x v="0"/>
    <s v="05/03 req masuk_x000a_05/03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3"/>
  </r>
  <r>
    <s v="INC20260305488"/>
    <d v="2026-03-05T15:31:00"/>
    <s v="Email"/>
    <s v="kkd_ipm2@corp.bri.co.id"/>
    <s v="MOLINA"/>
    <s v="Request"/>
    <s v="VOA"/>
    <x v="4"/>
    <x v="5"/>
    <x v="475"/>
    <s v="BRI VOA"/>
    <s v="R02"/>
    <x v="0"/>
    <s v="05/03 REQ MASUK_x000a_10/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10T00:00:00"/>
    <x v="13"/>
  </r>
  <r>
    <s v="INC20260302489"/>
    <d v="2026-03-02T15:11:00"/>
    <s v="Email"/>
    <s v="kkd_ipm2@corp.bri.co.id"/>
    <s v="MOLINA"/>
    <s v="Request"/>
    <s v="VOA"/>
    <x v="4"/>
    <x v="5"/>
    <x v="476"/>
    <s v="BRI VOA"/>
    <s v="R02"/>
    <x v="0"/>
    <s v="02/03 REQ MASUK_x000a_03/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05T00:00:00"/>
    <x v="13"/>
  </r>
  <r>
    <s v="INC20260306490"/>
    <d v="2026-03-06T10:13:00"/>
    <s v="Email"/>
    <s v="Distribusi Lancar Jaya &lt;distribusilancarjaya@gmail.com&gt;"/>
    <s v="Jatimpark Vending Mechine"/>
    <s v="Request"/>
    <s v="QR"/>
    <x v="0"/>
    <x v="0"/>
    <x v="477"/>
    <s v="NOBU"/>
    <s v="R04"/>
    <x v="0"/>
    <s v="06/03 req masuk + support teruskan ke nobu_x000a_"/>
    <m/>
    <s v="Buka SOP 'REFUND QR NOBU'"/>
    <m/>
    <x v="13"/>
  </r>
  <r>
    <s v="INC20260304491"/>
    <d v="2026-03-04T23:09:00"/>
    <s v="WA"/>
    <s v="-"/>
    <s v="PT Daya Net Gemilang"/>
    <s v="Request"/>
    <s v="VA"/>
    <x v="3"/>
    <x v="4"/>
    <x v="478"/>
    <s v="MANDIRI"/>
    <s v="R01"/>
    <x v="0"/>
    <s v="04/03 dnt  tanyakan trx  8903910125071840   _x000a_04/03 Support cek di mbase apprv_x000a_04/04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4T23:18:00"/>
    <x v="13"/>
  </r>
  <r>
    <s v="INC20260305492"/>
    <d v="2026-03-05T03:33:00"/>
    <s v="WA"/>
    <s v="-"/>
    <s v="PT Daya Net Gemilang"/>
    <s v="Request"/>
    <s v="VA"/>
    <x v="3"/>
    <x v="4"/>
    <x v="479"/>
    <s v="MANDIRI"/>
    <s v="R01"/>
    <x v="0"/>
    <s v="05/03 dnt  tanyakan trx  8903910125071840   _x000a_05/03 Support cek di mbase apprv_x000a_05/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4T03:35:00"/>
    <x v="13"/>
  </r>
  <r>
    <s v="INC20260305493"/>
    <d v="2026-03-05T03:58:00"/>
    <s v="WA"/>
    <s v="-"/>
    <s v="PT Daya Net Gemilang"/>
    <s v="Request"/>
    <s v="VA"/>
    <x v="3"/>
    <x v="4"/>
    <x v="480"/>
    <s v="BRI"/>
    <s v="R01"/>
    <x v="0"/>
    <s v="05/03 dnt  tanyakan trx  4041910125095061   _x000a_05/03 Support cek di mbase apprv_x000a_05/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5T04:00:00"/>
    <x v="13"/>
  </r>
  <r>
    <s v="INC20260305494"/>
    <d v="2026-03-05T05:52:00"/>
    <s v="WA"/>
    <s v="-"/>
    <s v="PT Daya Net Gemilang"/>
    <s v="Request"/>
    <s v="VA"/>
    <x v="3"/>
    <x v="4"/>
    <x v="481"/>
    <s v="MANDIRI"/>
    <s v="R01"/>
    <x v="0"/>
    <s v="05/03 dnt  tanyakan trx  8903910125083996    _x000a_05/03 Support cek di mbase apprv_x000a_05/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5T05:56:00"/>
    <x v="13"/>
  </r>
  <r>
    <s v="INC20260305495"/>
    <d v="2026-03-05T20:35:00"/>
    <s v="WA"/>
    <s v="-"/>
    <s v="Tripay"/>
    <s v="Request"/>
    <s v="VA"/>
    <x v="3"/>
    <x v="4"/>
    <x v="482"/>
    <s v="BRI"/>
    <s v="R01"/>
    <x v="0"/>
    <s v="05/03 Tripay tanyakan trx  4041910117931582 /T23076297614912B9IW    _x000a_05/03 Support cek di mbase apprv dan db prismalink sttld_x000a_05/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5T20:55:00"/>
    <x v="13"/>
  </r>
  <r>
    <s v="INC20260306496"/>
    <d v="2026-03-06T10:14:00"/>
    <s v="WA"/>
    <s v="-"/>
    <s v="Tripay"/>
    <s v="Request"/>
    <s v="VA"/>
    <x v="3"/>
    <x v="4"/>
    <x v="483"/>
    <s v="BRI"/>
    <s v="R01"/>
    <x v="0"/>
    <s v="06/03 dnt  tanyakan trx  4041913210500008      _x000a_06/03 Support cek di mbase apprv namun miss_x000a_06/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5T10:23:00"/>
    <x v="13"/>
  </r>
  <r>
    <s v="INC20260305497"/>
    <d v="2026-03-05T15:03:00"/>
    <s v="Email"/>
    <s v="kkd_ipm2@corp.bri.co.id"/>
    <s v="MOLINA"/>
    <s v="Request"/>
    <s v="VOA"/>
    <x v="4"/>
    <x v="5"/>
    <x v="484"/>
    <s v="BRI VOA"/>
    <s v="R02"/>
    <x v="0"/>
    <s v="05/03 REQ MASUK_x000a_10/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10T00:00:00"/>
    <x v="14"/>
  </r>
  <r>
    <s v="INC20260306498"/>
    <d v="2026-03-06T09:02:00"/>
    <s v="Email"/>
    <s v="zxcvzyh@163.com"/>
    <s v="MOLINA"/>
    <s v="Request"/>
    <s v="VOA"/>
    <x v="4"/>
    <x v="8"/>
    <x v="485"/>
    <s v="BRI VOA"/>
    <s v="R02"/>
    <x v="0"/>
    <s v="06/03 req masuk + support melampirkan payment receipt_x000a_"/>
    <m/>
    <m/>
    <d v="2026-03-06T00:00:00"/>
    <x v="14"/>
  </r>
  <r>
    <s v="INC20260306499"/>
    <d v="2026-03-06T12:13:00"/>
    <s v="Email"/>
    <s v="keluhan_payment@bca.co.id"/>
    <s v="PT ENVOIZ DIGITAL INDONESIA"/>
    <s v="Issue"/>
    <s v="VA"/>
    <x v="2"/>
    <x v="2"/>
    <x v="486"/>
    <s v="BCA"/>
    <s v="R01"/>
    <x v="0"/>
    <s v="06/03 req masuk_x000a_06/03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4"/>
  </r>
  <r>
    <s v="INC20260306500"/>
    <d v="2026-03-06T12:35:00"/>
    <s v="Email"/>
    <s v="7th World Congress on Probation and Parole &lt;mail@wcpp2026.id&gt;"/>
    <s v="WCPP Indonesia 2026"/>
    <s v="Request"/>
    <s v="CC"/>
    <x v="5"/>
    <x v="9"/>
    <x v="487"/>
    <s v="BRI CC"/>
    <s v="R05"/>
    <x v="0"/>
    <s v="06/03 req masuk, support colek PIC AE_x000a_06/03 AE req approval_x000a_06/03 sudah dapat approval dr pak karno_x000a_06/03 support proses"/>
    <m/>
    <m/>
    <d v="2026-03-06T00:00:00"/>
    <x v="14"/>
  </r>
  <r>
    <s v="INC20260306501"/>
    <d v="2026-03-06T15:18:00"/>
    <s v="Email"/>
    <s v="keluhan_payment@bca.co.id"/>
    <s v="PT Daya Net Gemilang"/>
    <s v="Issue"/>
    <s v="VA"/>
    <x v="2"/>
    <x v="2"/>
    <x v="488"/>
    <s v="BCA"/>
    <s v="R01"/>
    <x v="0"/>
    <s v="06/03 req masuk_x000a_06/03 support meminta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4"/>
  </r>
  <r>
    <s v="INC20260306502"/>
    <d v="2026-03-06T17:23:00"/>
    <s v="Email"/>
    <s v="Merchant Resolution &lt;merchant.resolution@nobubank.com&gt;"/>
    <s v="PT Daya Net Gemilang"/>
    <s v="Request"/>
    <s v="QR"/>
    <x v="3"/>
    <x v="7"/>
    <x v="489"/>
    <s v="NOBU"/>
    <s v="R01"/>
    <x v="0"/>
    <s v="06/03 req masuk_x000a_06/02 support melampirkan bukti sukses"/>
    <s v="SOP #02"/>
    <s v="1. Memastikan status transaksi pada Dashboard_x000a_     IF &quot;Transaksi GAGAL&quot;, AND &quot;Dana TDK MASUK&quot; (via rekon) then &quot;Infokan GAGAL&quot;_x000a_     IF &quot;Transaksi SUKSES&quot;, AND &quot;Dana MASUK&quot; (via rekon) then &quot;Infokan SUKSES&quot;"/>
    <d v="2026-03-06T00:00:00"/>
    <x v="14"/>
  </r>
  <r>
    <s v="INC20260306503"/>
    <d v="2026-03-06T10:21:00"/>
    <s v="Email"/>
    <s v="Distribusi Lancar Jaya &lt;distribusilancarjaya@gmail.com&gt;"/>
    <s v="Jatimpark Vending Mechine"/>
    <s v="Request"/>
    <s v="QR"/>
    <x v="0"/>
    <x v="0"/>
    <x v="490"/>
    <s v="NOBU"/>
    <s v="R04"/>
    <x v="0"/>
    <s v="06/03 req masuk + support teruskan ke nobu_x000a_06/03 DONE"/>
    <m/>
    <s v="Buka SOP 'REFUND QR NOBU'"/>
    <d v="2026-03-06T00:00:00"/>
    <x v="14"/>
  </r>
  <r>
    <s v="INC20260307504"/>
    <d v="2026-03-07T10:29:00"/>
    <s v="Email"/>
    <s v="Ditya TW &lt;dityatw07@gmail.com&gt;"/>
    <s v="Tripay"/>
    <s v="Request"/>
    <s v="QR"/>
    <x v="0"/>
    <x v="0"/>
    <x v="491"/>
    <s v="NOBU"/>
    <s v="R04"/>
    <x v="0"/>
    <s v="07/03 req masuk_x000a_07/03 support menanyakan perihal nomor rekening tujuan_x000a_07/03 support teruskan ke merchant 'Pengecekan transaksi VA 4041910117900684 Dan 4041910117955640 '_x000a_08/03 cust menginfokan no rekening tujuan 665301008113533_x000a_08/03 tripay infokan jika dana sudah di refund dengan memotong biaya admin_x000a_08/03 support teruskan ke merchant"/>
    <m/>
    <m/>
    <d v="2026-03-08T00:00:00"/>
    <x v="14"/>
  </r>
  <r>
    <s v="INC20260309505"/>
    <d v="2026-03-09T07:59:00"/>
    <s v="Email"/>
    <s v="Distribusi Lancar Jaya &lt;distribusilancarjaya@gmail.com&gt;"/>
    <s v="Jatimpark Vending Mechine"/>
    <s v="Request"/>
    <s v="QR"/>
    <x v="0"/>
    <x v="0"/>
    <x v="492"/>
    <s v="NOBU"/>
    <s v="R04"/>
    <x v="0"/>
    <s v="09/03 req masuk + support teruskan ke nobu_x000a_09/03 DONE"/>
    <m/>
    <s v="Buka SOP 'REFUND QR NOBU'"/>
    <d v="2026-03-09T00:00:00"/>
    <x v="14"/>
  </r>
  <r>
    <s v="INC20260309506"/>
    <d v="2026-03-09T16:52:00"/>
    <s v="Email"/>
    <s v="Merchant Resolution &lt;merchant.resolution@nobubank.com&gt;"/>
    <s v="PT Daya Net Gemilang_x000a_PT Hotel Murah Travelindo"/>
    <s v="Request"/>
    <s v="QR"/>
    <x v="3"/>
    <x v="7"/>
    <x v="493"/>
    <s v="NOBU"/>
    <s v="R01"/>
    <x v="0"/>
    <s v="06/03 req masuk_x000a_06/02 support melampirkan bukti sukses"/>
    <s v="SOP #02"/>
    <s v="1. Memastikan status transaksi pada Dashboard_x000a_     IF &quot;Transaksi GAGAL&quot;, AND &quot;Dana TDK MASUK&quot; (via rekon) then &quot;Infokan GAGAL&quot;_x000a_     IF &quot;Transaksi SUKSES&quot;, AND &quot;Dana MASUK&quot; (via rekon) then &quot;Infokan SUKSES&quot;"/>
    <m/>
    <x v="14"/>
  </r>
  <r>
    <s v="INC20260309507"/>
    <d v="2026-03-09T17:55:00"/>
    <s v="Email"/>
    <s v="Ghose, Saswati &lt;Saswati.Ghose@genpact.com&gt;"/>
    <s v="MOLINA"/>
    <s v="Request"/>
    <s v="VOA"/>
    <x v="4"/>
    <x v="8"/>
    <x v="494"/>
    <s v="BRI VOA"/>
    <s v="R02"/>
    <x v="0"/>
    <s v="09/03 req masuk + support meminta info no cc yang digunakan_x000a_09/03 cust infokan cc nya_x000a_09/03 support melampirkan payment receipt"/>
    <m/>
    <m/>
    <d v="2026-03-09T00:00:00"/>
    <x v="15"/>
  </r>
  <r>
    <s v="INC20260309508"/>
    <d v="2026-03-09T19:55:00"/>
    <s v="Email"/>
    <s v="Ali, Farhat &lt;farhat.ali@genpact.com&gt;"/>
    <s v="MOLINA"/>
    <s v="Request"/>
    <s v="VOA"/>
    <x v="4"/>
    <x v="8"/>
    <x v="495"/>
    <s v="BRI VOA"/>
    <s v="R02"/>
    <x v="0"/>
    <s v="09/03 req masuk + support lampirkan payment receipt_x000a_09/03 DONE"/>
    <m/>
    <m/>
    <d v="2026-03-09T00:00:00"/>
    <x v="15"/>
  </r>
  <r>
    <s v="INC20260310509"/>
    <d v="2026-03-10T07:46:00"/>
    <s v="Email"/>
    <s v="Distribusi Lancar Jaya &lt;distribusilancarjaya@gmail.com&gt;"/>
    <s v="Jatimpark Vending Mechine"/>
    <s v="Request"/>
    <s v="QR"/>
    <x v="0"/>
    <x v="0"/>
    <x v="496"/>
    <s v="NOBU"/>
    <s v="R04"/>
    <x v="0"/>
    <s v="10/03 req masuk + support teruskan ke NOBU_x000a_11/03 DONE"/>
    <m/>
    <s v="Buka SOP 'REFUND QR NOBU'"/>
    <d v="2026-03-11T00:00:00"/>
    <x v="15"/>
  </r>
  <r>
    <s v="INC20260310510"/>
    <d v="2026-03-10T09:28:00"/>
    <s v="Email"/>
    <s v="Bella Sukma &lt;bellasukma577@gmail.com&gt;"/>
    <s v="PT Wahana Pembayaran Digital"/>
    <s v="Issue"/>
    <s v="VA"/>
    <x v="2"/>
    <x v="2"/>
    <x v="497"/>
    <s v="BCA"/>
    <s v="R01"/>
    <x v="0"/>
    <s v="10/03 req masuk_x000a_10/03 support meminta cust untuk melengkapi data2 'RE: Pengecekan Transaksi VA 2189132130900079'_x000a_1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5"/>
  </r>
  <r>
    <s v="INC20260310511"/>
    <d v="2026-03-10T12:50:00"/>
    <s v="Email"/>
    <s v="He Gloria, PA-S-AP-1 &lt;Gloria.He@bmw.com&gt;"/>
    <s v="MOLINA"/>
    <s v="Request"/>
    <s v="VOA"/>
    <x v="4"/>
    <x v="8"/>
    <x v="498"/>
    <s v="BRI VOA"/>
    <s v="R02"/>
    <x v="0"/>
    <s v="10/03 req masuk_x000a_11/03 cust FU_x000a_12/03 support lampirkan payment receipt"/>
    <m/>
    <m/>
    <d v="2026-03-12T00:00:00"/>
    <x v="15"/>
  </r>
  <r>
    <s v="INC20260310512"/>
    <d v="2026-03-10T17:02:00"/>
    <s v="Email"/>
    <s v="keluhan_payment@bca.co.id"/>
    <s v="PT Kreasi Kode Kreatif"/>
    <s v="Issue"/>
    <s v="VA"/>
    <x v="2"/>
    <x v="2"/>
    <x v="499"/>
    <s v="BCA"/>
    <s v="R01"/>
    <x v="0"/>
    <s v="10/03 req masuk + support req kronologis_x000a_1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5"/>
  </r>
  <r>
    <s v="INC20260310513"/>
    <d v="2026-03-10T17:32:00"/>
    <s v="Email"/>
    <s v="keluhan_payment@bca.co.id"/>
    <s v="PT Kreasi Kode Kreatif_x000a_Tripay"/>
    <s v="Request"/>
    <s v="VA"/>
    <x v="3"/>
    <x v="4"/>
    <x v="500"/>
    <s v="BCA"/>
    <s v="R01"/>
    <x v="0"/>
    <s v="10/03 req masuk_x000a_10/03 support konfirm ke rekon perihal dana apakah sudah dilimpahkan_x000a_11/03 BCA FU_x000a_11/03 rekon infokan jika dana belum di setteld_x000a_11/03 support req finance untuk tf ke BCA_x000a_12/03 BCA FU_x000a_12/03 finance tf &amp; support teruskan ke BCA"/>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2T00:00:00"/>
    <x v="15"/>
  </r>
  <r>
    <s v="INC20260310514"/>
    <d v="2026-03-10T17:32:00"/>
    <s v="Email"/>
    <s v="keluhan_payment@bca.co.id"/>
    <s v="PT Kreasi Kode Kreatif_x000a_Tripay"/>
    <s v="Issue"/>
    <s v="VA"/>
    <x v="2"/>
    <x v="2"/>
    <x v="501"/>
    <s v="BCA"/>
    <s v="R01"/>
    <x v="0"/>
    <s v="10/03 req masuk + support req kronologis_x000a_1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5"/>
  </r>
  <r>
    <s v="INC20260310515"/>
    <d v="2026-03-10T14:48:00"/>
    <s v="Email"/>
    <s v="kkd_ipm2@corp.bri.co.id"/>
    <s v="MOLINA"/>
    <s v="Request"/>
    <s v="VOA"/>
    <x v="4"/>
    <x v="5"/>
    <x v="502"/>
    <s v="BRI VOA"/>
    <s v="R02"/>
    <x v="0"/>
    <s v="10/03 req masuk_x000a_17/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17T00:00:00"/>
    <x v="15"/>
  </r>
  <r>
    <s v="INC20260306516"/>
    <d v="2026-03-06T15:33:00"/>
    <s v="WA"/>
    <s v="-"/>
    <s v="PT Teknologi Awan Cerah"/>
    <s v="Request"/>
    <s v="VA"/>
    <x v="3"/>
    <x v="4"/>
    <x v="503"/>
    <s v="BCA"/>
    <s v="R01"/>
    <x v="0"/>
    <s v="06/03 Dnt tanyakan trx  7900125000054178 / NACL1397534369_x000a_06/03 Support cek di operator reject _x000a_06/03  Support infokan gagal/tidak berhasil karena berbeda amount"/>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6T15:44:00"/>
    <x v="15"/>
  </r>
  <r>
    <s v="INC20260308517"/>
    <d v="2026-03-08T14:09:00"/>
    <s v="WA"/>
    <s v="-"/>
    <s v="PT Wahana Pembayaran Digital"/>
    <s v="Request"/>
    <s v="VA"/>
    <x v="3"/>
    <x v="4"/>
    <x v="504"/>
    <s v="BCA"/>
    <s v="R01"/>
    <x v="0"/>
    <s v="08/03 nobecul  tanyakan trx  7900121700023089       _x000a_08/03 Support cek di mbase apprv _x000a_08/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5T14:48:00"/>
    <x v="15"/>
  </r>
  <r>
    <s v="INC20260308518"/>
    <d v="2026-03-08T18:19:00"/>
    <s v="WA"/>
    <s v="-"/>
    <s v="PT Trans Berjaya Khatulistiwa"/>
    <s v="Request"/>
    <s v="VA"/>
    <x v="3"/>
    <x v="4"/>
    <x v="505"/>
    <s v="Danamon"/>
    <s v="R01"/>
    <x v="0"/>
    <s v="08/03 Tiketux tanyakan trx 9887101218041549_x000a_08/03 Support cek di mbase aprvd dan dashboard setld_x000a_08/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8T18:38:00"/>
    <x v="15"/>
  </r>
  <r>
    <s v="INC20260308519"/>
    <d v="2026-03-08T17:29:00"/>
    <s v="WA"/>
    <s v="-"/>
    <s v="Bank Raya"/>
    <s v="Request"/>
    <s v="QR"/>
    <x v="3"/>
    <x v="4"/>
    <x v="506"/>
    <s v="Raya"/>
    <s v="R01"/>
    <x v="0"/>
    <s v="08/03 Raya tanyakan pengecekan transaksi qris nominal : 158.000 _x000a_nominal : 258.000_x000a_08/03 Support infokan ke team terkait_x000a_08/03 Support infokan trx failed/gagal"/>
    <m/>
    <m/>
    <d v="2026-03-08T18:53:00"/>
    <x v="15"/>
  </r>
  <r>
    <s v="INC20260308520"/>
    <d v="2026-03-08T21:48:00"/>
    <s v="WA"/>
    <s v="-"/>
    <s v="Bank Raya"/>
    <s v="Request"/>
    <s v="QR"/>
    <x v="3"/>
    <x v="4"/>
    <x v="507"/>
    <s v="Raya"/>
    <s v="R01"/>
    <x v="0"/>
    <s v="08/03 Raya tanyakan pengecekan transaksi qris nominal : 100.000  08/03 Support infokan ke team terkait_x000a_08/03 Support infokan trx failed/gagal"/>
    <m/>
    <m/>
    <d v="2026-03-08T22:12:00"/>
    <x v="15"/>
  </r>
  <r>
    <s v="INC20260309521"/>
    <d v="2026-03-09T00:50:00"/>
    <s v="WA"/>
    <s v="-"/>
    <s v="PT Kreasi Kode Kreatif"/>
    <s v="Request"/>
    <s v="VA"/>
    <x v="3"/>
    <x v="4"/>
    <x v="508"/>
    <s v="BCA"/>
    <s v="R01"/>
    <x v="0"/>
    <s v="09/03 Kvocuher tanyakan trx 7900119200605379        _x000a_09/03 Support cek di mbase no result _x000a_09/03  Support infokan menunggu rekon  09/03 di mbase tidak ada, di pg admin tidak ada,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10:03:00"/>
    <x v="15"/>
  </r>
  <r>
    <s v="INC20260309522"/>
    <d v="2026-03-09T07:01:00"/>
    <s v="WA"/>
    <s v="-"/>
    <s v="Tripay"/>
    <s v="Request"/>
    <s v="VA"/>
    <x v="3"/>
    <x v="4"/>
    <x v="509"/>
    <s v="BCA"/>
    <s v="R01"/>
    <x v="0"/>
    <s v="09/03 Tripay tanyakan trx T4839531467706CXBYZ_x000a_7900117900012460        _x000a_09/03 Support cek di mbase pending namun total tagihan dan pembayaran tidak sesuai_x000a_09/03  Support infokan Gagal karena total tagihan dan yang di bayarkan tidak sesuai"/>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9:50:00"/>
    <x v="15"/>
  </r>
  <r>
    <s v="INC20260309523"/>
    <d v="2026-03-09T09:31:00"/>
    <s v="WA"/>
    <s v="-"/>
    <s v="Tripay"/>
    <s v="Request"/>
    <s v="VA"/>
    <x v="3"/>
    <x v="4"/>
    <x v="510"/>
    <s v="BCA"/>
    <s v="R01"/>
    <x v="0"/>
    <s v="09/03 Tripay tanyakan trx 7900117900037198 // T2858831468439GA5K_x000a_7900117900012460        _x000a_09/03 Support cek di mbase pending namun total tagihan dan pembayaran tidak sesuai_x000a_09/03  Support infokan Gagal karena total tagihan dan yang di bayarkan tidak sesuai"/>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09524"/>
    <d v="2026-03-09T09:38:00"/>
    <s v="WA"/>
    <s v="-"/>
    <s v="Tripay"/>
    <s v="Request"/>
    <s v="VA"/>
    <x v="3"/>
    <x v="4"/>
    <x v="511"/>
    <s v="BCA"/>
    <s v="R01"/>
    <x v="0"/>
    <s v="09/03 Tripay tanyakan trx T4566631425772TJJY3 dengan nomor VA 4041910117951353_x000a_ 09/03 Support cek di mbase pending namun total tagihan dan pembayaran tidak sesuai_x000a_09/03  Support infokan Gagal karena total tagihan dan yang di bayarkan tidak sesuai"/>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09525"/>
    <d v="2026-03-09T16:12:00"/>
    <s v="WA"/>
    <s v="-"/>
    <s v="Periplus"/>
    <s v="Request"/>
    <s v="VA"/>
    <x v="3"/>
    <x v="4"/>
    <x v="512"/>
    <s v="BCA"/>
    <s v="R01"/>
    <x v="0"/>
    <s v="09/03 periplus tanyakan trx  7900121700023089       _x000a_09/03 Support cek di mbase apprv _x000a_09/03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09526"/>
    <d v="2026-03-09T20:51:00"/>
    <s v="WA"/>
    <s v="-"/>
    <s v="PT Daya Net Gemilang"/>
    <s v="Request"/>
    <s v="VA"/>
    <x v="3"/>
    <x v="4"/>
    <x v="513"/>
    <s v="BCA"/>
    <s v="R01"/>
    <x v="0"/>
    <s v="09/03 dnt  tanyakan 7900125000043195_x000a_09/03 Support cek di mbase tidak bisa karna down _x000a_10/03 Support cek operator va _x000a_7900125000043195 / NACL1404532535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09527"/>
    <d v="2026-03-09T20:57:00"/>
    <s v="WA"/>
    <s v="-"/>
    <s v="PT Teknologi Awan Cerah"/>
    <s v="Request"/>
    <s v="VA"/>
    <x v="3"/>
    <x v="4"/>
    <x v="514"/>
    <s v="BCA"/>
    <s v="R01"/>
    <x v="0"/>
    <s v="09/03 nobecul tanyakan 7900121700068188 2026030939100830826_x000a_09/03 Support cek di mbase tidak bisa karna down _x000a_10/03 Support cek operator va _x000a_7900121700068188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09528"/>
    <d v="2026-03-09T21:59:00"/>
    <s v="WA"/>
    <s v="-"/>
    <s v="PT Daya Net Gemilang"/>
    <s v="Request"/>
    <s v="VA"/>
    <x v="3"/>
    <x v="4"/>
    <x v="515"/>
    <s v="BCA"/>
    <s v="R01"/>
    <x v="0"/>
    <s v="09/03 dnt tanyakan 7900125000061942_x000a_NACL1404704766_x000a__x000a_7900125000077112_x000a_NACL1404764501_x000a_09/03 Support cek di mbase tidak bisa karna down _x000a_10/03 Support cek operator va _x000a_7900125000061942 / NACL1404704766 setld dan dashbaord setld infokan sukses _x000a_10/03 Support cek operator va _x000a_7900125000077112 / NACL1404764501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09529"/>
    <d v="2026-03-09T22:49:00"/>
    <s v="WA"/>
    <s v="-"/>
    <s v="PT Daya Net Gemilang"/>
    <s v="Request"/>
    <s v="VA"/>
    <x v="3"/>
    <x v="4"/>
    <x v="516"/>
    <s v="BCA"/>
    <s v="R01"/>
    <x v="0"/>
    <s v="09/03 dnt tanyakan NACL1404880452_x000a_7900125000042728_x000a_09/03 Support cek di mbase tidak bisa karna down _x000a_10/03 Support cek operator va _x000a_7900125000042728 / NACL1404880452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09T00:00:00"/>
    <x v="15"/>
  </r>
  <r>
    <s v="INC20260310530"/>
    <d v="2026-03-10T03:40:00"/>
    <s v="WA"/>
    <s v="-"/>
    <s v="PT ENVOIZ DIGITAL INDONESIA"/>
    <s v="Request"/>
    <s v="VA"/>
    <x v="3"/>
    <x v="3"/>
    <x v="8"/>
    <s v="BCA"/>
    <s v="R01"/>
    <x v="0"/>
    <s v="10/03 Envoiz tanyakan trx va 8919101249154625_x000a_10/03 Support cek di mbase tidak ada dan dashboard cancel_x000a_10/03 Support infokan ke team terkait_x000a_10/03 Support infokan untuk menunggu hasil rekon _x000a_10/03 Info dari tim terkait trx tersebut sukses"/>
    <s v="SOP #05"/>
    <s v="1. Pastikan merchant &amp; transaksi tersebut valid_x000a_2. Cek VA di apps.plink, bandingkan amount:_x000a__x0009_Amount sama → Update transaksi._x000a__x0009_Amount berbeda → Tidak bisa diupdate, informasikan ke merchant."/>
    <d v="2026-03-10T00:00:00"/>
    <x v="15"/>
  </r>
  <r>
    <s v="INC20260310531"/>
    <d v="2026-03-10T07:11:00"/>
    <s v="WA"/>
    <s v="-"/>
    <s v="Tripay"/>
    <s v="Request"/>
    <s v="VA"/>
    <x v="3"/>
    <x v="4"/>
    <x v="517"/>
    <s v="BCA"/>
    <s v="R01"/>
    <x v="0"/>
    <s v="10/03 Tripay tanyakan trx va _x000a_T4850531413322SRNLL_x000a_7900117900095085_x000a_10/03 Support cek di mbase cancel scheduler / db cance_x000a_10/03 Support cek bukti bayar dan di mbase trx nya beda nominal_x000a_10/03 Support infokan trx gagal karena beda nomin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10532"/>
    <d v="2026-03-10T11:16:00"/>
    <s v="WA"/>
    <s v="-"/>
    <s v="PT Daya Net Gemilang"/>
    <s v="Request"/>
    <s v="VA"/>
    <x v="3"/>
    <x v="4"/>
    <x v="518"/>
    <s v="BCA"/>
    <s v="R01"/>
    <x v="0"/>
    <s v="10/03 DNT tanyakan trx va 7900125000099804 / NACL1404060657 _x000a_10/03 cek di agree ada datanya, sesuai dengan arahan, jika di agree ada datanya maka bisa di info sukses_x000a_10/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10533"/>
    <d v="2026-03-10T13:34:00"/>
    <s v="WA"/>
    <s v="-"/>
    <s v="PT Daya Net Gemilang"/>
    <s v="Request"/>
    <s v="VA"/>
    <x v="3"/>
    <x v="4"/>
    <x v="519"/>
    <s v="BCA"/>
    <s v="R01"/>
    <x v="0"/>
    <s v="10/03 DNT tanyakan trx va 7900125000064965 _x000a_10/03 cek di agree ada datanya, sesuai dengan arahan, jika di agree ada datanya maka bisa di info sukses_x000a_10/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10534"/>
    <d v="2026-03-10T18:11:00"/>
    <s v="WA"/>
    <s v="-"/>
    <s v="PT Teknologi Awan Cerah"/>
    <s v="Request"/>
    <s v="VA"/>
    <x v="3"/>
    <x v="4"/>
    <x v="520"/>
    <s v="BCA"/>
    <s v="R01"/>
    <x v="0"/>
    <s v="10/03 nobecul tanyakan 2026030840100980322_x000a_7900121700007835_x000a__x000a_2026031040100097614_x000a_8919101217225273_x000a_10/03 Support cek di mbase tidak bisa karna down _x000a_10/03 Support cek operator va _x000a_2026030840100980322_x000a_7900121700007835_x000a__x000a_2026031040100097614_x000a_8919101217225273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10535"/>
    <d v="2026-03-10T16:22:00"/>
    <s v="WA"/>
    <s v="-"/>
    <s v="PT Teknologi Awan Cerah"/>
    <s v="Request"/>
    <s v="VA"/>
    <x v="3"/>
    <x v="4"/>
    <x v="521"/>
    <s v="MANDIRI_x000a_BCA_x000a_BRI"/>
    <s v="R01"/>
    <x v="0"/>
    <s v="10/03 dnt tanyakan 2026030840100980322_x000a_7900121700007835_x000a__x000a_2026031040100097614_x000a_8919101217225273_x000a_10/03 Support cek di mbase tidak bisa karna down _x000a_10/03 Support cek operator va _x000a_2026030840100980322_x000a_7900121700007835_x000a__x000a_2026031040100097614_x000a_8919101217225273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10536"/>
    <d v="2026-03-10T17:25:00"/>
    <s v="WA"/>
    <s v="-"/>
    <s v="Tripay"/>
    <s v="Request"/>
    <s v="VA"/>
    <x v="3"/>
    <x v="4"/>
    <x v="522"/>
    <s v="MANDIRI_x000a_BCA_x000a_BRI"/>
    <s v="R01"/>
    <x v="0"/>
    <s v="10/03 tripay tanyakan 8903910117956828_x000a_T2518531487669HAGVD_x000a_10/03 Support cek di mbase tidak bisa karna down _x000a_10/03 Support cek operator va _x000a_8903910117956828_x000a_T2518531487669HAGVD setld dan dashboa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11537"/>
    <d v="2026-03-11T08:58:00"/>
    <s v="WA"/>
    <s v="-"/>
    <s v="Tripay"/>
    <s v="Request"/>
    <s v="VA"/>
    <x v="3"/>
    <x v="3"/>
    <x v="523"/>
    <s v="BCA"/>
    <s v="R01"/>
    <x v="0"/>
    <s v="11/03 Tripay tanyakan trx va 7900117900081645 / 7900117900084591_x000a_11/03 Support cek di mbase tidak ada, cek aggree ada datanya, db prismalink cancel_x000a_11/03 Support infokan sukses dan upda ke team terkait untuk update"/>
    <s v="SOP #05"/>
    <s v="1. Pastikan merchant &amp; transaksi tersebut valid_x000a_2. Cek VA di apps.plink, bandingkan amount:_x000a__x0009_Amount sama → Update transaksi._x000a__x0009_Amount berbeda → Tidak bisa diupdate, informasikan ke merchant."/>
    <d v="2026-03-11T00:00:00"/>
    <x v="15"/>
  </r>
  <r>
    <s v="INC20260311538"/>
    <d v="2026-03-11T09:35:00"/>
    <s v="Email"/>
    <s v="Distribusi Lancar Jaya &lt;distribusilancarjaya@gmail.com&gt;"/>
    <s v="Jatimpark Vending Mechine"/>
    <s v="Request"/>
    <s v="QR"/>
    <x v="0"/>
    <x v="0"/>
    <x v="524"/>
    <s v="NOBU"/>
    <s v="R04"/>
    <x v="0"/>
    <s v="11/03 req masuk + support teruskan ke NOBU_x000a_11/03 DONE"/>
    <m/>
    <s v="Buka SOP 'REFUND QR NOBU'"/>
    <d v="2026-03-11T00:00:00"/>
    <x v="15"/>
  </r>
  <r>
    <s v="INC20260311539"/>
    <d v="2026-03-11T15:19:00"/>
    <s v="Email"/>
    <s v="keluhan_payment@bca.co.id"/>
    <s v="PT Kreasi Kode Kreatif_x000a_Tripay"/>
    <s v="Issue"/>
    <s v="VA"/>
    <x v="2"/>
    <x v="2"/>
    <x v="525"/>
    <s v="BCA"/>
    <s v="R01"/>
    <x v="0"/>
    <s v="10/03 req masuk + support req kronologis_x000a_12/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5"/>
  </r>
  <r>
    <s v="INC20260312540"/>
    <d v="2026-03-12T07:37:00"/>
    <s v="Email"/>
    <s v="Distribusi Lancar Jaya &lt;distribusilancarjaya@gmail.com&gt;"/>
    <s v="Jatimpark Vending Mechine"/>
    <s v="Request"/>
    <s v="QR"/>
    <x v="0"/>
    <x v="0"/>
    <x v="526"/>
    <s v="NOBU"/>
    <s v="R04"/>
    <x v="0"/>
    <s v="12/03 req masuk + support teruskan ke NOBU_x000a_13/03 DONE"/>
    <m/>
    <s v="Buka SOP 'REFUND QR NOBU'"/>
    <d v="2026-03-13T00:00:00"/>
    <x v="15"/>
  </r>
  <r>
    <s v="INC20260312541"/>
    <d v="2026-03-12T07:56:00"/>
    <s v="Email"/>
    <s v="Ahmad Syafeeq &lt;Ahmad.Syafeeq@rockwellautomation.com&gt;"/>
    <s v="MOLINA"/>
    <s v="Request"/>
    <s v="VOA"/>
    <x v="4"/>
    <x v="8"/>
    <x v="527"/>
    <s v="BRI VOA"/>
    <s v="R02"/>
    <x v="0"/>
    <s v="12/03 req masuk_x000a_12/03 support melampirkan payment receipt"/>
    <m/>
    <m/>
    <d v="2026-03-12T00:00:00"/>
    <x v="15"/>
  </r>
  <r>
    <s v="INC20260312542"/>
    <d v="2026-03-12T08:46:00"/>
    <s v="Email"/>
    <s v="keluhan_payment@bca.co.id"/>
    <s v="PT Daya Net Gemilang"/>
    <s v="Issue"/>
    <s v="VA"/>
    <x v="2"/>
    <x v="2"/>
    <x v="528"/>
    <s v="BCA"/>
    <s v="R01"/>
    <x v="0"/>
    <s v="12/03 req masu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5"/>
  </r>
  <r>
    <s v="INC20260312543"/>
    <d v="2026-03-12T11:01:00"/>
    <s v="Email"/>
    <s v="chargebackops.acq@corp.bri.co.id"/>
    <s v="MOLINA"/>
    <s v="Request"/>
    <s v="VOA"/>
    <x v="4"/>
    <x v="5"/>
    <x v="529"/>
    <s v="BRI VOA"/>
    <s v="R02"/>
    <x v="0"/>
    <s v="12/03 req masuk_x000a_13/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13T00:00:00"/>
    <x v="15"/>
  </r>
  <r>
    <s v="INC20260308544"/>
    <d v="2026-03-08T22:15:00"/>
    <s v="WA"/>
    <s v="-"/>
    <s v="PT Kreasi Kode Kreatif"/>
    <s v="Request"/>
    <s v="VA"/>
    <x v="3"/>
    <x v="3"/>
    <x v="530"/>
    <s v="BCA"/>
    <s v="R01"/>
    <x v="0"/>
    <s v="08/03 Kvoucher tanyakan trx 7900119200605389_x000a_08/03 Support cek di mbase no result dan dashbaord pending_x000a_08/03 Support infokan menunggu rekon_x000a_11/03 Support infokan sudah update"/>
    <s v="SOP #05"/>
    <s v="1. Pastikan merchant &amp; transaksi tersebut valid_x000a_2. Cek VA di apps.plink, bandingkan amount:_x000a__x0009_Amount sama → Update transaksi._x000a__x0009_Amount berbeda → Tidak bisa diupdate, informasikan ke merchant."/>
    <d v="2026-03-11T00:00:00"/>
    <x v="15"/>
  </r>
  <r>
    <s v="INC20260309545"/>
    <d v="2026-03-09T02:26:00"/>
    <s v="WA"/>
    <s v="-"/>
    <s v="PT Teknologi Awan Cerah"/>
    <s v="Request"/>
    <s v="VA"/>
    <x v="3"/>
    <x v="3"/>
    <x v="531"/>
    <s v="BCA"/>
    <s v="R01"/>
    <x v="0"/>
    <s v="09/03 Nobecul tanyakan trx 7900121700077365_x000a_7900121700007835        _x000a_09/03 Support cek di mbase no result / mbase belum ada_x000a_09/03  Support infokan menunggu rekon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5"/>
  </r>
  <r>
    <s v="INC20260309546"/>
    <d v="2026-03-09T04:25:00"/>
    <s v="WA"/>
    <s v="-"/>
    <s v="PT Teknologi Awan Cerah"/>
    <s v="Request"/>
    <s v="VA"/>
    <x v="3"/>
    <x v="3"/>
    <x v="532"/>
    <s v="BCA"/>
    <s v="R01"/>
    <x v="0"/>
    <s v="09/03 Nobecul tanyakan trx 7900121700057792_x000a_09/03 Support cek di mbase no result / mbase belum ada_x000a_09/03  Support infokan menunggu rekon_x000a_11/03 Support infokan sudah update"/>
    <s v="SOP #05"/>
    <s v="1. Pastikan merchant &amp; transaksi tersebut valid_x000a_2. Cek VA di apps.plink, bandingkan amount:_x000a__x0009_Amount sama → Update transaksi._x000a__x0009_Amount berbeda → Tidak bisa diupdate, informasikan ke merchant."/>
    <d v="2026-03-11T00:00:00"/>
    <x v="15"/>
  </r>
  <r>
    <s v="INC20260309547"/>
    <d v="2026-03-09T12:00:00"/>
    <s v="WA"/>
    <s v="-"/>
    <s v="Tripay"/>
    <s v="Request"/>
    <s v="VA"/>
    <x v="3"/>
    <x v="4"/>
    <x v="533"/>
    <s v="MANDIRI_x000a_BCA_x000a_BRI"/>
    <s v="R01"/>
    <x v="0"/>
    <s v="09/03 Tripay tanyakan trx 7900117900073206        _x000a_09/03 Support cek di mbase pending , cek di agregator tidak ada_x000a_09/03  Support infokan tunggu rekon karena kena cut off dari bank 10/03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09548"/>
    <d v="2026-03-09T13:30:00"/>
    <s v="WA"/>
    <s v="-"/>
    <s v="Tripay"/>
    <s v="Request"/>
    <s v="VA"/>
    <x v="3"/>
    <x v="4"/>
    <x v="534"/>
    <s v="MANDIRI_x000a_BCA_x000a_BRI"/>
    <s v="R01"/>
    <x v="0"/>
    <s v="09/03 Tripay tanyakan trx T370313148439105K7E_x000a_7900117900080086        _x000a_09/03 Support cek di mbase pending , cek di agregator tidak ada_x000a_09/03  Support infokan tunggu rekon esok hari 11/03 infokan gagal karena di agre tidak masuk"/>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5"/>
  </r>
  <r>
    <s v="INC20260311549"/>
    <d v="2026-03-11T08:58:00"/>
    <s v="WA"/>
    <s v="-"/>
    <s v="Tripay"/>
    <s v="Request"/>
    <s v="VA"/>
    <x v="3"/>
    <x v="3"/>
    <x v="523"/>
    <s v="BCA"/>
    <s v="R01"/>
    <x v="0"/>
    <s v="11/03 Tripay tanyakan trx va 7900117900081645 / 7900117900084591_x000a_11/03 Support cek di mbase tidak ada, cek aggree ada datanya, db prismalink cancel_x000a_11/03 Support infokan sukses dan upda ke team terkait untuk update"/>
    <s v="SOP #05"/>
    <s v="1. Pastikan merchant &amp; transaksi tersebut valid_x000a_2. Cek VA di apps.plink, bandingkan amount:_x000a__x0009_Amount sama → Update transaksi._x000a__x0009_Amount berbeda → Tidak bisa diupdate, informasikan ke merchant."/>
    <d v="2026-03-11T00:00:00"/>
    <x v="15"/>
  </r>
  <r>
    <s v="INC20260311550"/>
    <d v="2026-03-11T09:17:00"/>
    <s v="WA"/>
    <s v="-"/>
    <s v="PT Kreasi Kode Kreatif"/>
    <s v="Request"/>
    <s v="VA"/>
    <x v="3"/>
    <x v="3"/>
    <x v="535"/>
    <s v="BCA"/>
    <s v="R01"/>
    <x v="0"/>
    <s v="11/03 Kvoucher tanyakan trx va _x000a_7900119200608707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5"/>
  </r>
  <r>
    <s v="INC20260311551"/>
    <d v="2026-03-11T11:44:00"/>
    <s v="WA"/>
    <s v="-"/>
    <s v="PT Teknologi Awan Cerah"/>
    <s v="Request"/>
    <s v="VA"/>
    <x v="3"/>
    <x v="3"/>
    <x v="536"/>
    <s v="BCA"/>
    <s v="R01"/>
    <x v="0"/>
    <s v="11/03 Nobecul tanyakan trx va _x000a_7900121700084417 2026031040100494039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5"/>
  </r>
  <r>
    <s v="INC20260311552"/>
    <d v="2026-03-11T11:28:00"/>
    <s v="WA"/>
    <s v="-"/>
    <s v="Tripay"/>
    <s v="Request"/>
    <s v="VA"/>
    <x v="3"/>
    <x v="3"/>
    <x v="537"/>
    <s v="MANDIRI"/>
    <s v="R01"/>
    <x v="0"/>
    <s v="11/03 Tripay tanyakan trx va _x000a_T4449031487496GLYBN_x000a_8903910117923022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5"/>
  </r>
  <r>
    <s v="INC20260312553"/>
    <d v="2026-03-12T00:48:00"/>
    <s v="WA"/>
    <s v="-"/>
    <s v="PT Teknologi Awan Cerah"/>
    <s v="Request"/>
    <s v="VA"/>
    <x v="3"/>
    <x v="4"/>
    <x v="538"/>
    <s v="BCA"/>
    <s v="R01"/>
    <x v="0"/>
    <s v="12/03 nobecul tanyakan7900121700020502 _x000a_12/03 Support cek di operator settld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2T00:00:00"/>
    <x v="15"/>
  </r>
  <r>
    <s v="INC20260312554"/>
    <d v="2026-03-12T10:32:00"/>
    <s v="WA"/>
    <s v="-"/>
    <s v="PT Naturindo"/>
    <s v="Request"/>
    <s v="VA"/>
    <x v="3"/>
    <x v="4"/>
    <x v="539"/>
    <s v="BRI"/>
    <s v="R01"/>
    <x v="0"/>
    <s v="12/03 Naturindo tanyakan 4041910120332515_x000a_12/03 Support cek di mbase tidak bisa karna down dan dashbaord setld_x000a_12/03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5-03-12T00:00:00"/>
    <x v="15"/>
  </r>
  <r>
    <s v="INC20260312555"/>
    <d v="2026-03-12T10:38:00"/>
    <s v="WA"/>
    <s v="-"/>
    <s v="Periplus"/>
    <s v="Request"/>
    <s v="VA"/>
    <x v="3"/>
    <x v="4"/>
    <x v="540"/>
    <s v="BNI"/>
    <s v="R01"/>
    <x v="0"/>
    <s v="12/03 Periplus tanyakan 4041910120332515_x000a_12/03 Support cek di mbase  ada dan dashbaord setld_x000a_12/03 Support tanyakan ke team terkait 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2T00:00:00"/>
    <x v="15"/>
  </r>
  <r>
    <s v="INC20260312556"/>
    <d v="2026-03-12T11:17:00"/>
    <s v="WA"/>
    <s v="-"/>
    <s v="PT Daya Net Gemilang"/>
    <s v="Request"/>
    <s v="VA"/>
    <x v="3"/>
    <x v="4"/>
    <x v="541"/>
    <s v="MANDIRI"/>
    <s v="R01"/>
    <x v="0"/>
    <s v="12/03 DNT tanyakan trx  8903910125001849 / NACL1408789726_x000a_12/03 Support cek mbase aprvd dan dashboard setld_x000a_12/03 Support tanyakan ke team terkait 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2T00:00:00"/>
    <x v="15"/>
  </r>
  <r>
    <s v="INC20260312557"/>
    <d v="2026-03-12T11:23:00"/>
    <s v="WA"/>
    <s v="-"/>
    <s v="PT Teknologi Awan Cerah"/>
    <s v="Request"/>
    <s v="VA"/>
    <x v="3"/>
    <x v="4"/>
    <x v="542"/>
    <s v="BCA"/>
    <s v="R01"/>
    <x v="0"/>
    <s v="12/03 DNT tanyakan trx  8903910125001849 / NACL1408789726_x000a_12/03 Support cek mbase aprvd dan dashboard setld_x000a_12/03 Support tanyakan ke team terkait 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2T00:00:00"/>
    <x v="15"/>
  </r>
  <r>
    <s v="INC20260309558"/>
    <d v="2026-03-09T00:50:00"/>
    <s v="WA"/>
    <s v="-"/>
    <s v="PT Daya Net Gemilang"/>
    <s v="Request"/>
    <s v="VA"/>
    <x v="3"/>
    <x v="3"/>
    <x v="543"/>
    <s v="MANDIRI"/>
    <s v="R01"/>
    <x v="0"/>
    <s v="09/03 DNT tanyakan trx 8903910125031663 / NACL1402726533           _x000a_09/03 Support cek di mbase no result / db cancel_x000a_09/03  Support infokan menunggu rekon_x000a_10/03 support infokan trx sukses"/>
    <s v="SOP #05"/>
    <s v="1. Pastikan merchant &amp; transaksi tersebut valid_x000a_2. Cek VA di apps.plink, bandingkan amount:_x000a__x0009_Amount sama → Update transaksi._x000a__x0009_Amount berbeda → Tidak bisa diupdate, informasikan ke merchant."/>
    <d v="2026-03-10T00:00:00"/>
    <x v="15"/>
  </r>
  <r>
    <s v="INC20260309559"/>
    <d v="2026-03-09T15:43:00"/>
    <s v="WA"/>
    <s v="-"/>
    <s v="PT Daya Net Gemilang"/>
    <s v="Request"/>
    <s v="VA"/>
    <x v="3"/>
    <x v="3"/>
    <x v="544"/>
    <s v="BCA"/>
    <s v="R01"/>
    <x v="0"/>
    <s v="09/03 kvoucher  tanyakan trx  7900119200608712_x000a_7900119200608708_x000a_2026030937000642107 (7900119200608710)_x000a_2026030940100761198 (7900119200608943)   _x000a_09/03 Support cek di mbase tidak bisa_x000a__x000a_10/03 support infokan trx sukses"/>
    <s v="SOP #05"/>
    <s v="1. Pastikan merchant &amp; transaksi tersebut valid_x000a_2. Cek VA di apps.plink, bandingkan amount:_x000a__x0009_Amount sama → Update transaksi._x000a__x0009_Amount berbeda → Tidak bisa diupdate, informasikan ke merchant."/>
    <d v="2026-03-10T00:00:00"/>
    <x v="15"/>
  </r>
  <r>
    <s v="INC20260309560"/>
    <d v="2026-03-09T16:05:00"/>
    <s v="WA"/>
    <s v="-"/>
    <s v="PT Daya Net Gemilang"/>
    <s v="Request"/>
    <s v="VA"/>
    <x v="3"/>
    <x v="3"/>
    <x v="545"/>
    <s v="BCA"/>
    <s v="R01"/>
    <x v="0"/>
    <s v="09/03 dnt  tanyakan trx  7900125000046949_x000a_NACL1404064651_x000a__x000a_NACL1404061558_x000a_7900125000054663_x000a__x000a_7900125000099804_x000a_NACL1404060657_x000a__x000a_7900125000060131_x000a_NACL1404062827_x000a__x000a_7900125000064965_x000a_NACL1404062414_x000a__x000a_NACL1399349966_x000a_8919101250757697_x000a__x000a_NACL1404066648_x000a_7900125000046851_x000a_09/03 Support cek di mbase tidak bisa karna down _x000a_10/03 support infokan trx sukses"/>
    <s v="SOP #05"/>
    <s v="1. Pastikan merchant &amp; transaksi tersebut valid_x000a_2. Cek VA di apps.plink, bandingkan amount:_x000a__x0009_Amount sama → Update transaksi._x000a__x0009_Amount berbeda → Tidak bisa diupdate, informasikan ke merchant."/>
    <d v="2026-03-10T00:00:00"/>
    <x v="15"/>
  </r>
  <r>
    <s v="INC20260309561"/>
    <d v="2026-03-09T16:43:00"/>
    <s v="WA"/>
    <s v="-"/>
    <s v="PT Teknologi Awan Cerah"/>
    <s v="Request"/>
    <s v="VA"/>
    <x v="3"/>
    <x v="3"/>
    <x v="546"/>
    <s v="BCA"/>
    <s v="R01"/>
    <x v="0"/>
    <s v="09/03 nobecul  tanyakan trx  7900121700024171 2026030840100972432_x000a_7900121700097702_x000a_7900121700085306 2026030940100643473_x000a_7900121700097699 - 2026030640100901017 | Amount 100,000_x000a_7900121700079114 - 2026030740100075146 | Amount 50,000_x000a_09/03 Support cek di mbase tidak bisa 10/03 support infokan trx sukses"/>
    <s v="SOP #05"/>
    <s v="1. Pastikan merchant &amp; transaksi tersebut valid_x000a_2. Cek VA di apps.plink, bandingkan amount:_x000a__x0009_Amount sama → Update transaksi._x000a__x0009_Amount berbeda → Tidak bisa diupdate, informasikan ke merchant."/>
    <d v="2026-03-10T00:00:00"/>
    <x v="15"/>
  </r>
  <r>
    <s v="INC20260309562"/>
    <d v="2026-03-09T16:43:00"/>
    <s v="WA"/>
    <s v="-"/>
    <s v="Tripay"/>
    <s v="Request"/>
    <s v="VA"/>
    <x v="3"/>
    <x v="3"/>
    <x v="547"/>
    <s v="BCA"/>
    <s v="R01"/>
    <x v="0"/>
    <s v="09/03 tripay  tanyakan trx  7900117900047439_x000a__x000a_T1140731487590OFXNK_x000a_7900117900039054_x000a_09/03 Support cek di mbase tidak bisa _x000a_10/03 support infokan trx sukses"/>
    <s v="SOP #05"/>
    <s v="1. Pastikan merchant &amp; transaksi tersebut valid_x000a_2. Cek VA di apps.plink, bandingkan amount:_x000a__x0009_Amount sama → Update transaksi._x000a__x0009_Amount berbeda → Tidak bisa diupdate, informasikan ke merchant."/>
    <d v="2026-03-10T00:00:00"/>
    <x v="15"/>
  </r>
  <r>
    <s v="INC20260309563"/>
    <d v="2026-03-09T19:34:00"/>
    <s v="WA"/>
    <s v="-"/>
    <s v="PT Daya Net Gemilang"/>
    <s v="Request"/>
    <s v="VA"/>
    <x v="3"/>
    <x v="4"/>
    <x v="548"/>
    <s v="BCA"/>
    <s v="R01"/>
    <x v="0"/>
    <s v="09/03 dnt  tanyakan trx7900125000050518_x000a__x000a_7900125000046949_x000a_NACL1404064651_x000a__x000a_NACL1398922821_x000a_NACL1399076103_x000a_NACL1398618325_x000a_NACL1397988934_x000a_NACL1399014913_x000a_NACL1399349966_x000a__x000a_NACL1404407147_x000a_7900125000066985_x000a_09/03 Support cek di mbase tidak bisa karna down _x000a_10/03 Support cek operator va 7900125000050518  setld dan dashbaord setld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0T00:00:00"/>
    <x v="15"/>
  </r>
  <r>
    <s v="INC20260309564"/>
    <d v="2026-03-09T22:32:00"/>
    <s v="WA"/>
    <s v="-"/>
    <s v="Tripay"/>
    <s v="Request"/>
    <s v="VA"/>
    <x v="3"/>
    <x v="3"/>
    <x v="549"/>
    <s v="BCA"/>
    <s v="R01"/>
    <x v="0"/>
    <s v="09/03 dnt tanyakan 7900125000061942_x000a_NACL1404704766_x000a__x000a_7900125000077112_x000a_NACL1404764501_x000a_09/03 Support cek di mbase tidak bisa 10/03 support infokan update"/>
    <s v="SOP #05"/>
    <s v="1. Pastikan merchant &amp; transaksi tersebut valid_x000a_2. Cek VA di apps.plink, bandingkan amount:_x000a__x0009_Amount sama → Update transaksi._x000a__x0009_Amount berbeda → Tidak bisa diupdate, informasikan ke merchant."/>
    <d v="2026-03-10T00:00:00"/>
    <x v="15"/>
  </r>
  <r>
    <s v="INC20260309565"/>
    <d v="2026-03-09T06:13:00"/>
    <s v="WA"/>
    <s v="-"/>
    <s v="PT Kreasi Kode Kreatif"/>
    <s v="Request"/>
    <s v="VA"/>
    <x v="3"/>
    <x v="3"/>
    <x v="550"/>
    <s v="BCA"/>
    <s v="R01"/>
    <x v="0"/>
    <s v="09/03 Kvoucher tanyakan trx 7900119200605346        _x000a_09/03 Support cek di mbase no result_x000a_09/03  Support infokan menunggu rekon_x000a_10/03 support infokan sukses"/>
    <s v="SOP #05"/>
    <s v="1. Pastikan merchant &amp; transaksi tersebut valid_x000a_2. Cek VA di apps.plink, bandingkan amount:_x000a__x0009_Amount sama → Update transaksi._x000a__x0009_Amount berbeda → Tidak bisa diupdate, informasikan ke merchant."/>
    <d v="2026-03-10T00:00:00"/>
    <x v="15"/>
  </r>
  <r>
    <s v="INC20260312566"/>
    <d v="2026-03-12T16:55:00"/>
    <s v="Email"/>
    <s v="Zhao Joy, PA-S-AP-1 &lt;Joy.Zhao@bmw.com&gt;"/>
    <s v="MOLINA"/>
    <s v="Request"/>
    <s v="VOA"/>
    <x v="4"/>
    <x v="8"/>
    <x v="498"/>
    <s v="BRI VOA"/>
    <s v="R02"/>
    <x v="0"/>
    <s v="12/03 req masuk_x000a_12/03 DONE"/>
    <m/>
    <m/>
    <d v="2026-03-12T00:00:00"/>
    <x v="15"/>
  </r>
  <r>
    <s v="INC20260312567"/>
    <d v="2026-03-12T16:58:00"/>
    <s v="Email"/>
    <s v="keluhan_payment@bca.co.id"/>
    <s v="Tripay"/>
    <s v="Request"/>
    <s v="VA"/>
    <x v="3"/>
    <x v="4"/>
    <x v="551"/>
    <s v="BCA"/>
    <s v="R01"/>
    <x v="0"/>
    <s v="12/03 req masuk_x000a_13/03 BCA FU_x000a_16/03 BCA FU_x000a_16/03 konfirm ke merchant subj 'FW: [O0140ae3] Rekap : 09/VA ONLINE/BAYAR2.COM'_x000a_17/03 tripay infokan jika trx sudah di update sukses_x000a_17/03 support infokan jika trx sukse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17T00:00:00"/>
    <x v="16"/>
  </r>
  <r>
    <s v="INC20260313568"/>
    <d v="2026-03-13T07:46:00"/>
    <s v="Email"/>
    <s v="Distribusi Lancar Jaya &lt;distribusilancarjaya@gmail.com&gt;"/>
    <s v="Jatimpark Vending Mechine"/>
    <s v="Request"/>
    <s v="QR"/>
    <x v="0"/>
    <x v="0"/>
    <x v="552"/>
    <s v="NOBU"/>
    <s v="R04"/>
    <x v="0"/>
    <s v="13/03 req masuk + support teruskan ke NOBU_x000a_13/03 DONE"/>
    <m/>
    <s v="Buka SOP 'REFUND QR NOBU'"/>
    <d v="2026-03-13T00:00:00"/>
    <x v="16"/>
  </r>
  <r>
    <s v="INC20260313569"/>
    <d v="2026-03-13T10:32:00"/>
    <s v="Email"/>
    <s v="chargebackops.acq@corp.bri.co.id"/>
    <s v="MOLINA"/>
    <s v="Request"/>
    <s v="VOA"/>
    <x v="4"/>
    <x v="5"/>
    <x v="553"/>
    <s v="BRI VOA"/>
    <s v="R02"/>
    <x v="0"/>
    <s v="13/03 req masuk_x000a_17/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17T00:00:00"/>
    <x v="16"/>
  </r>
  <r>
    <s v="INC20260311570"/>
    <d v="2026-03-11T07:47:00"/>
    <s v="WA"/>
    <s v="-"/>
    <s v="PT Kreasi Kode Kreatif"/>
    <s v="Request"/>
    <s v="VA"/>
    <x v="3"/>
    <x v="3"/>
    <x v="554"/>
    <s v="BCA"/>
    <s v="R01"/>
    <x v="0"/>
    <s v="11/03 Kvoucher tanyakan trx va _x000a_7900119200605383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6"/>
  </r>
  <r>
    <s v="INC20260311571"/>
    <d v="2026-03-11T08:58:00"/>
    <s v="WA"/>
    <s v="-"/>
    <s v="Tripay"/>
    <s v="Request"/>
    <s v="VA"/>
    <x v="3"/>
    <x v="3"/>
    <x v="523"/>
    <s v="BCA"/>
    <s v="R01"/>
    <x v="0"/>
    <s v="11/03 Tripay tanyakan trx va 7900117900081645 / 7900117900084591_x000a_11/03 Support cek di mbase tidak ada, cek aggree ada datanya, db prismalink cancel_x000a_11/03 Support infokan sukses dan upda ke team terkait untuk update"/>
    <s v="SOP #05"/>
    <s v="1. Pastikan merchant &amp; transaksi tersebut valid_x000a_2. Cek VA di apps.plink, bandingkan amount:_x000a__x0009_Amount sama → Update transaksi._x000a__x0009_Amount berbeda → Tidak bisa diupdate, informasikan ke merchant."/>
    <d v="2026-03-11T00:00:00"/>
    <x v="16"/>
  </r>
  <r>
    <s v="INC20260311572"/>
    <d v="2026-03-11T09:17:00"/>
    <s v="WA"/>
    <s v="-"/>
    <s v="PT Kreasi Kode Kreatif"/>
    <s v="Request"/>
    <s v="VA"/>
    <x v="3"/>
    <x v="3"/>
    <x v="535"/>
    <s v="BCA"/>
    <s v="R01"/>
    <x v="0"/>
    <s v="11/03 Kvoucher tanyakan trx va _x000a_7900119200608707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6"/>
  </r>
  <r>
    <s v="INC20260311573"/>
    <d v="2026-03-11T11:44:00"/>
    <s v="WA"/>
    <s v="-"/>
    <s v="PT Teknologi Awan Cerah"/>
    <s v="Request"/>
    <s v="VA"/>
    <x v="3"/>
    <x v="3"/>
    <x v="536"/>
    <s v="BCA"/>
    <s v="R01"/>
    <x v="0"/>
    <s v="11/03 Kvoucher tanyakan trx va _x000a_7900121700084417 2026031040100494039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6"/>
  </r>
  <r>
    <s v="INC20260311574"/>
    <d v="2026-03-11T11:28:00"/>
    <s v="WA"/>
    <s v="-"/>
    <s v="Tripay"/>
    <s v="Request"/>
    <s v="VA"/>
    <x v="3"/>
    <x v="3"/>
    <x v="537"/>
    <s v="MANDIRI"/>
    <s v="R01"/>
    <x v="0"/>
    <s v="11/03 Tripay tanyakan trx va _x000a_T4449031487496GLYBN_x000a_8903910117923022_x000a_11/03 Support cek di mbase tidak ada, cek operator No data available in table dan aggregator ada_x000a_11/03 Support infokan ke team terkait untuk update_x000a_11/03 info dari team terkait sudah update"/>
    <s v="SOP #05"/>
    <s v="1. Pastikan merchant &amp; transaksi tersebut valid_x000a_2. Cek VA di apps.plink, bandingkan amount:_x000a__x0009_Amount sama → Update transaksi._x000a__x0009_Amount berbeda → Tidak bisa diupdate, informasikan ke merchant."/>
    <d v="2026-03-11T00:00:00"/>
    <x v="16"/>
  </r>
  <r>
    <s v="INC20260312575"/>
    <d v="2026-03-12T00:48:00"/>
    <s v="WA"/>
    <s v="-"/>
    <s v="PT Teknologi Awan Cerah"/>
    <s v="Request"/>
    <s v="VA"/>
    <x v="3"/>
    <x v="4"/>
    <x v="538"/>
    <s v="BCA"/>
    <s v="R01"/>
    <x v="0"/>
    <s v="12/03 nobecul tanyakan7900121700020502 _x000a_12/03 Support cek di operator settld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6"/>
  </r>
  <r>
    <s v="INC20260312576"/>
    <d v="2026-03-12T10:32:00"/>
    <s v="WA"/>
    <s v="-"/>
    <s v="PT Naturindo"/>
    <s v="Request"/>
    <s v="VA"/>
    <x v="3"/>
    <x v="4"/>
    <x v="539"/>
    <s v="BRI"/>
    <s v="R01"/>
    <x v="0"/>
    <s v="12/03 Naturindo tanyakan 4041910120332515_x000a_12/03 Support cek di mbase tidak bisa karna down dan dashbaord setld_x000a_12/03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6"/>
  </r>
  <r>
    <s v="INC20260312577"/>
    <d v="2026-03-12T10:38:00"/>
    <s v="WA"/>
    <s v="-"/>
    <s v="Periplus"/>
    <s v="Request"/>
    <s v="VA"/>
    <x v="3"/>
    <x v="4"/>
    <x v="540"/>
    <s v="BNI"/>
    <s v="R01"/>
    <x v="0"/>
    <s v="12/03 Periplus tanyakan 4041910120332515_x000a_12/03 Support cek di mbase  ada dan dashbaord setld_x000a_12/03 Support tanyakan ke team terkait 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6"/>
  </r>
  <r>
    <s v="INC20260312578"/>
    <d v="2026-03-12T11:17:00"/>
    <s v="WA"/>
    <s v="-"/>
    <s v="PT Daya Net Gemilang"/>
    <s v="Request"/>
    <s v="VA"/>
    <x v="3"/>
    <x v="4"/>
    <x v="555"/>
    <s v="MANDIRI"/>
    <s v="R01"/>
    <x v="0"/>
    <s v="12/03 DNT tanyakan trx  8903910125001849 / NACL1408789726_x000a_12/03 Support cek mbase aprvd dan dashboard setld_x000a_12/03 Support tanyakan ke team terkait 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6"/>
  </r>
  <r>
    <s v="INC20260312579"/>
    <d v="2026-03-12T11:23:00"/>
    <s v="WA"/>
    <s v="-"/>
    <s v="PT Teknologi Awan Cerah"/>
    <s v="Request"/>
    <s v="VA"/>
    <x v="3"/>
    <x v="4"/>
    <x v="542"/>
    <s v="BCA"/>
    <s v="R01"/>
    <x v="0"/>
    <s v="12/03 Nobecul tanyakan trx  7900121700046919 _x000a_12/03 Support cek mbase aprvd dan dashboard setld_x000a_12/03 Support tanyakan ke team terkait _x000a_1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6"/>
  </r>
  <r>
    <s v="INC20260312580"/>
    <d v="2026-03-12T16:45:00"/>
    <s v="WA"/>
    <s v="-"/>
    <s v="PT Daya Net Gemilang"/>
    <s v="Request"/>
    <s v="VA"/>
    <x v="3"/>
    <x v="4"/>
    <x v="556"/>
    <s v="BCA"/>
    <s v="R01"/>
    <x v="0"/>
    <s v="12/03 dnt tanyakan trx va 7900125000094154_x000a_12/03 Support cek di mbase cancel scheduler, cek aggree tidak ada datanya_x000a_12/03 Support up ke team rekon untuk cek dananya_x000a_12/03 Team terkait infokan trx tersebut gagal_x000a_12/03 Support infokan trx tersebut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1T00:00:00"/>
    <x v="16"/>
  </r>
  <r>
    <s v="INC20260313581"/>
    <d v="2026-03-13T10:38:00"/>
    <s v="Email"/>
    <s v="chargebackops.acq@corp.bri.co.id"/>
    <s v="MOLINA"/>
    <s v="Request"/>
    <s v="VOA"/>
    <x v="1"/>
    <x v="1"/>
    <x v="557"/>
    <s v="BRI VOA"/>
    <s v="R02"/>
    <x v="0"/>
    <s v="13/03 req masuk_x000a_13/03 Support konfirm ke BRI_x000a_17/03 belum ada update"/>
    <m/>
    <m/>
    <m/>
    <x v="16"/>
  </r>
  <r>
    <s v="INC20260316582"/>
    <d v="2026-03-16T08:22:00"/>
    <s v="Email"/>
    <s v="Customerrelations &lt;customerrelations@bca.co.id&gt;"/>
    <s v="PT Kreasi Kode Kreatif"/>
    <s v="Issue"/>
    <s v="VA"/>
    <x v="2"/>
    <x v="2"/>
    <x v="558"/>
    <s v="BCA"/>
    <s v="R01"/>
    <x v="0"/>
    <s v="16/03 req masuk_x000a_16/03 support meminta kronologis_x000a_17/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6"/>
  </r>
  <r>
    <s v="INC20260316583"/>
    <d v="2026-03-16T08:36:00"/>
    <s v="Email"/>
    <s v="Distribusi Lancar Jaya &lt;distribusilancarjaya@gmail.com&gt;"/>
    <s v="Jatimpark Vending Mechine"/>
    <s v="Request"/>
    <s v="QR"/>
    <x v="0"/>
    <x v="0"/>
    <x v="559"/>
    <s v="NOBU"/>
    <s v="R04"/>
    <x v="0"/>
    <s v="16/03 req masuk + support teruskan ke NOBU_x000a_16/03 DONE"/>
    <m/>
    <s v="Buka SOP 'REFUND QR NOBU'"/>
    <d v="2026-03-16T00:00:00"/>
    <x v="16"/>
  </r>
  <r>
    <s v="INC20260316584"/>
    <d v="2026-03-16T13:00:00"/>
    <s v="Email"/>
    <s v="Customerrelations &lt;customerrelations@bca.co.id&gt;"/>
    <s v="PT Daya Net Gemilang"/>
    <s v="Issue"/>
    <s v="VA"/>
    <x v="2"/>
    <x v="2"/>
    <x v="560"/>
    <s v="BCA"/>
    <s v="R01"/>
    <x v="0"/>
    <s v="16/03 req masuk_x000a_16/03 support meminta kronologis_x000a_17/03 belum ada update_x000a_26/03 BCA menanyakan perihal dan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6"/>
  </r>
  <r>
    <s v="INC20260316585"/>
    <d v="2026-03-16T17:26:00"/>
    <s v="Email"/>
    <s v="keluhan_payment@bca.co.id"/>
    <s v="PT ENVOIZ DIGITAL INDONESIA_x000a_PT Daya Net Gemilang"/>
    <s v="Request"/>
    <s v="VA"/>
    <x v="3"/>
    <x v="4"/>
    <x v="561"/>
    <s v="BCA"/>
    <s v="R01"/>
    <x v="0"/>
    <s v="16/03 req masuk_x000a_17/03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7T00:00:00"/>
    <x v="16"/>
  </r>
  <r>
    <s v="INC20260316586"/>
    <d v="2026-03-16T22:08:00"/>
    <s v="Email"/>
    <s v="Lala Sitio &lt;triodorasaragihsitio@gmail.com&gt;"/>
    <s v="PT VISI JAYA INDONESI"/>
    <s v="Issue"/>
    <s v="VA"/>
    <x v="2"/>
    <x v="2"/>
    <x v="562"/>
    <s v="BCA"/>
    <s v="R01"/>
    <x v="0"/>
    <s v="16/03 req masuk + user melampirkan kronologis &amp; rek.koran_x000a_17/03 support infokan jika trx tersebut direct settelment, support sarankan cust agar menghubungi pihak BAN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17T00:00:00"/>
    <x v="16"/>
  </r>
  <r>
    <s v="INC20260317587"/>
    <d v="2026-03-17T08:14:00"/>
    <s v="Email"/>
    <s v="Distribusi Lancar Jaya &lt;distribusilancarjaya@gmail.com&gt;"/>
    <s v="Jatimpark Vending Mechine"/>
    <s v="Request"/>
    <s v="QR"/>
    <x v="0"/>
    <x v="0"/>
    <x v="563"/>
    <s v="NOBU"/>
    <s v="R04"/>
    <x v="0"/>
    <s v="17/03 req masuk + support teruskan ke NOBU_x000a_27/03 DONE"/>
    <m/>
    <s v="Buka SOP 'REFUND QR NOBU'"/>
    <d v="2026-03-27T00:00:00"/>
    <x v="16"/>
  </r>
  <r>
    <s v="INC20260316588"/>
    <d v="2026-03-16T13:52:00"/>
    <s v="Email"/>
    <s v="kkd_ipm2@corp.bri.co.id"/>
    <s v="MOLINA"/>
    <s v="Request"/>
    <s v="VOA"/>
    <x v="4"/>
    <x v="5"/>
    <x v="564"/>
    <s v="BRI VOA"/>
    <s v="R02"/>
    <x v="0"/>
    <s v="16/03 req masuk_x000a_26/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26T00:00:00"/>
    <x v="16"/>
  </r>
  <r>
    <s v="INC20260313589"/>
    <d v="2026-03-13T05:34:00"/>
    <s v="WA"/>
    <s v="-"/>
    <s v="PT Kreasi Kode Kreatif"/>
    <s v="Request"/>
    <s v="VA"/>
    <x v="3"/>
    <x v="4"/>
    <x v="565"/>
    <s v="BCA"/>
    <s v="R01"/>
    <x v="0"/>
    <s v="13/03 K Voucher tanyakan trx 7900125900067884_x000a_13/03 Support cek mbase tidak ditemukan_x000a_13/03 Info dari team terkait tunggu hingga besok_x000a_15/03 Support infokan sukss karena di agregator ada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5T21:13:00"/>
    <x v="16"/>
  </r>
  <r>
    <s v="INC20260313590"/>
    <d v="2026-03-13T13:52:00"/>
    <s v="WA"/>
    <s v="-"/>
    <s v="PT Teknologi Awan Cerah"/>
    <s v="Request"/>
    <s v="VA"/>
    <x v="3"/>
    <x v="4"/>
    <x v="566"/>
    <s v="BCA"/>
    <s v="R01"/>
    <x v="0"/>
    <s v="13/03 nobecul tanyakan7900121700020502 _x000a_13/03 Support cek di operator settld_x000a_13/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4T23:21:00"/>
    <x v="16"/>
  </r>
  <r>
    <s v="INC20260313591"/>
    <d v="2026-03-13T15:01:00"/>
    <s v="WA"/>
    <s v="-"/>
    <s v="PT Teknologi Awan Cerah"/>
    <s v="Request"/>
    <s v="VA"/>
    <x v="3"/>
    <x v="3"/>
    <x v="567"/>
    <s v="BCA_x000a_MANDIRI"/>
    <s v="R01"/>
    <x v="0"/>
    <s v="13/03 nobecul tanyakan trx _x000a_2026030940100643085 - 7900121700093119 | Amount 10,000_x000a_2026030840100980892 - 7900121700080340 | Amount 10,000_x000a_2026030840100980986 - 7900121700015301 | Amount 32,000_x000a_2026030840100972592 - 7900121700029458 | Amount 50,500_x000a_2026030940100643407 - 7900121700068295 | Amount 30,000_x000a_2026030840100972781 - 7900121700090783 | Amount 30,000_x000a_2026030840100972482 - 7900121700043091 | Amount 50,000_x000a_2026030940100642982 - 7900121700046919 | Amount 90,000_x000a_2026030840100972336 - 7900121700082764 | Amount 100,000_x000a_2026030940100642633 - 7900121700076260 | Amount 113,000_x000a_2026030840100972623 - 7900121700081452 | Amount 10,000_x000a_2026030940100642106 - 7900121700087155 | Amount 25,000_x000a_2026030840100972682 - 7900121700087955 | Amount 39,000_x000a_2026030840100980823 - 7900121700047052 | Amount 20,000_x000a_2026030940100643076 - 7900121700052255 | Amount 247,000_x000a_2026030840100981052 - 7900121700004289 | Amount 50,000_x000a_2026031040101028453 - 7900121700037492 | Amount 10,000_x000a_2026031140100218382 - 8919101217787315 | Amount 10,000_x000a_2026031140100218468 - 8919101217817116 | Amount 10,000_x000a_13/03 Support cek di aggre ada namun di dahboard cancel_x000a_13/03 Support infokan ke team terkait untuk di update_x000a_13/03 sudah di update team terkait dan infokan sukses"/>
    <s v="SOP #05"/>
    <s v="1. Pastikan merchant &amp; transaksi tersebut valid_x000a_2. Cek VA di apps.plink, bandingkan amount:_x000a__x0009_Amount sama → Update transaksi._x000a__x0009_Amount berbeda → Tidak bisa diupdate, informasikan ke merchant."/>
    <d v="2026-03-13T16:09:00"/>
    <x v="16"/>
  </r>
  <r>
    <s v="INC20260313592"/>
    <d v="2026-03-13T16:44:00"/>
    <s v="WA"/>
    <s v="-"/>
    <s v="PT Kreasi Kode Kreatif"/>
    <s v="Request"/>
    <s v="VA"/>
    <x v="3"/>
    <x v="3"/>
    <x v="568"/>
    <s v="BCA"/>
    <s v="R01"/>
    <x v="0"/>
    <s v="13/03 K Voucher tanyakan trx 2026031340101049118 //_x000a_7900119200627706_x000a_13/03 Support cek mbase tidak ditemukan_x000a_13/03 arahkan tunggu rekon_x000a_14/03 sudah update sukses"/>
    <s v="SOP #05"/>
    <s v="1. Pastikan merchant &amp; transaksi tersebut valid_x000a_2. Cek VA di apps.plink, bandingkan amount:_x000a__x0009_Amount sama → Update transaksi._x000a__x0009_Amount berbeda → Tidak bisa diupdate, informasikan ke merchant."/>
    <d v="2026-03-14T23:21:00"/>
    <x v="16"/>
  </r>
  <r>
    <s v="INC20260313593"/>
    <d v="2026-03-13T16:55:00"/>
    <s v="WA"/>
    <s v="-"/>
    <s v="PT Kreasi Kode Kreatif"/>
    <s v="Request"/>
    <s v="VA"/>
    <x v="3"/>
    <x v="4"/>
    <x v="569"/>
    <s v="BCA"/>
    <s v="R01"/>
    <x v="0"/>
    <s v="13/03 K Voucher tanyakan trx 7900119200627727_x000a_13/03 info tim terkait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3T17:14:00"/>
    <x v="16"/>
  </r>
  <r>
    <s v="INC20260313594"/>
    <d v="2026-03-13T18:06:00"/>
    <s v="WA"/>
    <s v="-"/>
    <s v="PT Kreasi Kode Kreatif"/>
    <s v="Request"/>
    <s v="VA"/>
    <x v="3"/>
    <x v="3"/>
    <x v="570"/>
    <s v="BCA"/>
    <s v="R01"/>
    <x v="0"/>
    <s v="13/03 K Voucher tanyakan trx 7900119200627729 / 2026031340101058709_x000a_13/03 Support cek mbase tidak ditemukan_x000a_13/03 arahkan tunggu rekon_x000a_14/03 sudah update sukses"/>
    <s v="SOP #05"/>
    <s v="1. Pastikan merchant &amp; transaksi tersebut valid_x000a_2. Cek VA di apps.plink, bandingkan amount:_x000a__x0009_Amount sama → Update transaksi._x000a__x0009_Amount berbeda → Tidak bisa diupdate, informasikan ke merchant."/>
    <d v="2026-03-14T23:21:00"/>
    <x v="16"/>
  </r>
  <r>
    <s v="INC20260314595"/>
    <d v="2026-03-14T11:41:00"/>
    <s v="WA"/>
    <s v="-"/>
    <s v="PT Hotel Murah Travelindo"/>
    <s v="Request"/>
    <s v="QR"/>
    <x v="3"/>
    <x v="3"/>
    <x v="571"/>
    <s v="NOBU"/>
    <s v="R01"/>
    <x v="0"/>
    <s v="14/03 hotelmurah tanyakan P87768167 dengan RRN QRIS 1ml368v48830 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1:44:00"/>
    <x v="16"/>
  </r>
  <r>
    <s v="INC20260314596"/>
    <d v="2026-03-14T12:01:00"/>
    <s v="WA"/>
    <s v="-"/>
    <s v="PT Hotel Murah Travelindo"/>
    <s v="Request"/>
    <s v="QR"/>
    <x v="3"/>
    <x v="3"/>
    <x v="572"/>
    <s v="NOBU"/>
    <s v="R01"/>
    <x v="0"/>
    <s v="14/03 hotelmurah tanyakan P87768116 dengan RRN b500eaff6024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03:00"/>
    <x v="16"/>
  </r>
  <r>
    <s v="INC20260314597"/>
    <d v="2026-03-14T12:05:00"/>
    <s v="WA"/>
    <s v="-"/>
    <s v="PT Hotel Murah Travelindo"/>
    <s v="Request"/>
    <s v="QR"/>
    <x v="3"/>
    <x v="3"/>
    <x v="573"/>
    <s v="NOBU"/>
    <s v="R01"/>
    <x v="0"/>
    <s v="14/03 hotelmurah tanyakan P87767224 dengan RRN TNGD03129842 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14:00"/>
    <x v="16"/>
  </r>
  <r>
    <s v="INC20260314598"/>
    <d v="2026-03-14T12:12:00"/>
    <s v="WA"/>
    <s v="-"/>
    <s v="PT Hotel Murah Travelindo"/>
    <s v="Request"/>
    <s v="QR"/>
    <x v="3"/>
    <x v="3"/>
    <x v="574"/>
    <s v="NOBU"/>
    <s v="R01"/>
    <x v="0"/>
    <s v="14/03 hotelmurah tanyakan P87767224 dengan RRN TNGD03129842 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16:00"/>
    <x v="16"/>
  </r>
  <r>
    <s v="INC20260314599"/>
    <d v="2026-03-14T12:22:00"/>
    <s v="WA"/>
    <s v="-"/>
    <s v="PT Hotel Murah Travelindo"/>
    <s v="Request"/>
    <s v="QR"/>
    <x v="3"/>
    <x v="3"/>
    <x v="575"/>
    <s v="NOBU"/>
    <s v="R01"/>
    <x v="0"/>
    <s v="14/03 hotelmurah tanyakan P87767307 dengan RRN 74c68bd5958d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23:00"/>
    <x v="16"/>
  </r>
  <r>
    <s v="INC20260314600"/>
    <d v="2026-03-14T12:23:00"/>
    <s v="WA"/>
    <s v="-"/>
    <s v="PT Hotel Murah Travelindo"/>
    <s v="Request"/>
    <s v="QR"/>
    <x v="3"/>
    <x v="3"/>
    <x v="576"/>
    <s v="NOBU"/>
    <s v="R01"/>
    <x v="0"/>
    <s v="14/03 hotelmurah tanyakan P87770955 dengan RRN 018311727461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25:00"/>
    <x v="16"/>
  </r>
  <r>
    <s v="INC20260314601"/>
    <d v="2026-03-14T12:26:00"/>
    <s v="WA"/>
    <s v="-"/>
    <s v="PT Hotel Murah Travelindo"/>
    <s v="Request"/>
    <s v="QR"/>
    <x v="3"/>
    <x v="3"/>
    <x v="577"/>
    <s v="NOBU"/>
    <s v="R01"/>
    <x v="0"/>
    <s v="14/03 hotelmurah tanyakan P87770952 dengan RRN 018272115124 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28:00"/>
    <x v="16"/>
  </r>
  <r>
    <s v="INC20260314602"/>
    <d v="2026-03-14T12:36:00"/>
    <s v="WA"/>
    <s v="-"/>
    <s v="PT Hotel Murah Travelindo"/>
    <s v="Request"/>
    <s v="QR"/>
    <x v="3"/>
    <x v="3"/>
    <x v="578"/>
    <s v="NOBU"/>
    <s v="R01"/>
    <x v="0"/>
    <s v="14/03 hotelmurah tanyakan P87769795 dengan RRN 1ml3v9036944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2:38:00"/>
    <x v="16"/>
  </r>
  <r>
    <s v="INC20260314603"/>
    <d v="2026-03-14T13:05:00"/>
    <s v="WA"/>
    <s v="-"/>
    <s v="PT Hotel Murah Travelindo"/>
    <s v="Request"/>
    <s v="QR"/>
    <x v="3"/>
    <x v="3"/>
    <x v="579"/>
    <s v="NOBU"/>
    <s v="R01"/>
    <x v="0"/>
    <s v="14/03 hotelmurah tanyakan P87769795 dengan RRN 1ml3v9036944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00:00:00"/>
    <x v="16"/>
  </r>
  <r>
    <s v="INC20260314604"/>
    <d v="2026-03-14T14:39:00"/>
    <s v="WA"/>
    <s v="-"/>
    <s v="PT Hotel Murah Travelindo"/>
    <s v="Request"/>
    <s v="QR"/>
    <x v="3"/>
    <x v="3"/>
    <x v="580"/>
    <s v="NOBU"/>
    <s v="R01"/>
    <x v="0"/>
    <s v="14/03 hotelmurah tanyakan P87768126 dengan RRN 018225531984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4:46:00"/>
    <x v="16"/>
  </r>
  <r>
    <s v="INC20260314605"/>
    <d v="2026-03-14T16:29:00"/>
    <s v="WA"/>
    <s v="-"/>
    <s v="PT Hotel Murah Travelindo"/>
    <s v="Request"/>
    <s v="QR"/>
    <x v="3"/>
    <x v="3"/>
    <x v="581"/>
    <s v="NOBU"/>
    <s v="R01"/>
    <x v="0"/>
    <s v="14/03 hotelmurah tanyakan P87768126 dengan RRN 018225531984_x000a_14/03 Support cek di dashboard nobu ada, di dashboard plink tidak ada_x000a_14/03 Support infokan sukses "/>
    <s v="SOP #05"/>
    <s v="1. Pastikan merchant &amp; transaksi tersebut valid_x000a_2. Cek VA di apps.plink, bandingkan amount:_x000a__x0009_Amount sama → Update transaksi._x000a__x0009_Amount berbeda → Tidak bisa diupdate, informasikan ke merchant."/>
    <d v="2026-03-14T16:47:00"/>
    <x v="16"/>
  </r>
  <r>
    <s v="INC20260314606"/>
    <d v="2026-03-14T16:57:00"/>
    <s v="WA"/>
    <s v="-"/>
    <s v="PT Hotel Murah Travelindo"/>
    <s v="Request"/>
    <s v="QR"/>
    <x v="3"/>
    <x v="3"/>
    <x v="582"/>
    <s v="NOBU"/>
    <s v="R01"/>
    <x v="0"/>
    <s v="14/03 Hotelmurah tanyakan P87769153 RRN  c30ae611a0ec _x000a_14/03 Support cek di dashboard nobu ada, di dashboard plink cancel_x000a_14/03 Support infokan ke team terkait_x000a_14/03 Support infokan sukses _x000a__x000a_"/>
    <s v="SOP #05"/>
    <s v="1. Pastikan merchant &amp; transaksi tersebut valid_x000a_2. Cek VA di apps.plink, bandingkan amount:_x000a__x0009_Amount sama → Update transaksi._x000a__x0009_Amount berbeda → Tidak bisa diupdate, informasikan ke merchant."/>
    <d v="2026-03-14T16:59:00"/>
    <x v="16"/>
  </r>
  <r>
    <s v="INC20260314607"/>
    <d v="2026-03-14T18:19:00"/>
    <s v="WA"/>
    <s v="-"/>
    <s v="PT Hotel Murah Travelindo"/>
    <s v="Request"/>
    <s v="QR"/>
    <x v="3"/>
    <x v="3"/>
    <x v="583"/>
    <s v="NOBU"/>
    <s v="R01"/>
    <x v="0"/>
    <s v="14/03 Hotelmurah tanyakan P87770863 RRN  1ml4a9800870 _x000a_14/03 Support cek di dashboard nobu ada, di dashboard plink cancel_x000a_14/03 Support infokan ke team terkait_x000a_14/03 Support infokan sukses "/>
    <s v="SOP #05"/>
    <s v="1. Pastikan merchant &amp; transaksi tersebut valid_x000a_2. Cek VA di apps.plink, bandingkan amount:_x000a__x0009_Amount sama → Update transaksi._x000a__x0009_Amount berbeda → Tidak bisa diupdate, informasikan ke merchant."/>
    <d v="2026-03-14T18:39:00"/>
    <x v="16"/>
  </r>
  <r>
    <s v="INC20260315608"/>
    <d v="2026-03-15T17:36:00"/>
    <s v="WA"/>
    <s v="-"/>
    <s v="PT Daya Net Gemilang"/>
    <s v="Request"/>
    <s v="VA"/>
    <x v="3"/>
    <x v="4"/>
    <x v="584"/>
    <s v="BCA"/>
    <s v="R01"/>
    <x v="0"/>
    <s v="15/03 DNT tanyakan trx NACL1408619381 / 7900125000099494 _x000a_15/03 Support cek mbase aprvd dandashboard setld _x000a_15/03 Support infokan sukses _x000a__x000a_"/>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5T18:05:00"/>
    <x v="16"/>
  </r>
  <r>
    <s v="INC20260315609"/>
    <d v="2026-03-15T20:26:00"/>
    <s v="WA"/>
    <s v="-"/>
    <s v="PT Kreasi Kode Kreatif"/>
    <s v="Request"/>
    <s v="VA"/>
    <x v="3"/>
    <x v="4"/>
    <x v="585"/>
    <s v="BCA"/>
    <s v="R01"/>
    <x v="0"/>
    <s v="15/03 Kvoucher tanyakan trx 7900119200621104 _x000a_15/03 Support cek mbase aprvd dengan 2 trx nominal berbeda 10.000 dan 18.000_x000a_15/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5T21:03:00"/>
    <x v="16"/>
  </r>
  <r>
    <s v="INC20260317610"/>
    <d v="2026-03-17T13:36:00"/>
    <s v="Email"/>
    <s v="kkd_ipm2@corp.bri.co.id"/>
    <s v="MOLINA"/>
    <s v="Request"/>
    <s v="VOA"/>
    <x v="4"/>
    <x v="5"/>
    <x v="586"/>
    <s v="BRI VOA"/>
    <s v="R02"/>
    <x v="0"/>
    <s v="17/03 req masuk_x000a_27/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27T00:00:00"/>
    <x v="17"/>
  </r>
  <r>
    <s v="INC20260317611"/>
    <d v="2026-03-17T13:17:00"/>
    <s v="Email"/>
    <s v="kkd_ipm2@corp.bri.co.id"/>
    <s v="MOLINA"/>
    <s v="Request"/>
    <s v="VOA"/>
    <x v="4"/>
    <x v="5"/>
    <x v="587"/>
    <s v="BRI VOA"/>
    <s v="R02"/>
    <x v="0"/>
    <s v="17/03 req masuk_x000a_26/03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3-26T00:00:00"/>
    <x v="17"/>
  </r>
  <r>
    <s v="INC20260317612"/>
    <d v="2026-03-17T22:35:00"/>
    <s v="Email"/>
    <s v="Matt Arnold &lt;mclarnold@hotmail.com&gt;"/>
    <s v="MOLINA"/>
    <s v="Request"/>
    <s v="VOA"/>
    <x v="0"/>
    <x v="10"/>
    <x v="588"/>
    <s v="BRI VOA"/>
    <s v="R02"/>
    <x v="0"/>
    <s v="17/03 req masuk, cust infokan tercharge 3x_x000a_17/03 support meminta info no cc yg digunakan_x000a_18/03 cust lampirkan cc yg digunakan_x000a_18/03 DONE, support refund"/>
    <m/>
    <m/>
    <d v="2026-03-18T00:00:00"/>
    <x v="17"/>
  </r>
  <r>
    <s v="INC20260318613"/>
    <d v="2026-03-18T08:12:00"/>
    <s v="Email"/>
    <s v="Xinshu &lt;820860769@qq.com&gt;"/>
    <s v="MOLINA"/>
    <s v="Request"/>
    <s v="VOA"/>
    <x v="0"/>
    <x v="10"/>
    <x v="589"/>
    <s v="BRI VOA"/>
    <s v="R02"/>
    <x v="0"/>
    <s v="18/03 req masuk, cust infokan tercharge 2x_x000a_18/03 support minta info cc yg digunakan_x000a_18/03 cust lampirkan cc yg digunakan_x000a_18/03 DONE, support refund"/>
    <m/>
    <m/>
    <d v="2026-03-18T00:00:00"/>
    <x v="17"/>
  </r>
  <r>
    <s v="INC20260318614"/>
    <d v="2026-03-18T08:23:00"/>
    <s v="Email"/>
    <s v="Distribusi Lancar Jaya &lt;distribusilancarjaya@gmail.com&gt;"/>
    <s v="Jatimpark Vending Mechine"/>
    <s v="Request"/>
    <s v="QR"/>
    <x v="0"/>
    <x v="0"/>
    <x v="590"/>
    <s v="NOBU"/>
    <s v="R04"/>
    <x v="0"/>
    <s v="17/03 req masuk + support teruskan ke NOBU_x000a_26/03 DONE"/>
    <m/>
    <s v="Buka SOP 'REFUND QR NOBU'"/>
    <d v="2026-03-26T00:00:00"/>
    <x v="17"/>
  </r>
  <r>
    <s v="INC20260318615"/>
    <d v="2026-03-18T22:07:00"/>
    <s v="Email"/>
    <s v="Erwin Ramie &lt;erwin.ramie@gmail.com&gt;"/>
    <s v="MOLINA"/>
    <s v="Request"/>
    <s v="VOA"/>
    <x v="0"/>
    <x v="10"/>
    <x v="591"/>
    <s v="BRI VOA"/>
    <s v="R02"/>
    <x v="0"/>
    <s v="18/03 req masuk, cust infokan tercharge 2x_x000a_18/03 DONE, support refund"/>
    <m/>
    <m/>
    <d v="2026-03-18T00:00:00"/>
    <x v="17"/>
  </r>
  <r>
    <s v="INC20260319616"/>
    <d v="2026-03-19T02:01:00"/>
    <s v="Email"/>
    <s v="Muhammad Rivani &lt;muhrivani19@gmail.com&gt;"/>
    <s v="PT Envoiz Digital Indonesia"/>
    <s v="Issue"/>
    <s v="VA"/>
    <x v="2"/>
    <x v="2"/>
    <x v="592"/>
    <s v="BRI"/>
    <s v="R01"/>
    <x v="0"/>
    <s v="19/03 req masuk dgn melampirkan kronologis dkk_x000a_19/03 support teruskan ke merchant_x000a_26/03 merchant meminta penjelasan dr user_x000a_30/03 envoiz FU_x000a_30/03 support infokan belum ada update_x000a_30/03 support konfirm ke customer + customer konfirm + support teruskan info ke merchant_x000a_31/03 envoiz meminta bukti tagihan_x000a_31/03 support teruskan ke customer_x000a_01/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7"/>
  </r>
  <r>
    <s v="INC20260319617"/>
    <d v="2026-03-19T20:49:00"/>
    <s v="Email"/>
    <s v="Merchant Business &lt;merchant.business@nobubank.com&gt;"/>
    <s v="Digicell_x000a_"/>
    <s v="Issue"/>
    <s v="QR"/>
    <x v="2"/>
    <x v="2"/>
    <x v="593"/>
    <s v="NOBU"/>
    <s v="R01"/>
    <x v="0"/>
    <s v="19/03 req masuk_x000a_20/03 support lampirkan trx sukse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20T00:00:00"/>
    <x v="17"/>
  </r>
  <r>
    <s v="INC20260321618"/>
    <d v="2026-03-21T18:19:00"/>
    <s v="Email"/>
    <s v="Reyza Dyah Zaviera &lt;reyzaviera27@gmail.com&gt;"/>
    <s v="PT Teknologi Awan Cerah"/>
    <s v="Issue"/>
    <s v="VA"/>
    <x v="2"/>
    <x v="2"/>
    <x v="594"/>
    <s v="BRI"/>
    <s v="R01"/>
    <x v="0"/>
    <s v="21/03 req masuk dgn melampirkan kronologis dkk_x000a_21/03 support ack + teruskan ke merchant  'FW: Pengecekan Transaksi VA 7900121700075614'_x000a_22/03 merchant infokan bisa memotong settelment harian_x000a_02/04 support sarankan agar user lapor ke BC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4-02T00:00:00"/>
    <x v="17"/>
  </r>
  <r>
    <s v="INC20260322619"/>
    <d v="2026-03-22T17:11:00"/>
    <s v="Email"/>
    <s v="김규철' &lt;kkc2566111@gmail.com&gt;"/>
    <s v="MOLINA"/>
    <s v="Request"/>
    <s v="VOA"/>
    <x v="0"/>
    <x v="10"/>
    <x v="595"/>
    <s v="BRI VOA"/>
    <s v="R02"/>
    <x v="0"/>
    <s v="22/03 req refund, cust tercharge 2x_x000a_22/03 support meminta info cc yg digunakan_x000a_24/03 cust melampirkan info cc yg digunakan_x000a_24/03 support meminta info trx date_x000a_24/03 cust infokan trx date tgl 17/03_x000a_27/03 support refund"/>
    <m/>
    <m/>
    <d v="2026-03-27T00:00:00"/>
    <x v="17"/>
  </r>
  <r>
    <s v="INC20260323620"/>
    <d v="2026-03-23T10:31:00"/>
    <s v="Email"/>
    <s v="18236432040 &lt;18236432040@163.com&gt;"/>
    <s v="MOLINA"/>
    <s v="Request"/>
    <s v="VOA"/>
    <x v="0"/>
    <x v="10"/>
    <x v="596"/>
    <s v="BRI VOA"/>
    <s v="R02"/>
    <x v="0"/>
    <s v="23/03 req refund, cust tercharge 3x_x000a_23/03 support meminta info cc yg digunakan_x000a_27/03 belum ada update"/>
    <m/>
    <m/>
    <m/>
    <x v="17"/>
  </r>
  <r>
    <s v="INC20260323621"/>
    <d v="2026-03-23T17:11:00"/>
    <s v="Email"/>
    <s v="Hey! Josie &lt;josephinelee1120@gmail.com&gt;"/>
    <s v="MOLINA"/>
    <s v="Request"/>
    <s v="VOA"/>
    <x v="0"/>
    <x v="10"/>
    <x v="597"/>
    <s v="BRI VOA"/>
    <s v="R02"/>
    <x v="0"/>
    <s v="23/03 req refund, cust tercharge 2x_x000a_23/03 support meminta info cc yg digunakan_x000a_25/03 cust melampirkan info cc yg digunakan_x000a_27/03 support infokan jika trx tersebut sukses dan hanya terjadi 1x_x000a_27/03 cust infokan jika tercharge 2x_x000a_27/03 support infokan jika di screenshoot ada refund"/>
    <m/>
    <m/>
    <d v="2026-03-27T00:00:00"/>
    <x v="17"/>
  </r>
  <r>
    <s v="INC20260323622"/>
    <d v="2026-03-23T10:54:00"/>
    <s v="Email"/>
    <s v="and062025@gmail.com"/>
    <s v="MOLINA"/>
    <s v="Request"/>
    <s v="VOA"/>
    <x v="0"/>
    <x v="10"/>
    <x v="598"/>
    <s v="BRI VOA"/>
    <s v="R02"/>
    <x v="0"/>
    <s v="23/03 req refund, cust tercharge 2x_x000a_23/03 support meminta info cc yg digunakan_x000a_23/03 cust melampirkan info cc_x000a_24/03 support refund"/>
    <m/>
    <m/>
    <d v="2026-03-24T00:00:00"/>
    <x v="17"/>
  </r>
  <r>
    <s v="INC20260325623"/>
    <d v="2026-03-25T08:17:00"/>
    <s v="Email"/>
    <s v="Riccardo Tumminia &lt;ricky.tumminia@gmail.com&gt;"/>
    <s v="MOLINA"/>
    <s v="Request"/>
    <s v="VOA"/>
    <x v="0"/>
    <x v="10"/>
    <x v="599"/>
    <s v="BRI VOA"/>
    <s v="R02"/>
    <x v="0"/>
    <s v="25/03 req masuk, cust infokan tercharge 2x_x000a_25/03 support meminta info cc yg digunakan_x000a_26/03 cust melampirkan cc yg digunakan_x000a_26/03 support refund"/>
    <m/>
    <m/>
    <d v="2026-03-26T00:00:00"/>
    <x v="17"/>
  </r>
  <r>
    <s v="INC20260325624"/>
    <d v="2026-03-25T10:17:00"/>
    <s v="Email"/>
    <s v="Distribusi Lancar Jaya &lt;distribusilancarjaya@gmail.com&gt;"/>
    <s v="Jatimpark Vending Mechine"/>
    <s v="Request"/>
    <s v="QR"/>
    <x v="0"/>
    <x v="0"/>
    <x v="600"/>
    <s v="NOBU"/>
    <s v="R04"/>
    <x v="0"/>
    <s v="25/03 req masuk + support teruskan ke NOBU_x000a_27/03 DONE"/>
    <m/>
    <m/>
    <d v="2026-03-27T00:00:00"/>
    <x v="17"/>
  </r>
  <r>
    <s v="INC20260325625"/>
    <d v="2026-03-25T10:28:00"/>
    <s v="Email"/>
    <s v="Enzo Bianchi &lt;enzo74330@yahoo.fr&gt;"/>
    <s v="MOLINA"/>
    <s v="Request"/>
    <s v="VOA"/>
    <x v="0"/>
    <x v="10"/>
    <x v="588"/>
    <s v="BRI VOA"/>
    <s v="R02"/>
    <x v="0"/>
    <s v="25/03 req masuk, cust infokan tercharge 2x_x000a_25/03 support meminta info cc yg digunakan_x000a_27/03 belum ada update"/>
    <m/>
    <m/>
    <m/>
    <x v="17"/>
  </r>
  <r>
    <s v="INC20260325626"/>
    <d v="2026-03-25T11:03:00"/>
    <s v="Email"/>
    <s v="Merchant Business &lt;merchant.business@nobubank.com&gt;"/>
    <s v="PT Daya Net Gemilang"/>
    <s v="Issue"/>
    <s v="QR"/>
    <x v="2"/>
    <x v="2"/>
    <x v="601"/>
    <s v="NOBU"/>
    <s v="R01"/>
    <x v="0"/>
    <s v="25/03 req masuk_x000a_25/03 support melampirkan trx sukse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25T00:00:00"/>
    <x v="17"/>
  </r>
  <r>
    <s v="INC20260325627"/>
    <d v="2026-03-25T11:09:00"/>
    <s v="Email"/>
    <s v="marwa alameri &lt;mrawyal3amri@hotmail.com&gt;"/>
    <s v="MOLINA"/>
    <s v="Request"/>
    <s v="VOA"/>
    <x v="0"/>
    <x v="10"/>
    <x v="602"/>
    <s v="BRI VOA"/>
    <s v="R02"/>
    <x v="0"/>
    <s v="25/03 req masuk, cust infokan ingin dana dikembalikan_x000a_25/03 support meminta info cc yg digunakan_x000a_27/03 belum ada update"/>
    <m/>
    <m/>
    <m/>
    <x v="17"/>
  </r>
  <r>
    <s v="INC20260325628"/>
    <d v="2026-03-25T11:14:00"/>
    <s v="Email"/>
    <s v="Merchant Business &lt;merchant.business@nobubank.com&gt;"/>
    <s v="Dnd Cell"/>
    <s v="Issue"/>
    <s v="QR"/>
    <x v="2"/>
    <x v="2"/>
    <x v="603"/>
    <s v="NOBU"/>
    <s v="R01"/>
    <x v="0"/>
    <s v="25/03 req masuk_x000a_02/04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4-02T00:00:00"/>
    <x v="17"/>
  </r>
  <r>
    <s v="INC20260325629"/>
    <d v="2026-03-25T12:19:00"/>
    <s v="Email"/>
    <s v="Ертай Майлыгулов &lt;ertai0409@mail.ru&gt;"/>
    <s v="MOLINA"/>
    <s v="Request"/>
    <s v="VOA"/>
    <x v="0"/>
    <x v="10"/>
    <x v="604"/>
    <s v="BRI VOA"/>
    <s v="R02"/>
    <x v="0"/>
    <s v="25/03 req masuk, cust infokan ingin dana dikembalikan_x000a_25/03 support meminta info cc yg digunakan_x000a_27/03 belum ada update_x000a_10/04 cust lampirkan cc_x000a_10/04 support infokan trx valid"/>
    <m/>
    <m/>
    <d v="2026-04-10T00:00:00"/>
    <x v="17"/>
  </r>
  <r>
    <s v="INC20260325630"/>
    <d v="2026-03-25T14:37:00"/>
    <s v="Email"/>
    <s v="Merchant Business &lt;merchant.business@nobubank.com&gt;"/>
    <s v="Saver Cell"/>
    <s v="Issue"/>
    <s v="QR"/>
    <x v="2"/>
    <x v="2"/>
    <x v="605"/>
    <s v="NOBU"/>
    <s v="R01"/>
    <x v="0"/>
    <s v="25/03 req masuk_x000a_02/04 DON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4-02T00:00:00"/>
    <x v="17"/>
  </r>
  <r>
    <s v="INC20260325631"/>
    <d v="2026-03-25T14:43:00"/>
    <s v="Email"/>
    <s v="Merchant Business &lt;merchant.business@nobubank.com&gt;"/>
    <s v="Saver Cell"/>
    <s v="Issue"/>
    <s v="QR"/>
    <x v="2"/>
    <x v="2"/>
    <x v="606"/>
    <s v="NOBU"/>
    <s v="R01"/>
    <x v="0"/>
    <s v="25/03 req masuk_x000a_25/03 support melampirkan trx sukse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25T00:00:00"/>
    <x v="17"/>
  </r>
  <r>
    <s v="INC20260325632"/>
    <d v="2026-03-25T16:42:00"/>
    <s v="Email"/>
    <s v="Puneet Lamba &lt;puneetlamba02@gmail.com&gt;"/>
    <s v="MOLINA"/>
    <s v="Request"/>
    <s v="VOA"/>
    <x v="0"/>
    <x v="10"/>
    <x v="607"/>
    <s v="BRI VOA"/>
    <s v="R02"/>
    <x v="0"/>
    <s v="25/03 req masuk, cust infokan tercharge 3x_x000a_25/03 support meminta info cc yg digunakan_x000a_25/03 cust lampirkan cc_x000a_26/03 support refund"/>
    <m/>
    <m/>
    <d v="2026-03-26T00:00:00"/>
    <x v="17"/>
  </r>
  <r>
    <s v="INC20260325633"/>
    <d v="2026-03-25T19:04:00"/>
    <s v="Email"/>
    <s v="keluhan_payment@bca.co.id"/>
    <s v="PT Daya Net Gemilang"/>
    <s v="Issue"/>
    <s v="VA"/>
    <x v="2"/>
    <x v="2"/>
    <x v="608"/>
    <s v="BCA"/>
    <s v="R01"/>
    <x v="0"/>
    <s v="25/03 req masuk_x000a_25/03 support meminta kronologis dkk_x000a_27/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7"/>
  </r>
  <r>
    <s v="INC20260325634"/>
    <d v="2026-03-25T11:08:00"/>
    <s v="Email"/>
    <s v="Merchant Business &lt;merchant.business@nobubank.com&gt;"/>
    <s v="Growcell"/>
    <s v="Issue"/>
    <s v="QR"/>
    <x v="2"/>
    <x v="2"/>
    <x v="609"/>
    <s v="NOBU"/>
    <s v="R01"/>
    <x v="0"/>
    <s v="25/03 req masuk_x000a_25/03 support melampirkan trx sukse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3-25T00:00:00"/>
    <x v="17"/>
  </r>
  <r>
    <s v="INC20260325635"/>
    <d v="2026-03-25T19:49:00"/>
    <s v="Email"/>
    <s v="keluhan_payment@bca.co.id"/>
    <s v="PT Teknologi Awan Cerah"/>
    <s v="Request"/>
    <s v="VA"/>
    <x v="3"/>
    <x v="4"/>
    <x v="610"/>
    <s v="BCA"/>
    <s v="R01"/>
    <x v="0"/>
    <s v="25/03 req masuk_x000a_25/03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5T00:00:00"/>
    <x v="17"/>
  </r>
  <r>
    <s v="INC20260326636"/>
    <d v="2026-03-26T08:27:00"/>
    <s v="Email"/>
    <s v="Sunil Bhuju &lt;sunilsubha.sb@gmail.com&gt;"/>
    <s v="MOLINA"/>
    <s v="Request"/>
    <s v="VOA"/>
    <x v="0"/>
    <x v="10"/>
    <x v="611"/>
    <s v="BRI VOA"/>
    <s v="R02"/>
    <x v="0"/>
    <s v="26/03 req masuk, cust infokan tercharge 3x_x000a_26/03 support meminta info cc yg digunakan_x000a_26/03 cust lampirkan cc_x000a_26/03 support refund"/>
    <m/>
    <m/>
    <d v="2026-03-26T00:00:00"/>
    <x v="17"/>
  </r>
  <r>
    <s v="INC20260326637"/>
    <d v="2026-03-26T09:04:00"/>
    <s v="Email"/>
    <s v="kkd_ipm2@corp.bri.co.id"/>
    <s v="MOLINA"/>
    <s v="Request"/>
    <s v="VOA"/>
    <x v="1"/>
    <x v="1"/>
    <x v="612"/>
    <s v="BRI VOA"/>
    <s v="R02"/>
    <x v="0"/>
    <s v="26/03 KKD KONFIRMASI Pre-Arbitrasi _x000a_26/03 Support infokan jika terdapat request Pre-Arb dari Bank"/>
    <m/>
    <m/>
    <d v="2026-03-26T00:00:00"/>
    <x v="17"/>
  </r>
  <r>
    <s v="INC20260326638"/>
    <d v="2026-03-26T09:25:00"/>
    <s v="Email"/>
    <s v="Distribusi Lancar Jaya &lt;distribusilancarjaya@gmail.com&gt;"/>
    <s v="Jatimpark Vending Mechine"/>
    <s v="Request"/>
    <s v="QR"/>
    <x v="0"/>
    <x v="0"/>
    <x v="613"/>
    <s v="NOBU"/>
    <s v="R04"/>
    <x v="0"/>
    <s v="26/03 req masuk + support teruskan ke NOBU_x000a_30/03 DONE"/>
    <m/>
    <s v="Buka SOP 'REFUND QR NOBU'"/>
    <d v="2026-03-30T00:00:00"/>
    <x v="17"/>
  </r>
  <r>
    <s v="INC20260325639"/>
    <d v="2026-03-25T11:23:00"/>
    <s v="Email"/>
    <s v="kkd_ipm2@corp.bri.co.id"/>
    <s v="MOLINA"/>
    <s v="Request"/>
    <s v="VOA"/>
    <x v="1"/>
    <x v="1"/>
    <x v="614"/>
    <s v="BRI VOA"/>
    <s v="R02"/>
    <x v="0"/>
    <s v="25/03 KKD KONFIRMASI Pre-Arbitrasi _x000a_25/03 Support infokan jika terdapat request Pre-Arb dari Bank"/>
    <m/>
    <m/>
    <d v="2026-03-25T00:00:00"/>
    <x v="17"/>
  </r>
  <r>
    <s v="INC20260326640"/>
    <d v="2026-03-26T10:39:00"/>
    <s v="Email"/>
    <s v="kkd_ipm2@corp.bri.co.id"/>
    <s v="MOLINA"/>
    <s v="Request"/>
    <s v="CC"/>
    <x v="4"/>
    <x v="5"/>
    <x v="615"/>
    <s v="BRI VOA"/>
    <s v="R02"/>
    <x v="0"/>
    <s v="26/03 req masuk_x000a_02/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2T00:00:00"/>
    <x v="17"/>
  </r>
  <r>
    <s v="INC20260316641"/>
    <d v="2026-03-16T19:30:00"/>
    <s v="WA"/>
    <s v="-"/>
    <s v="PT Daya Net Gemilang"/>
    <s v="Request"/>
    <s v="VA"/>
    <x v="3"/>
    <x v="4"/>
    <x v="616"/>
    <s v="BCA"/>
    <s v="R01"/>
    <x v="0"/>
    <s v="16/03 dnt tanyakan 7900125000023890 // NACL1419391372_x000a_14/03 Support cek di mbase tidak ada ada, di dashboard plink tidak ada_x000a_16/03 Support infokan menunggu rekon_x000a_17/03 Info dari rekon dana tersebut tidak ada,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7T00:00:00"/>
    <x v="17"/>
  </r>
  <r>
    <s v="INC20260317642"/>
    <d v="2026-03-17T13:17:00"/>
    <s v="WA"/>
    <s v="-"/>
    <s v="PT Daya Net Gemilang"/>
    <s v="Request"/>
    <s v="VA"/>
    <x v="3"/>
    <x v="4"/>
    <x v="616"/>
    <s v="BCA"/>
    <s v="R01"/>
    <x v="0"/>
    <s v="16/03 dnt tanyakan 7900125000023890 // NACL1419391372_x000a_14/03 Support cek di mbase tidak ada ada, di dashboard plink tidak ada_x000a_16/03 Support infokan menunggu rekon_x000a_17/03 Info dari rekon dana tersebut tidak ada,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7T00:00:00"/>
    <x v="17"/>
  </r>
  <r>
    <s v="INC20260318643"/>
    <d v="2026-03-18T13:37:00"/>
    <s v="WA"/>
    <s v="-"/>
    <s v="PT Daya Net Gemilang"/>
    <s v="Request"/>
    <s v="QR"/>
    <x v="3"/>
    <x v="4"/>
    <x v="617"/>
    <s v="NOBU"/>
    <s v="R01"/>
    <x v="0"/>
    <s v="18/03 dnt tanyakan NACL1423407356 / 018162942608_x000a_18/03 Support cek db nobu ada dan db prismalink sukses_x000a_18/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8T00:00:00"/>
    <x v="17"/>
  </r>
  <r>
    <s v="INC20260318644"/>
    <d v="2026-03-18T21:15:00"/>
    <s v="WA"/>
    <s v="-"/>
    <s v="PT Daya Net Gemilang"/>
    <s v="Request"/>
    <s v="QR"/>
    <x v="3"/>
    <x v="4"/>
    <x v="618"/>
    <s v="NOBU"/>
    <s v="R01"/>
    <x v="0"/>
    <s v="18/03 dnt tanyakan ID NACL1424240335 // RRN 000314104914_x000a_18/03 Support cek db nobu ada dan db prismalink sukses_x000a_18/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8T00:00:00"/>
    <x v="17"/>
  </r>
  <r>
    <s v="INC20260318645"/>
    <d v="2026-03-18T21:51:00"/>
    <s v="WA"/>
    <s v="-"/>
    <s v="PT Daya Net Gemilang"/>
    <s v="Request"/>
    <s v="QR"/>
    <x v="3"/>
    <x v="4"/>
    <x v="619"/>
    <s v="NOBU"/>
    <s v="R01"/>
    <x v="0"/>
    <s v="18/03 dnt tanyakan NACL1424436502 // RRN 000316650626 _x000a_18/03 Support cek db nobu ada dan db prismalink sukses_x000a_18/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8T00:00:00"/>
    <x v="17"/>
  </r>
  <r>
    <s v="INC20260317646"/>
    <d v="2026-03-17T20:22:00"/>
    <s v="WA"/>
    <s v="-"/>
    <s v="PT ENVOIZ DIGITAL INDONESIA"/>
    <s v="Request"/>
    <s v="VA"/>
    <x v="3"/>
    <x v="3"/>
    <x v="620"/>
    <s v="BRI"/>
    <s v="R01"/>
    <x v="0"/>
    <s v="17/03 dnt tanyakan 4041910124989996  // NACL1420438634 _x000a_17/03 Support cek di statmen BRI ada_x000a_17/03 koordinasi dengan tim terkait untuk update status trx_x000a_17/03 Support infokan sukses"/>
    <s v="SOP #05"/>
    <s v="1. Pastikan merchant &amp; transaksi tersebut valid_x000a_2. Cek VA di apps.plink, bandingkan amount:_x000a__x0009_Amount sama → Update transaksi._x000a__x0009_Amount berbeda → Tidak bisa diupdate, informasikan ke merchant."/>
    <d v="2026-03-17T00:00:00"/>
    <x v="17"/>
  </r>
  <r>
    <s v="INC20260319647"/>
    <d v="2026-03-19T01:06:00"/>
    <s v="WA"/>
    <s v="-"/>
    <s v="PT Daya Net Gemilang"/>
    <s v="Request"/>
    <s v="QR"/>
    <x v="3"/>
    <x v="3"/>
    <x v="621"/>
    <s v="NOBU"/>
    <s v="R01"/>
    <x v="0"/>
    <s v="19/03 dnt tanyakan 018476687715_x000a_19/03 Support cek di db nobu collect mtn cari di db ada status pending, check status menjadi settld_x000a_19/03 Support infokan sukses"/>
    <s v="SOP #05"/>
    <s v="1. Pastikan merchant &amp; transaksi tersebut valid_x000a_2. Cek VA di apps.plink, bandingkan amount:_x000a__x0009_Amount sama → Update transaksi._x000a__x0009_Amount berbeda → Tidak bisa diupdate, informasikan ke merchant."/>
    <d v="2026-03-19T00:00:00"/>
    <x v="17"/>
  </r>
  <r>
    <s v="INC20260319648"/>
    <d v="2026-03-19T05:25:00"/>
    <s v="WA"/>
    <s v="-"/>
    <s v="PT Daya Net Gemilang"/>
    <s v="Request"/>
    <s v="QR"/>
    <x v="3"/>
    <x v="3"/>
    <x v="622"/>
    <s v="NOBU"/>
    <s v="R01"/>
    <x v="0"/>
    <s v="19/03 dnt tanyakan  018130462932 _x000a_19/03 Support cek di db nobu collect mtn cari di db ada status pending, check status menjadi settld_x000a_19/03 Support infokan sukses"/>
    <s v="SOP #05"/>
    <s v="1. Pastikan merchant &amp; transaksi tersebut valid_x000a_2. Cek VA di apps.plink, bandingkan amount:_x000a__x0009_Amount sama → Update transaksi._x000a__x0009_Amount berbeda → Tidak bisa diupdate, informasikan ke merchant."/>
    <d v="2026-03-19T00:00:00"/>
    <x v="17"/>
  </r>
  <r>
    <s v="INC20260319649"/>
    <d v="2026-03-19T07:54:00"/>
    <s v="WA"/>
    <s v="-"/>
    <s v="PT Daya Net Gemilang"/>
    <s v="Request"/>
    <s v="QR"/>
    <x v="3"/>
    <x v="3"/>
    <x v="623"/>
    <s v="NOBU"/>
    <s v="R01"/>
    <x v="0"/>
    <s v="19/03 DNT tanyakan NACL1425185497 RRN 603591010917_x000a_19/03 Support cek di dashboard nobu ada, di dashboard plink pending_x000a_19/03 Support infokan ke team terkait_x000a_19/03 Support infokan sukses "/>
    <s v="SOP #05"/>
    <s v="1. Pastikan merchant &amp; transaksi tersebut valid_x000a_2. Cek VA di apps.plink, bandingkan amount:_x000a__x0009_Amount sama → Update transaksi._x000a__x0009_Amount berbeda → Tidak bisa diupdate, informasikan ke merchant."/>
    <d v="2026-03-19T00:00:00"/>
    <x v="17"/>
  </r>
  <r>
    <s v="INC20260319650"/>
    <d v="2026-03-19T08:27:00"/>
    <s v="WA"/>
    <s v="-"/>
    <s v="PT Daya Net Gemilang"/>
    <s v="Request"/>
    <s v="QR"/>
    <x v="3"/>
    <x v="3"/>
    <x v="624"/>
    <s v="NOBU"/>
    <s v="R01"/>
    <x v="0"/>
    <s v="19/03 DNT tanyakanNACL1424485309 RRN 000000R2QY0C _x000a_19/03 Support cek di dashboard nobu ada, di dashboard plink pending_x000a_19/03 Support infokan ke team terkait_x000a_19/03 Support infokan sukses "/>
    <s v="SOP #05"/>
    <s v="1. Pastikan merchant &amp; transaksi tersebut valid_x000a_2. Cek VA di apps.plink, bandingkan amount:_x000a__x0009_Amount sama → Update transaksi._x000a__x0009_Amount berbeda → Tidak bisa diupdate, informasikan ke merchant."/>
    <d v="2026-03-19T00:00:00"/>
    <x v="17"/>
  </r>
  <r>
    <s v="INC20260319651"/>
    <d v="2026-03-19T15:41:00"/>
    <s v="WA"/>
    <s v="-"/>
    <s v="PT Daya Net Gemilang"/>
    <s v="Request"/>
    <s v="QR"/>
    <x v="3"/>
    <x v="4"/>
    <x v="625"/>
    <s v="NOBU"/>
    <s v="R01"/>
    <x v="0"/>
    <s v="19/03 DNT tanyakan NACL1423618331 / 000000R1HDG6_x000a_19/03 Support cek di dashboard nobu ada, di dashboard plink sukses_x000a_19/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9T00:00:00"/>
    <x v="17"/>
  </r>
  <r>
    <s v="INC20260319652"/>
    <d v="2026-03-19T21:41:00"/>
    <s v="WA"/>
    <s v="-"/>
    <s v="PT Daya Net Gemilang"/>
    <s v="Request"/>
    <s v="QR"/>
    <x v="3"/>
    <x v="4"/>
    <x v="626"/>
    <s v="NOBU"/>
    <s v="R01"/>
    <x v="0"/>
    <s v="19/03 DNT tanyakan NACL1426837348 / 0000341471982_x000a_19/03 Support cek di dashboard nobu ada, di dashboard plink sukses_x000a_19/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19T00:00:00"/>
    <x v="17"/>
  </r>
  <r>
    <s v="INC20260320653"/>
    <d v="2026-03-20T07:43:00"/>
    <s v="WA"/>
    <s v="-"/>
    <s v="PT Daya Net Gemilang"/>
    <s v="Request"/>
    <s v="QR"/>
    <x v="3"/>
    <x v="3"/>
    <x v="627"/>
    <s v="NOBU"/>
    <s v="R01"/>
    <x v="0"/>
    <s v="20/03 dnt tanyakan  359910915622 // NACL1427268983  _x000a_20/03 Support cek di db nobu collect mtn cari di db ada status pending, check status menjadi settld_x000a_20/03 Support infokan sukses"/>
    <s v="SOP #05"/>
    <s v="1. Pastikan merchant &amp; transaksi tersebut valid_x000a_2. Cek VA di apps.plink, bandingkan amount:_x000a__x0009_Amount sama → Update transaksi._x000a__x0009_Amount berbeda → Tidak bisa diupdate, informasikan ke merchant."/>
    <d v="2026-03-20T00:00:00"/>
    <x v="17"/>
  </r>
  <r>
    <s v="INC20260320654"/>
    <d v="2026-03-20T07:59:00"/>
    <s v="WA"/>
    <s v="-"/>
    <s v="PT Daya Net Gemilang"/>
    <s v="Request"/>
    <s v="QR"/>
    <x v="3"/>
    <x v="3"/>
    <x v="628"/>
    <s v="NOBU"/>
    <s v="R01"/>
    <x v="0"/>
    <s v="20/03 dnt tanyakan  018358850083_x000a_20/03 Support cek di db nobu collect mtn cari di db ada status pending, check status menjadi settld_x000a_20/03 Support infokan sukses"/>
    <s v="SOP #05"/>
    <s v="1. Pastikan merchant &amp; transaksi tersebut valid_x000a_2. Cek VA di apps.plink, bandingkan amount:_x000a__x0009_Amount sama → Update transaksi._x000a__x0009_Amount berbeda → Tidak bisa diupdate, informasikan ke merchant."/>
    <d v="2026-03-20T00:00:00"/>
    <x v="17"/>
  </r>
  <r>
    <s v="INC20260320655"/>
    <d v="2026-03-20T09:02:00"/>
    <s v="WA"/>
    <s v="-"/>
    <s v="PT Daya Net Gemilang"/>
    <s v="Request"/>
    <s v="QR"/>
    <x v="3"/>
    <x v="3"/>
    <x v="629"/>
    <s v="NOBU"/>
    <s v="R01"/>
    <x v="0"/>
    <s v="20/03 dnt tanyakan  346410723_x000a_20/03 Support cek di db nobu collect mtn cari di db ada status pending, check status menjadi settld_x000a_20/03 Support infokan sukses"/>
    <s v="SOP #05"/>
    <s v="1. Pastikan merchant &amp; transaksi tersebut valid_x000a_2. Cek VA di apps.plink, bandingkan amount:_x000a__x0009_Amount sama → Update transaksi._x000a__x0009_Amount berbeda → Tidak bisa diupdate, informasikan ke merchant."/>
    <d v="2026-03-20T00:00:00"/>
    <x v="17"/>
  </r>
  <r>
    <s v="INC20260320656"/>
    <d v="2026-03-20T11:08:00"/>
    <s v="WA"/>
    <s v="-"/>
    <s v="PT Daya Net Gemilang"/>
    <s v="Request"/>
    <s v="QR"/>
    <x v="3"/>
    <x v="3"/>
    <x v="630"/>
    <s v="NOBU"/>
    <s v="R01"/>
    <x v="0"/>
    <s v="20/03 DNT tanyakan NACL1427294665 RRN 1mr6n5c35159_x000a_20/03 Support cek di dashboard nobu ada, di dashboard plink cancel_x000a_20/03 Support infokan ke team terkait dan lakukan cek status menjadi setl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57"/>
    <d v="2026-03-20T11:09:00"/>
    <s v="WA"/>
    <s v="-"/>
    <s v="PT Daya Net Gemilang"/>
    <s v="Request"/>
    <s v="QR"/>
    <x v="3"/>
    <x v="3"/>
    <x v="631"/>
    <s v="NOBU"/>
    <s v="R01"/>
    <x v="0"/>
    <s v="20/03 DNT tanyakanNACL1427294524 RRN 018333337939_x000a_20/03 Support cek di dashboard nobu ada, di dashboard plink cancel_x000a_20/03 Support infokan ke team terkait dan lakukan cek status menjadi setl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58"/>
    <d v="2026-03-20T11:09:00"/>
    <s v="WA"/>
    <s v="-"/>
    <s v="PT Daya Net Gemilang"/>
    <s v="Request"/>
    <s v="QR"/>
    <x v="3"/>
    <x v="3"/>
    <x v="632"/>
    <s v="NOBU"/>
    <s v="R01"/>
    <x v="0"/>
    <s v="20/03 DNT tanyakan_x000a_NACL1427294117 RRN 000000R6CDJF_x000a_20/03 Support cek di dashboard nobu ada, di dashboard plink cancel_x000a_20/03 Support infokan ke team terkait dan lakukan cek status menjadi setl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59"/>
    <d v="2026-03-20T13:20:00"/>
    <s v="WA"/>
    <s v="-"/>
    <s v="PT Daya Net Gemilang"/>
    <s v="Request"/>
    <s v="QR"/>
    <x v="3"/>
    <x v="3"/>
    <x v="633"/>
    <s v="NOBU"/>
    <s v="R01"/>
    <x v="0"/>
    <s v="20/03 DNT tanyakan_x000a_NACL1427142102 RRN 000345004624_x000a_20/03 Support cek di dashboard nobu ada, di dashboard plink cancel_x000a_20/03 Support infokan ke team terkait dan lakukan cek status menjadi setld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60"/>
    <d v="2026-03-20T13:52:00"/>
    <s v="WA"/>
    <s v="-"/>
    <s v="PT Daya Net Gemilang"/>
    <s v="Request"/>
    <s v="QR"/>
    <x v="3"/>
    <x v="3"/>
    <x v="634"/>
    <s v="NOBU"/>
    <s v="R01"/>
    <x v="0"/>
    <s v="20/03 DNT tanyakan_x000a_NACL1424327115 RRN/No Ref JQI575514570_x000a_20/03 Support cek di dashboard nobu ada, di dashboard plink cancel_x000a_20/03 Support infokan ke team terkait dan lakukan cek status menjadi setld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61"/>
    <d v="2026-03-20T14:42:00"/>
    <s v="WA"/>
    <s v="-"/>
    <s v="PT Daya Net Gemilang"/>
    <s v="Request"/>
    <s v="QR"/>
    <x v="3"/>
    <x v="3"/>
    <x v="635"/>
    <s v="NOBU"/>
    <s v="R01"/>
    <x v="0"/>
    <s v="20/03 DNT tanyakan_x000a_NACL1427001732 RRN 603597289429_x000a_20/03 Support cek di dashboard nobu ada, di dashboard plink cancel_x000a_20/03 Support infokan ke team terkait dan lakukan cek status menjadi setld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62"/>
    <d v="2026-03-20T14:45:00"/>
    <s v="WA"/>
    <s v="-"/>
    <s v="PT Daya Net Gemilang"/>
    <s v="Request"/>
    <s v="QR"/>
    <x v="3"/>
    <x v="3"/>
    <x v="636"/>
    <s v="NOBU"/>
    <s v="R01"/>
    <x v="0"/>
    <s v="20/03 DNT tanyakan_x000a_NACL1426630152 RRN 603596782416_x000a_20/03 Support cek di dashboard nobu ada, di dashboard plink cancel_x000a_20/03 Support infokan ke team terkait dan lakukan cek status menjadi setld_x000a_20/03 Support infokan sukses "/>
    <s v="SOP #05"/>
    <s v="1. Pastikan merchant &amp; transaksi tersebut valid_x000a_2. Cek VA di apps.plink, bandingkan amount:_x000a__x0009_Amount sama → Update transaksi._x000a__x0009_Amount berbeda → Tidak bisa diupdate, informasikan ke merchant."/>
    <d v="2026-03-20T00:00:00"/>
    <x v="17"/>
  </r>
  <r>
    <s v="INC20260320663"/>
    <d v="2026-03-20T21:04:00"/>
    <s v="WA"/>
    <s v="-"/>
    <s v="PT Daya Net Gemilang"/>
    <s v="Request"/>
    <s v="QR"/>
    <x v="3"/>
    <x v="3"/>
    <x v="637"/>
    <s v="NOBU"/>
    <s v="R01"/>
    <x v="0"/>
    <s v="20/03 DNT tanyakan_x000a_NACL1421276008_x000a_NACL1423384005_x000a_NACL1424358984_x000a_NACL1425189466_x000a_NACL1425192007_x000a_NACL1427345268_x000a_NACL1427346879_x000a_NACL1427348094_x000a_NACL1427348107_x000a_NACL1427348513_x000a_20/03 Support cek di dashboard nobu ada, di dashboard plink check stts sttld"/>
    <s v="SOP #05"/>
    <s v="1. Pastikan merchant &amp; transaksi tersebut valid_x000a_2. Cek VA di apps.plink, bandingkan amount:_x000a__x0009_Amount sama → Update transaksi._x000a__x0009_Amount berbeda → Tidak bisa diupdate, informasikan ke merchant."/>
    <d v="2026-03-20T00:00:00"/>
    <x v="17"/>
  </r>
  <r>
    <s v="INC20260320664"/>
    <d v="2026-03-20T21:04:00"/>
    <s v="WA"/>
    <s v="-"/>
    <s v="PT Daya Net Gemilang"/>
    <s v="Request"/>
    <s v="QR"/>
    <x v="3"/>
    <x v="4"/>
    <x v="638"/>
    <s v="NOBU"/>
    <s v="R01"/>
    <x v="0"/>
    <s v="20/03 DNT tanyakan 018381511293_x000a_20/03 Support up ke nobu dan info dari nobu RC68"/>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0T00:00:00"/>
    <x v="17"/>
  </r>
  <r>
    <s v="INC20260320665"/>
    <d v="2026-03-20T19:25:00"/>
    <s v="WA"/>
    <s v="-"/>
    <s v="Tripay"/>
    <s v="Request"/>
    <s v="VA"/>
    <x v="3"/>
    <x v="3"/>
    <x v="639"/>
    <s v="MANDIRI"/>
    <s v="R01"/>
    <x v="0"/>
    <s v="20/03 Tripay tanyakan  8903910117916006_x000a_20/03 Support cek di plink sttled namun db cancel_x000a_20/03 Support up untuk update_x000a_20/03 update sukses"/>
    <s v="SOP #05"/>
    <s v="1. Pastikan merchant &amp; transaksi tersebut valid_x000a_2. Cek VA di apps.plink, bandingkan amount:_x000a__x0009_Amount sama → Update transaksi._x000a__x0009_Amount berbeda → Tidak bisa diupdate, informasikan ke merchant."/>
    <d v="2026-03-20T00:00:00"/>
    <x v="17"/>
  </r>
  <r>
    <s v="INC20260322666"/>
    <d v="2026-03-22T14:43:00"/>
    <s v="WA"/>
    <s v="-"/>
    <s v="Tripay"/>
    <s v="Request"/>
    <s v="VA"/>
    <x v="3"/>
    <x v="3"/>
    <x v="640"/>
    <s v="BRI"/>
    <s v="R01"/>
    <x v="0"/>
    <s v="20/03 Tripay tanyakan  4041910117980762_x000a_20/03 Support cek di plink pending_x000a_20/03 Support up untuk update_x000a_20/03 update sukses"/>
    <s v="SOP #05"/>
    <s v="1. Pastikan merchant &amp; transaksi tersebut valid_x000a_2. Cek VA di apps.plink, bandingkan amount:_x000a__x0009_Amount sama → Update transaksi._x000a__x0009_Amount berbeda → Tidak bisa diupdate, informasikan ke merchant."/>
    <d v="2026-03-20T00:00:00"/>
    <x v="17"/>
  </r>
  <r>
    <s v="INC20260322667"/>
    <d v="2026-03-22T12:46:00"/>
    <s v="WA"/>
    <s v="-"/>
    <s v="PT Hotel Murah Travelindo"/>
    <s v="Request"/>
    <s v="QR"/>
    <x v="3"/>
    <x v="4"/>
    <x v="641"/>
    <s v="NOBU"/>
    <s v="R01"/>
    <x v="0"/>
    <s v="22/03 Hotelmurah tanyakan P88595369 dengan RRN  018273003799_x000a_22/03 Support cek di dashboard nobu ada, di dashboard plink cancel_x000a_22/03 Support infokan ke team terkait_x000a_22/03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2T00:00:00"/>
    <x v="17"/>
  </r>
  <r>
    <s v="INC20260322668"/>
    <d v="2026-03-22T23:13:00"/>
    <s v="WA"/>
    <s v="-"/>
    <s v="PT Kreasi Kode Kreatif"/>
    <s v="Request"/>
    <s v="VA"/>
    <x v="3"/>
    <x v="4"/>
    <x v="642"/>
    <s v="BCA"/>
    <s v="R01"/>
    <x v="0"/>
    <s v="22/03 Kvoucher tanyakan  7900119200675422_x000a_22/03 Support cek di plink rejected_x000a_22/03 Support up untuk cek log_x000a_22/03 Support infokan gagal karena beda nomin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2T00:00:00"/>
    <x v="17"/>
  </r>
  <r>
    <s v="INC20260322669"/>
    <d v="2026-03-22T12:46:00"/>
    <s v="WA"/>
    <s v="-"/>
    <s v="PT Hotel Murah Travelindo"/>
    <s v="Request"/>
    <s v="QR"/>
    <x v="3"/>
    <x v="4"/>
    <x v="643"/>
    <s v="NOBU"/>
    <s v="R01"/>
    <x v="0"/>
    <s v="22/03 Hotel murah tanyakan  P88595369 dengan RRN  018273003799  _x000a_22/03 Support cek di dashboard nobu ada_x000a_22/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2T00:00:00"/>
    <x v="17"/>
  </r>
  <r>
    <s v="INC20260322670"/>
    <d v="2026-03-22T14:07:00"/>
    <s v="WA"/>
    <s v="-"/>
    <s v="PT Teknologi Awan Cerah"/>
    <s v="Request"/>
    <s v="QR"/>
    <x v="3"/>
    <x v="4"/>
    <x v="644"/>
    <s v="BCA"/>
    <s v="R01"/>
    <x v="0"/>
    <s v="22/03 Nobecul tanyakan  7900121700014860_x000a_22/03 Support cek di plink rejected_x000a_22/03 Support up untuk cek log_x000a_22/03 Support infokan gagal karena beda nomin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2T00:00:00"/>
    <x v="17"/>
  </r>
  <r>
    <s v="INC20260323671"/>
    <d v="2026-03-23T15:31:00"/>
    <s v="WA"/>
    <s v="-"/>
    <s v="PT Daya Net Gemilang"/>
    <s v="Request"/>
    <s v="QR"/>
    <x v="3"/>
    <x v="4"/>
    <x v="645"/>
    <s v="BCA"/>
    <s v="R01"/>
    <x v="0"/>
    <s v="23/03 dnt tanyakan  420460567_x000a_23/03 info nobu rc68_x000a_23/03 Support infokan Rc68"/>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3T00:00:00"/>
    <x v="17"/>
  </r>
  <r>
    <s v="INC20260323672"/>
    <d v="2026-03-23T15:31:00"/>
    <s v="WA"/>
    <s v="-"/>
    <s v="PT Daya Net Gemilang"/>
    <s v="Request"/>
    <s v="QR"/>
    <x v="3"/>
    <x v="4"/>
    <x v="646"/>
    <s v="BCA"/>
    <s v="R01"/>
    <x v="0"/>
    <s v="23/03 dnt tanyakan  000000R68JZ3_x000a_23/03 info nobu rc68_x000a_23/03 Support infokan Rc68"/>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3T00:00:00"/>
    <x v="17"/>
  </r>
  <r>
    <s v="INC20260323673"/>
    <d v="2026-03-23T15:31:00"/>
    <s v="WA"/>
    <s v="-"/>
    <s v="PT Daya Net Gemilang"/>
    <s v="Request"/>
    <s v="QR"/>
    <x v="3"/>
    <x v="4"/>
    <x v="638"/>
    <s v="BCA"/>
    <s v="R01"/>
    <x v="0"/>
    <s v="23/03 dnt tanyakan  018167389919_x000a_23/03 info nobu rc68_x000a_23/03 Support infokan Rc68"/>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3036-02-23T00:00:00"/>
    <x v="17"/>
  </r>
  <r>
    <s v="INC20260323674"/>
    <d v="2026-03-23T15:31:00"/>
    <s v="WA"/>
    <s v="-"/>
    <s v="PT Daya Net Gemilang"/>
    <s v="Request"/>
    <s v="QR"/>
    <x v="3"/>
    <x v="4"/>
    <x v="647"/>
    <s v="NOBU"/>
    <s v="R01"/>
    <x v="0"/>
    <s v="23/03 dnt tanyakan  018381511293 _x000a_23/03 info nobu trx gagal_x000a_23/03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3036-02-23T00:00:00"/>
    <x v="17"/>
  </r>
  <r>
    <s v="INC20260323675"/>
    <d v="2026-03-23T17:44:00"/>
    <s v="WA"/>
    <s v="-"/>
    <s v="PT Daya Net Gemilang"/>
    <s v="Request"/>
    <s v="QR"/>
    <x v="3"/>
    <x v="3"/>
    <x v="648"/>
    <s v="NOBU"/>
    <s v="R01"/>
    <x v="0"/>
    <s v="23/03 dnt tanyakan  RRN: 018424502593_x000a_23/03 Support cek di db nobu collect mtn cari di db ada status pending, check status menjadi settld_x000a_23/03 Support infokan sukses"/>
    <s v="SOP #05"/>
    <s v="1. Pastikan merchant &amp; transaksi tersebut valid_x000a_2. Cek VA di apps.plink, bandingkan amount:_x000a__x0009_Amount sama → Update transaksi._x000a__x0009_Amount berbeda → Tidak bisa diupdate, informasikan ke merchant."/>
    <d v="3036-02-23T00:00:00"/>
    <x v="17"/>
  </r>
  <r>
    <s v="INC20260323676"/>
    <d v="2026-03-23T22:20:00"/>
    <s v="WA"/>
    <s v="-"/>
    <s v="PT Daya Net Gemilang"/>
    <s v="Request"/>
    <s v="QR"/>
    <x v="3"/>
    <x v="3"/>
    <x v="648"/>
    <s v="NOBU"/>
    <s v="R01"/>
    <x v="0"/>
    <s v="23/03 dnt tanyakan  RRN: 018424502593_x000a_23/03 Support cek di db nobu collect mtn cari di db ada status pending, check status menjadi settld_x000a_23/03 Support infokan sukses"/>
    <s v="SOP #08"/>
    <s v="1. Pastikan merchant &amp; transaksi tersebut valid_x000a_2. Cek QR di dashboard NOBU/BNC_x000a_3. Hit button check-status di dashboard.plink.co.id"/>
    <d v="2026-03-23T00:00:00"/>
    <x v="17"/>
  </r>
  <r>
    <s v="INC20260324677"/>
    <d v="2026-03-24T04:00:00"/>
    <s v="WA"/>
    <s v="-"/>
    <s v="PT Daya Net Gemilang"/>
    <s v="Request"/>
    <s v="VA"/>
    <x v="3"/>
    <x v="4"/>
    <x v="649"/>
    <s v="BCA"/>
    <s v="R01"/>
    <x v="0"/>
    <s v="24/03 Kvoucher tanyakan 7900119200662830_x000a_24/03 Support cekoperator rejectd_x000a_24/03 Support infokan failed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4T00:00:00"/>
    <x v="17"/>
  </r>
  <r>
    <s v="INC20260324678"/>
    <d v="2026-03-24T07:38:00"/>
    <s v="WA"/>
    <s v="-"/>
    <s v="Saku Laundry"/>
    <s v="Request"/>
    <s v="QR"/>
    <x v="3"/>
    <x v="4"/>
    <x v="650"/>
    <s v="BCA"/>
    <s v="R01"/>
    <x v="0"/>
    <s v="24/03 Kvoucher tanyakan 7900119200662830_x000a_24/03 Support cekoperator rejectd_x000a_24/03 Support infokan failed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4T00:00:00"/>
    <x v="17"/>
  </r>
  <r>
    <s v="INC20260324679"/>
    <d v="2026-03-24T14:01:00"/>
    <s v="WA"/>
    <s v="-"/>
    <s v="PT Daya Net Gemilang"/>
    <s v="Request"/>
    <s v="QR"/>
    <x v="3"/>
    <x v="3"/>
    <x v="651"/>
    <s v="NOBU"/>
    <s v="R01"/>
    <x v="0"/>
    <s v="24/03 DNT  tanyakan status tranasaksinya_x000a_INTERNALCELL_x000a_RRN 438689490 // ID NACL1434388282_x000a_SITRACELL _x000a_NACL1428346146_x000a_INTEGRACELL_x000a_NACL1431750502_x000a_NACL1432135977_x000a_Growcell_x000a_NACL1433767104_x000a_DND CEll_x000a_NACL1431987531_x000a_NACL1432655103_x000a_NACL1432654628_x000a_NACL1432653587_x000a_NACL1432621337_x000a_24/03 Support cek di dashboard stts nya cancel_x000a_24/03 Support cek status berubah setld, infokan sukses"/>
    <s v="SOP #08"/>
    <s v="1. Pastikan merchant &amp; transaksi tersebut valid_x000a_2. Cek QR di dashboard NOBU/BNC_x000a_3. Hit button check-status di dashboard.plink.co.id"/>
    <d v="2026-03-24T00:00:00"/>
    <x v="17"/>
  </r>
  <r>
    <s v="INC20260324680"/>
    <d v="2026-03-24T15:23:00"/>
    <s v="WA"/>
    <s v="-"/>
    <s v="PT Daya Net Gemilang"/>
    <s v="Request"/>
    <s v="QR"/>
    <x v="3"/>
    <x v="3"/>
    <x v="652"/>
    <s v="NOBU"/>
    <s v="R01"/>
    <x v="0"/>
    <s v="24/03 dnt tanyakan  RRN: 018467618945 _x000a_24/03 Support cek di db nobu collect mtn cari di db ada status pending, check status menjadi settld_x000a_24/03 Support infokan sukses"/>
    <s v="SOP #08"/>
    <s v="1. Pastikan merchant &amp; transaksi tersebut valid_x000a_2. Cek QR di dashboard NOBU/BNC_x000a_3. Hit button check-status di dashboard.plink.co.id"/>
    <d v="2026-03-24T00:00:00"/>
    <x v="17"/>
  </r>
  <r>
    <s v="INC20260324681"/>
    <d v="2026-03-24T15:40:00"/>
    <s v="WA"/>
    <s v="-"/>
    <s v="PT Daya Net Gemilang"/>
    <s v="Request"/>
    <s v="VA"/>
    <x v="3"/>
    <x v="4"/>
    <x v="653"/>
    <s v="BCA"/>
    <s v="R01"/>
    <x v="0"/>
    <s v="24/03 dnt tanyakan  7900125000052304  _x000a_24/03 Support cek di db dan mbase tidak ada_x000a_24/03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4T00:00:00"/>
    <x v="17"/>
  </r>
  <r>
    <s v="INC20260324682"/>
    <d v="2026-03-24T19:20:00"/>
    <s v="WA"/>
    <s v="-"/>
    <s v="PT Daya Net Gemilang"/>
    <s v="Request"/>
    <s v="QR"/>
    <x v="3"/>
    <x v="3"/>
    <x v="654"/>
    <s v="NOBU"/>
    <s v="R01"/>
    <x v="0"/>
    <s v="24/03 dnt tanyakan  RRN: 018384772839 _x000a_24/03 Support cek di db nobu collect mtn cari di db ada status pending, check status menjadi settld_x000a_24/03 Support infokan sukses"/>
    <s v="SOP #08"/>
    <s v="1. Pastikan merchant &amp; transaksi tersebut valid_x000a_2. Cek QR di dashboard NOBU/BNC_x000a_3. Hit button check-status di dashboard.plink.co.id"/>
    <d v="2026-03-24T00:00:00"/>
    <x v="17"/>
  </r>
  <r>
    <s v="INC20260324683"/>
    <d v="2026-03-24T19:20:00"/>
    <s v="WA"/>
    <s v="-"/>
    <s v="PT Daya Net Gemilang"/>
    <s v="Request"/>
    <s v="QR"/>
    <x v="3"/>
    <x v="3"/>
    <x v="654"/>
    <s v="NOBU"/>
    <s v="R01"/>
    <x v="0"/>
    <s v="24/03 dnt tanyakan  RRN: 018384772839 _x000a_24/03 Support cek di db nobu collect mtn cari di db ada status pending, check status menjadi settld_x000a_24/03 Support infokan sukses"/>
    <s v="SOP #08"/>
    <s v="1. Pastikan merchant &amp; transaksi tersebut valid_x000a_2. Cek QR di dashboard NOBU/BNC_x000a_3. Hit button check-status di dashboard.plink.co.id"/>
    <d v="2026-03-24T00:00:00"/>
    <x v="17"/>
  </r>
  <r>
    <s v="INC20260324684"/>
    <d v="2026-03-24T22:13:00"/>
    <s v="WA"/>
    <s v="-"/>
    <s v="PT Daya Net Gemilang"/>
    <s v="Request"/>
    <s v="QR"/>
    <x v="3"/>
    <x v="3"/>
    <x v="655"/>
    <s v="NOBU"/>
    <s v="R01"/>
    <x v="0"/>
    <s v="24/03 dnt tanyakan  RRN: RRN: 603647887494 _x000a_24/03 Support cek di db nobu collect mtn cari di db ada status pending, check status menjadi settld_x000a_24/03 Support infokan sukses"/>
    <s v="SOP #08"/>
    <s v="1. Pastikan merchant &amp; transaksi tersebut valid_x000a_2. Cek QR di dashboard NOBU/BNC_x000a_3. Hit button check-status di dashboard.plink.co.id"/>
    <d v="2026-03-24T00:00:00"/>
    <x v="17"/>
  </r>
  <r>
    <s v="INC20260325685"/>
    <d v="2026-03-25T00:20:00"/>
    <s v="WA"/>
    <s v="-"/>
    <s v="PT Daya Net Gemilang"/>
    <s v="Request"/>
    <s v="QR"/>
    <x v="3"/>
    <x v="3"/>
    <x v="656"/>
    <s v="NOBU"/>
    <s v="R01"/>
    <x v="0"/>
    <s v="25/03 Dnt tanyakan NACL1435771579 /  018284786001  _x000a_25/03 Support cek di db nobu collect mtn cari di db ada status pending, check status menjadi settld_x000a_25/03 Support infokan sukses dan ajarkan tata cara nya "/>
    <s v="SOP #08"/>
    <s v="1. Pastikan merchant &amp; transaksi tersebut valid_x000a_2. Cek QR di dashboard NOBU/BNC_x000a_3. Hit button check-status di dashboard.plink.co.id"/>
    <d v="2026-03-25T00:00:00"/>
    <x v="17"/>
  </r>
  <r>
    <s v="INC20260325686"/>
    <d v="2026-03-25T17:55:00"/>
    <s v="WA"/>
    <s v="-"/>
    <s v="PT Daya Net Gemilang"/>
    <s v="Request"/>
    <s v="QR"/>
    <x v="3"/>
    <x v="3"/>
    <x v="657"/>
    <s v="NOBU"/>
    <s v="R01"/>
    <x v="0"/>
    <s v="25/03 Dnt tanyakan ID NACL1436212771 // dengan RRN 603651408953_x000a_25/03 Support cek di db nobu collect mtn cari di db ada status cancel, check status menjadi settld_x000a_25/03 Support infokan sukses dan ajarkan tata cara nya "/>
    <s v="SOP #08"/>
    <s v="1. Pastikan merchant &amp; transaksi tersebut valid_x000a_2. Cek QR di dashboard NOBU/BNC_x000a_3. Hit button check-status di dashboard.plink.co.id"/>
    <d v="2026-03-25T00:00:00"/>
    <x v="17"/>
  </r>
  <r>
    <s v="INC20260325687"/>
    <d v="2026-03-25T18:18:00"/>
    <s v="WA"/>
    <s v="-"/>
    <s v="PT Daya Net Gemilang"/>
    <s v="Request"/>
    <s v="QR"/>
    <x v="3"/>
    <x v="3"/>
    <x v="658"/>
    <s v="NOBU"/>
    <s v="R01"/>
    <x v="0"/>
    <s v="25/03 Dnt tanyakan NACL1435652848_x000a_NACL1435570506_x000a_NACL1435613598_x000a_25/03 Support cek di db nobu collect mtn cari di db ada status cancel, check status menjadi settld_x000a_25/03 Support infokan sukses dan ajarkan tata cara nya "/>
    <s v="SOP #08"/>
    <s v="1. Pastikan merchant &amp; transaksi tersebut valid_x000a_2. Cek QR di dashboard NOBU/BNC_x000a_3. Hit button check-status di dashboard.plink.co.id"/>
    <d v="2026-03-25T00:00:00"/>
    <x v="17"/>
  </r>
  <r>
    <s v="INC20260325688"/>
    <d v="2026-03-25T18:24:00"/>
    <s v="WA"/>
    <s v="-"/>
    <s v="PT Daya Net Gemilang"/>
    <s v="Request"/>
    <s v="QR"/>
    <x v="3"/>
    <x v="3"/>
    <x v="659"/>
    <s v="NOBU"/>
    <s v="R01"/>
    <x v="0"/>
    <s v="25/03 Dnt tanyakan NACL1434364483_x000a_25/03 Support cek di db nobu collect mtn cari di db ada status cancel, check status menjadi settld_x000a_25/03 Support infokan sukses dan ajarkan tata cara nya "/>
    <s v="SOP #08"/>
    <s v="1. Pastikan merchant &amp; transaksi tersebut valid_x000a_2. Cek QR di dashboard NOBU/BNC_x000a_3. Hit button check-status di dashboard.plink.co.id"/>
    <d v="2026-03-25T00:00:00"/>
    <x v="17"/>
  </r>
  <r>
    <s v="INC20260325689"/>
    <d v="2026-03-25T16:45:00"/>
    <s v="WA"/>
    <s v="-"/>
    <s v="PT Teknologi Awan Cerah"/>
    <s v="Request"/>
    <s v="VA"/>
    <x v="3"/>
    <x v="3"/>
    <x v="660"/>
    <s v="BCA"/>
    <s v="R01"/>
    <x v="0"/>
    <s v="25/03 Nobecul  tanyakan trx 7900121700018278   _x000a_25/03 Support cek di db dan mbase pending_x000a_25/03 Support koordinasi dengan tim terkait untuk update statusnya, infokan sukses"/>
    <s v="SOP #05"/>
    <s v="1. Pastikan merchant &amp; transaksi tersebut valid_x000a_2. Cek VA di apps.plink, bandingkan amount:_x000a__x0009_Amount sama → Update transaksi._x000a__x0009_Amount berbeda → Tidak bisa diupdate, informasikan ke merchant."/>
    <d v="2026-03-25T00:00:00"/>
    <x v="17"/>
  </r>
  <r>
    <s v="INC20260325690"/>
    <d v="2026-03-25T21:54:00"/>
    <s v="WA"/>
    <s v="-"/>
    <s v="PT Kreasi Kode Kreatif"/>
    <s v="Request"/>
    <s v="VA"/>
    <x v="3"/>
    <x v="3"/>
    <x v="661"/>
    <s v="BCA"/>
    <s v="R01"/>
    <x v="0"/>
    <s v="25/03 K Voucher  tanyakan trx _x000a_2026030840100954245_x0009__x000a_7900119200604854_x0009__x000a_2026030840100969636_x0009__x000a_7900119200605302_x0009__x000a_2026030840100969583_x0009__x000a_7900119200605301   _x000a_25/03 Support cek di db dan mbase tidak ada namun di agregator ada_x000a_25/03 Support koordinasi dengan tim terkait untuk update statusnya"/>
    <s v="SOP #05"/>
    <s v="1. Pastikan merchant &amp; transaksi tersebut valid_x000a_2. Cek VA di apps.plink, bandingkan amount:_x000a__x0009_Amount sama → Update transaksi._x000a__x0009_Amount berbeda → Tidak bisa diupdate, informasikan ke merchant."/>
    <d v="2026-03-25T00:00:00"/>
    <x v="17"/>
  </r>
  <r>
    <s v="INC20260326691"/>
    <d v="2026-03-26T04:06:00"/>
    <s v="WA"/>
    <s v="-"/>
    <s v="PT Daya Net Gemilang"/>
    <s v="Request"/>
    <s v="QR"/>
    <x v="3"/>
    <x v="3"/>
    <x v="662"/>
    <s v="NOBU"/>
    <s v="R01"/>
    <x v="0"/>
    <s v="26/03 dnt tanyakan  RRN: RRN: 115175846558 _x000a_26/03 Support cek di db nobu collect mtn cari di db ada status pending, check status menjadi settld_x000a_26/03 Support infokan sukses"/>
    <s v="SOP #08"/>
    <s v="1. Pastikan merchant &amp; transaksi tersebut valid_x000a_2. Cek QR di dashboard NOBU/BNC_x000a_3. Hit button check-status di dashboard.plink.co.id"/>
    <d v="2026-03-26T00:00:00"/>
    <x v="17"/>
  </r>
  <r>
    <s v="INC20260326692"/>
    <d v="2026-03-26T14:30:00"/>
    <s v="Email"/>
    <s v="Koketso Macheru &lt;koketsomacheru25@gmail.com&gt;"/>
    <s v="MOLINA"/>
    <s v="Request"/>
    <s v="VOA"/>
    <x v="0"/>
    <x v="10"/>
    <x v="663"/>
    <s v="BRI VOA"/>
    <s v="R02"/>
    <x v="0"/>
    <s v="26/03 req masuk, cust infokan tercharge 2x_x000a_26/03 support meminta info cc yg digunakan_x000a_27/03 belum ada update"/>
    <m/>
    <m/>
    <m/>
    <x v="18"/>
  </r>
  <r>
    <s v="INC20260326693"/>
    <d v="2026-03-26T15:11:00"/>
    <s v="Email"/>
    <s v="Fariq Rais Hakim &lt;Fariq.Hakim@danamon.co.id&gt;"/>
    <s v="PT Daya Net Gemilang"/>
    <s v="Request"/>
    <s v="VA"/>
    <x v="3"/>
    <x v="4"/>
    <x v="664"/>
    <s v="Danamon"/>
    <s v="R01"/>
    <x v="0"/>
    <s v="26/03 req masuk_x000a_26/03 support infokan jika trx VA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6T00:00:00"/>
    <x v="18"/>
  </r>
  <r>
    <s v="INC20260326694"/>
    <d v="2026-03-26T16:44:00"/>
    <s v="Email"/>
    <s v="kkd_ipm2@corp.bri.co.id"/>
    <s v="MOLINA"/>
    <s v="Request"/>
    <s v="VOA"/>
    <x v="4"/>
    <x v="5"/>
    <x v="665"/>
    <s v="BRI VOA"/>
    <s v="R02"/>
    <x v="0"/>
    <s v="16/03 req masuk_x000a_02/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2T00:00:00"/>
    <x v="18"/>
  </r>
  <r>
    <s v="INC20260326695"/>
    <d v="2026-03-26T17:48:00"/>
    <s v="Email"/>
    <s v="keluhan_payment@bca.co.id"/>
    <s v="PT Daya Net Gemilang"/>
    <s v="Issue"/>
    <s v="VA"/>
    <x v="2"/>
    <x v="2"/>
    <x v="666"/>
    <s v="BCA"/>
    <s v="R01"/>
    <x v="1"/>
    <s v="26/03 req masuk_x000a_26/03 support meminta kronologis dkk_x000a_26/03 belum ada update_x000a_16/04 bca melampirkan kronologis_x000a_16/04 support teruskan ke merchant 'FW: [O50bcaf6] Indikasi Penipuan: BAYAR2.COM/26032026/049 / VA 7900125000097116'_x000a_20/04 merchant FU + konfirmasi beberapa hal_x000a_20/04 support konfirm ke BC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8"/>
  </r>
  <r>
    <s v="INC20260326696"/>
    <d v="2026-03-26T23:52:00"/>
    <s v="Email"/>
    <s v="Merchant Resolution &lt;merchant.resolution@nobubank.com&gt;"/>
    <s v="Sitracell           _x000a_UNIV SAINS INDONESIA_x000a_Sitracell   _x000a_Asia Cell   _x000a_Alfacell   _x000a_"/>
    <s v="Request"/>
    <s v="QR"/>
    <x v="3"/>
    <x v="7"/>
    <x v="667"/>
    <s v="NOBU"/>
    <s v="R01"/>
    <x v="0"/>
    <s v="26/03 req masuk_x000a_27/03 support lampirkan trx sukses"/>
    <s v="SOP #02"/>
    <s v="1. Memastikan status transaksi pada Dashboard_x000a_     IF &quot;Transaksi GAGAL&quot;, AND &quot;Dana TDK MASUK&quot; (via rekon) then &quot;Infokan GAGAL&quot;_x000a_     IF &quot;Transaksi SUKSES&quot;, AND &quot;Dana MASUK&quot; (via rekon) then &quot;Infokan SUKSES&quot;"/>
    <d v="2026-03-27T00:00:00"/>
    <x v="18"/>
  </r>
  <r>
    <s v="INC20260327697"/>
    <d v="2026-03-27T08:23:00"/>
    <s v="Email"/>
    <s v="Distribusi Lancar Jaya &lt;distribusilancarjaya@gmail.com&gt;"/>
    <s v="Jatimpark Vending Mechine"/>
    <s v="Request"/>
    <s v="QR"/>
    <x v="0"/>
    <x v="0"/>
    <x v="668"/>
    <s v="NOBU"/>
    <s v="R04"/>
    <x v="0"/>
    <s v="27/03 req masuk + support teruskan ke NOBU_x000a_27/03 DONE"/>
    <m/>
    <s v="Buka SOP 'REFUND QR NOBU'"/>
    <d v="2026-03-27T00:00:00"/>
    <x v="18"/>
  </r>
  <r>
    <s v="INC20260327698"/>
    <d v="2026-03-27T10:27:00"/>
    <s v="Email"/>
    <s v="Felly Khaerunnissah &lt;felly.khaerunnissah@bankmandiri.co.id&gt;"/>
    <s v="PT VISI JAYA INDONESI"/>
    <s v="Issue"/>
    <s v="VA"/>
    <x v="2"/>
    <x v="2"/>
    <x v="669"/>
    <s v="BCA"/>
    <s v="C01"/>
    <x v="0"/>
    <s v="27/03 req masuk + support minta kronologis dkk_x000a_31/03 Mandiri menanyakan perihal pengembalian dana_x000a_31/03 support infokan jika terbukti bisa dikembalikan_x000a_31/03 belum ada update_x000a_02/04 mandiri melampirkan surat kepolisian_x000a_02/04 support arahkan untuk mengiri kronologis dkk"/>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8"/>
  </r>
  <r>
    <s v="INC20260327699"/>
    <d v="2026-03-27T10:30:00"/>
    <s v="Email"/>
    <s v="余 &lt;yu_peilu@163.com&gt;"/>
    <s v="MOLINA"/>
    <s v="Request"/>
    <s v="VOA"/>
    <x v="4"/>
    <x v="8"/>
    <x v="670"/>
    <s v="BRI VOA"/>
    <s v="R02"/>
    <x v="0"/>
    <s v="27/03 req masuk, cust meminta receipt_x000a_27/03 support meminta info cc yang digunakan_x000a_27/03 cust lampirkan cc yg digunakan_x000a_27/03 DONE"/>
    <m/>
    <m/>
    <d v="2026-03-27T00:00:00"/>
    <x v="18"/>
  </r>
  <r>
    <s v="INC20260327700"/>
    <d v="2026-03-27T12:39:00"/>
    <s v="Email"/>
    <s v="Customerrelations &lt;customerrelations@bca.co.id&gt;"/>
    <s v="PT ENVOIZ DIGITAL INDONESIA"/>
    <s v="Issue"/>
    <s v="VA"/>
    <x v="2"/>
    <x v="2"/>
    <x v="671"/>
    <s v="BCA"/>
    <s v="C01"/>
    <x v="0"/>
    <s v="27/03 req masuk + support minta kronologis dkk_x000a_31/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8"/>
  </r>
  <r>
    <s v="INC20260326701"/>
    <d v="2026-03-26T16:46:00"/>
    <s v="WA"/>
    <s v="-"/>
    <s v="PT Daya Net Gemilang"/>
    <s v="Request"/>
    <s v="VA"/>
    <x v="3"/>
    <x v="4"/>
    <x v="672"/>
    <s v="BRI"/>
    <s v="R01"/>
    <x v="0"/>
    <s v="26/03 DNT tanyakan trx 4041910125009083   _x000a_26/03 Support cek di db dan plink sukses_x000a_26/03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18"/>
  </r>
  <r>
    <s v="INC20260326702"/>
    <d v="2026-03-26T17:19:00"/>
    <s v="WA"/>
    <s v="-"/>
    <s v="PT Daya Net Gemilang"/>
    <s v="Request"/>
    <s v="VA"/>
    <x v="3"/>
    <x v="3"/>
    <x v="673"/>
    <s v="MANDIRI"/>
    <s v="R01"/>
    <x v="0"/>
    <s v="26/03 DNT tanyakan trx 8903910125044109   _x000a_26/03 Support cek di db dan plink belum ditemukan_x000a_26/03 sudah update team terkait_x000a_26/03 Support infokan sukses"/>
    <s v="SOP #05"/>
    <s v="1. Pastikan merchant &amp; transaksi tersebut valid_x000a_2. Cek VA di apps.plink, bandingkan amount:_x000a__x0009_Amount sama → Update transaksi._x000a__x0009_Amount berbeda → Tidak bisa diupdate, informasikan ke merchant."/>
    <m/>
    <x v="18"/>
  </r>
  <r>
    <s v="INC20260327703"/>
    <d v="2026-03-27T07:29:00"/>
    <s v="WA"/>
    <s v="-"/>
    <s v="PT Teknologi Awan Cerah"/>
    <s v="Request"/>
    <s v="VA"/>
    <x v="3"/>
    <x v="4"/>
    <x v="674"/>
    <s v="BCA"/>
    <s v="R01"/>
    <x v="0"/>
    <s v="27/03 Nobecul tanyakan trx 7900121700067092 _x000a_27/03 Support cek operator reject_x000a_27/03 Support infokan trx tersebut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18"/>
  </r>
  <r>
    <s v="INC20260327704"/>
    <d v="2026-03-27T14:45:00"/>
    <s v="Email"/>
    <s v="Stanslav Akimenko &lt;kimenst.mail@gmail.com&gt;"/>
    <s v="MOLINA"/>
    <s v="Request"/>
    <s v="VOA"/>
    <x v="0"/>
    <x v="10"/>
    <x v="675"/>
    <s v="BRI VOA"/>
    <s v="R02"/>
    <x v="0"/>
    <s v="27/03 req masuk + support meminta info cc_x000a_27/03 cust melampirkan info cc yg digunakan_x000a_29/03 DONE, support infokan trx sukses dan tdk bisa di refund"/>
    <m/>
    <m/>
    <d v="2026-03-29T00:00:00"/>
    <x v="18"/>
  </r>
  <r>
    <s v="INC20260327705"/>
    <d v="2026-03-27T15:45:00"/>
    <s v="Email"/>
    <s v="이진우 &lt;wgvx9104@gmail.com&gt;"/>
    <s v="MOLINA"/>
    <s v="Request"/>
    <s v="VOA"/>
    <x v="0"/>
    <x v="10"/>
    <x v="676"/>
    <s v="BRI VOA"/>
    <s v="R02"/>
    <x v="0"/>
    <s v="27/03 req masuk, cust meminta refund_x000a_27/03 support refund"/>
    <m/>
    <m/>
    <d v="2026-03-27T00:00:00"/>
    <x v="18"/>
  </r>
  <r>
    <s v="INC20260327706"/>
    <d v="2026-03-27T15:44:00"/>
    <s v="Email"/>
    <s v="chargebackops.acq@corp.bri.co.id"/>
    <s v="MOLINA"/>
    <s v="Request"/>
    <s v="VOA"/>
    <x v="4"/>
    <x v="5"/>
    <x v="677"/>
    <s v="BRI VOA"/>
    <s v="R02"/>
    <x v="0"/>
    <s v="27/03 req masuk_x000a_03/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3T00:00:00"/>
    <x v="18"/>
  </r>
  <r>
    <s v="INC20260327707"/>
    <d v="2026-03-27T16:12:00"/>
    <s v="Email"/>
    <s v="keluhan_payment@bca.co.id"/>
    <s v="PT Daya Net Gemilang"/>
    <s v="Issue"/>
    <s v="VA"/>
    <x v="2"/>
    <x v="2"/>
    <x v="678"/>
    <s v="BCA"/>
    <s v="R01"/>
    <x v="0"/>
    <s v="27/03 req masuk_x000a_27/03 support meminta kronologis dkk_x000a_27/03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18"/>
  </r>
  <r>
    <s v="INC20260327708"/>
    <d v="2026-03-27T16:49:00"/>
    <s v="Email"/>
    <s v="Tasya &lt;tasya.kuatbaca@gmail.com&gt;"/>
    <s v="MOLINA"/>
    <s v="Request"/>
    <s v="VOA"/>
    <x v="3"/>
    <x v="4"/>
    <x v="679"/>
    <s v="BRI VOA"/>
    <s v="R02"/>
    <x v="0"/>
    <s v="27/03 req masuk_x000a_27/03 support meminta info cc yg digunakan_x000a_30/03 cust lampirkan info cc yg digunakan_x000a_30/03 support infokan jika pengajuan gagal &amp; sarankan coba lagi_x000a_30/03 cust tanyakan jika saldo sudah terpotong apakah akan ada refund otomatis"/>
    <s v="SOP #08"/>
    <s v="1. Pastikan merchant valid_x000a_2. Check MBASE dan PCS_x000a_3.  Memastikan status transaksi pada Dashboard_x000a_     IF &quot;Transaksi REJECT&quot;,  then &quot;Infokan GAGAL&quot;_x000a_     IF &quot;Transaksi SUKSES&quot;,  then &quot;Infokan SUKSES&quot;"/>
    <d v="2026-03-30T00:00:00"/>
    <x v="18"/>
  </r>
  <r>
    <s v="INC20260327709"/>
    <d v="2026-03-27T17:54:00"/>
    <s v="Email"/>
    <s v="keluhan_payment@bca.co.id"/>
    <s v="PT Daya Net Gemilang"/>
    <s v="Request"/>
    <s v="VA"/>
    <x v="3"/>
    <x v="4"/>
    <x v="680"/>
    <s v="BCA"/>
    <s v="R01"/>
    <x v="0"/>
    <s v="27/03 req masuk_x000a_30/03 BCA FU_x000a_31/03 BCA FU_x000a_31/04 support konfirm ke rekon perihal dana_x000a_02/04 BCA FU_x000a_02/04 support infokan jika trx berikut sudah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2T00:00:00"/>
    <x v="19"/>
  </r>
  <r>
    <s v="INC20260327710"/>
    <d v="2026-03-27T19:50:00"/>
    <s v="Email"/>
    <s v="Merchant Resolution &lt;merchant.resolution@nobubank.com&gt;"/>
    <s v="PT Hotel Murah Travelindo"/>
    <s v="Request"/>
    <s v="QR"/>
    <x v="3"/>
    <x v="7"/>
    <x v="681"/>
    <s v="NOBU"/>
    <s v="R01"/>
    <x v="0"/>
    <s v="27/03 req masuk_x000a_27/03 support melampirkan trx sukses"/>
    <s v="SOP #02"/>
    <s v="1. Memastikan status transaksi pada Dashboard_x000a_     IF &quot;Transaksi GAGAL&quot;, AND &quot;Dana TDK MASUK&quot; (via rekon) then &quot;Infokan GAGAL&quot;_x000a_     IF &quot;Transaksi SUKSES&quot;, AND &quot;Dana MASUK&quot; (via rekon) then &quot;Infokan SUKSES&quot;"/>
    <d v="2026-03-27T00:00:00"/>
    <x v="19"/>
  </r>
  <r>
    <s v="INC20260327711"/>
    <d v="2026-03-27T22:25:00"/>
    <s v="Email"/>
    <s v="이다영 &lt;dayo0815@naver.com&gt;"/>
    <s v="MOLINA"/>
    <s v="Request"/>
    <s v="VOA"/>
    <x v="0"/>
    <x v="10"/>
    <x v="682"/>
    <s v="BRI VOA"/>
    <s v="R02"/>
    <x v="0"/>
    <s v="27/03 req masuk, cust infokan double payment_x000a_27/03 support meminta info cc yg digunakan_x000a_27/03 cust lampirkan cc yang digunakan_x000a_28/03 DONE support refund"/>
    <s v="SOP #09"/>
    <s v="Z:\03. Operation\08. Merchant Support\Prosedur L1\24. ISSUE - SOP Refund CC VoA.pdf"/>
    <d v="2026-03-28T00:00:00"/>
    <x v="19"/>
  </r>
  <r>
    <s v="INC20260327712"/>
    <d v="2026-03-27T23:08:00"/>
    <s v="Email"/>
    <s v="chando0728@yahoo.co.jp"/>
    <s v="MOLINA"/>
    <s v="Request"/>
    <s v="VOA"/>
    <x v="0"/>
    <x v="10"/>
    <x v="682"/>
    <s v="BRI VOA"/>
    <s v="R02"/>
    <x v="0"/>
    <s v="27/03 req masuk, cust infokan trx double_x000a_27/03 support meminta info cc yg digunakan_x000a_28/03 cust lampirkan cc yg diguanakan_x000a_28/03 support refund"/>
    <s v="SOP #09"/>
    <s v="Z:\03. Operation\08. Merchant Support\Prosedur L1\24. ISSUE - SOP Refund CC VoA.pdf"/>
    <d v="2026-03-28T00:00:00"/>
    <x v="19"/>
  </r>
  <r>
    <s v="INC20260328713"/>
    <d v="2026-03-28T06:58:00"/>
    <s v="Email"/>
    <s v="mkiozuuytoauni@keio.jp"/>
    <s v="MOLINA"/>
    <s v="Request"/>
    <s v="VOA"/>
    <x v="0"/>
    <x v="10"/>
    <x v="683"/>
    <s v="BRI VOA"/>
    <s v="R02"/>
    <x v="0"/>
    <s v="28/03 req masuk, cust infokan trx doble_x000a_28/03 support meminta info cc yang diguanakan_x000a_28/03 cust melampirkan cc yg diguanakan_x000a_28/03 support refund"/>
    <s v="SOP #09"/>
    <s v="Z:\03. Operation\08. Merchant Support\Prosedur L1\24. ISSUE - SOP Refund CC VoA.pdf"/>
    <d v="2026-03-28T00:00:00"/>
    <x v="19"/>
  </r>
  <r>
    <s v="INC20260328714"/>
    <d v="2026-03-28T07:41:00"/>
    <s v="Email"/>
    <s v="Adele Leverett &lt;adelelev1966@gmail.com&gt;"/>
    <s v="MOLINA"/>
    <s v="Request"/>
    <s v="VOA"/>
    <x v="0"/>
    <x v="10"/>
    <x v="684"/>
    <s v="BRI VOA"/>
    <s v="R02"/>
    <x v="0"/>
    <s v="28/03 req masuk, cust infokan trx doble_x000a_28/03 support meminta info cc yang diguanakan_x000a_28/03 cust lampirkan cc yg digunakan_x000a_28/03 support infokan jika trx itu untuk 2x payment &amp; lampirkan cust name"/>
    <s v="SOP #09"/>
    <s v="Z:\03. Operation\08. Merchant Support\Prosedur L1\24. ISSUE - SOP Refund CC VoA.pdf"/>
    <d v="2026-03-28T00:00:00"/>
    <x v="19"/>
  </r>
  <r>
    <s v="INC20260328715"/>
    <d v="2026-03-28T09:21:00"/>
    <s v="Email"/>
    <s v="Thomas &lt;strainchamps.thomas@gmail.com&gt;"/>
    <s v="MOLINA"/>
    <s v="Request"/>
    <s v="VOA"/>
    <x v="0"/>
    <x v="10"/>
    <x v="685"/>
    <s v="BRI VOA"/>
    <s v="R02"/>
    <x v="0"/>
    <s v="28/03 req masuk, cust infokan trx 3x_x000a_28/03 support meminta info cc yang diguanakan_x000a_28/03 cust lampirkan cc yg digunakan_x000a_28/03 support refund 1 trx"/>
    <s v="SOP #09"/>
    <s v="Z:\03. Operation\08. Merchant Support\Prosedur L1\24. ISSUE - SOP Refund CC VoA.pdf"/>
    <d v="2026-03-28T00:00:00"/>
    <x v="19"/>
  </r>
  <r>
    <s v="INC20260328716"/>
    <d v="2026-03-28T11:31:00"/>
    <s v="Email"/>
    <s v="N.V.S.Nikhilesh &lt;nikhileshnvs@gmail.com&gt;"/>
    <s v="MOLINA"/>
    <s v="Request"/>
    <s v="VOA"/>
    <x v="0"/>
    <x v="10"/>
    <x v="686"/>
    <s v="BRI VOA"/>
    <s v="R02"/>
    <x v="0"/>
    <s v="28/03 req masuk, cust infokan trx 2x_x000a_28/03 support meminta info cc yg digunakan_x000a_28/03 cust lampirkan cc yg diguanakan_x000a_28/03 support refund"/>
    <s v="SOP #09"/>
    <s v="Z:\03. Operation\08. Merchant Support\Prosedur L1\24. ISSUE - SOP Refund CC VoA.pdf"/>
    <d v="2026-03-28T00:00:00"/>
    <x v="19"/>
  </r>
  <r>
    <s v="INC20260328717"/>
    <d v="2026-03-28T12:25:00"/>
    <s v="Email"/>
    <s v="Alex &lt;alexander.agenosov@gmail.com&gt;"/>
    <s v="MOLINA"/>
    <s v="Request"/>
    <s v="VOA"/>
    <x v="0"/>
    <x v="10"/>
    <x v="687"/>
    <s v="BRI VOA"/>
    <s v="R02"/>
    <x v="0"/>
    <s v="28/03 req masuk, cust infokan trx 2x_x000a_28/03 support meminta info cc yg digunakan_x000a_28/03 cust lampirkan cc yg diguanakan_x000a_28/03 support refund"/>
    <s v="SOP #09"/>
    <s v="Z:\03. Operation\08. Merchant Support\Prosedur L1\24. ISSUE - SOP Refund CC VoA.pdf"/>
    <d v="2026-03-28T00:00:00"/>
    <x v="19"/>
  </r>
  <r>
    <s v="INC20260328718"/>
    <d v="2026-03-28T14:05:00"/>
    <s v="Email"/>
    <s v="Arina Talanova &lt;talanovarina@gmail.com&gt;"/>
    <s v="MOLINA"/>
    <s v="Request"/>
    <s v="VOA"/>
    <x v="0"/>
    <x v="10"/>
    <x v="688"/>
    <s v="BRI VOA"/>
    <s v="R02"/>
    <x v="0"/>
    <s v="28/03 req masuk, cust infokan trx 2x_x000a_28/03 support meminta info cc yg digunakan_x000a_29/03 cust lampirkan cc yg diguanakan_x000a_29/03 support infokan trx sukses &amp; tdk bisa refund"/>
    <s v="SOP #09"/>
    <s v="Z:\03. Operation\08. Merchant Support\Prosedur L1\24. ISSUE - SOP Refund CC VoA.pdf"/>
    <d v="2026-03-29T00:00:00"/>
    <x v="19"/>
  </r>
  <r>
    <s v="INC20260328719"/>
    <d v="2026-03-28T14:59:00"/>
    <s v="Email"/>
    <s v="javier asiain &lt;asiain98@gmail.com&gt;"/>
    <s v="MOLINA"/>
    <s v="Request"/>
    <s v="VOA"/>
    <x v="0"/>
    <x v="10"/>
    <x v="689"/>
    <s v="BRI VOA"/>
    <s v="R02"/>
    <x v="0"/>
    <s v="28/03 req masuk, cust infokan trx 2x_x000a_28/03 support meminta info cc yg digunakan_x000a_28/03 cust lampirkan cc yg diguanakan_x000a_28/03 support refund"/>
    <s v="SOP #09"/>
    <s v="Z:\03. Operation\08. Merchant Support\Prosedur L1\24. ISSUE - SOP Refund CC VoA.pdf"/>
    <d v="2026-03-28T00:00:00"/>
    <x v="19"/>
  </r>
  <r>
    <s v="INC20260329720"/>
    <d v="2026-03-29T12:18:00"/>
    <s v="Email"/>
    <s v="Artem Radin &lt;artemius.radin@gmail.com&gt;"/>
    <s v="MOLINA"/>
    <s v="Request"/>
    <s v="VOA"/>
    <x v="0"/>
    <x v="10"/>
    <x v="690"/>
    <s v="BRI VOA"/>
    <s v="R02"/>
    <x v="0"/>
    <s v="29/03 req masuk_x000a_29/03 support meminta info cc yg digunakan_x000a_29/03 done support refund"/>
    <s v="SOP #09"/>
    <s v="Z:\03. Operation\08. Merchant Support\Prosedur L1\24. ISSUE - SOP Refund CC VoA.pdf"/>
    <d v="2026-03-29T00:00:00"/>
    <x v="19"/>
  </r>
  <r>
    <s v="INC20260330721"/>
    <d v="2026-03-30T08:42:00"/>
    <s v="Email"/>
    <s v="Alice Morel &lt;alice.j.morel@gmail.com&gt;"/>
    <s v="MOLINA"/>
    <s v="Request"/>
    <s v="VOA"/>
    <x v="0"/>
    <x v="10"/>
    <x v="691"/>
    <s v="BRI VOA"/>
    <s v="R02"/>
    <x v="0"/>
    <s v="30/03 req masuk_x000a_30/03 done support refund"/>
    <s v="SOP #09"/>
    <s v="Z:\03. Operation\08. Merchant Support\Prosedur L1\24. ISSUE - SOP Refund CC VoA.pdf"/>
    <d v="2026-03-30T00:00:00"/>
    <x v="19"/>
  </r>
  <r>
    <s v="INC20260330722"/>
    <d v="2026-03-30T09:31:00"/>
    <s v="Email"/>
    <s v="Distribusi Lancar Jaya &lt;distribusilancarjaya@gmail.com&gt;"/>
    <s v="Jatimpark Vending Mechine"/>
    <s v="Request"/>
    <s v="QR"/>
    <x v="0"/>
    <x v="0"/>
    <x v="692"/>
    <s v="NOBU"/>
    <s v="R04"/>
    <x v="0"/>
    <s v="30/03 req masuk_x000a_31/02 DONE"/>
    <m/>
    <s v="Buka SOP 'REFUND QR NOBU'"/>
    <d v="2026-03-31T00:00:00"/>
    <x v="19"/>
  </r>
  <r>
    <s v="INC20260330723"/>
    <d v="2026-03-30T09:03:00"/>
    <s v="Email"/>
    <s v="kkd_ipm2@corp.bri.co.id"/>
    <s v="MOLINA"/>
    <s v="Request"/>
    <s v="VOA"/>
    <x v="1"/>
    <x v="1"/>
    <x v="693"/>
    <s v="BRI VOA"/>
    <s v="R02"/>
    <x v="0"/>
    <s v="30/01 KKD KONFIRMASI Pre-Arbitrasi _x000a_30/01 Support infokan jika terdapat request Pre-Arb dari Bank"/>
    <m/>
    <m/>
    <d v="2026-01-30T00:00:00"/>
    <x v="19"/>
  </r>
  <r>
    <s v="INC20260327724"/>
    <d v="2026-03-27T16:25:00"/>
    <s v="WA"/>
    <s v="-"/>
    <s v="PT Daya Net Gemilang"/>
    <s v="Request"/>
    <s v="QR"/>
    <x v="3"/>
    <x v="4"/>
    <x v="694"/>
    <s v="NOBU"/>
    <s v="R01"/>
    <x v="0"/>
    <s v="27/03 dnt tanyakan trx 000000R68JZ3 _x000a_27/03 Support cek db prismalink dan db nobu tidak ada_x000a_27/03 Support up ke wag nobu dan nobu infokan RC68"/>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7T00:00:00"/>
    <x v="19"/>
  </r>
  <r>
    <s v="INC20260327725"/>
    <d v="2026-03-27T16:33:00"/>
    <s v="WA"/>
    <s v="-"/>
    <s v="PT Daya Net Gemilang"/>
    <s v="Request"/>
    <s v="VA"/>
    <x v="3"/>
    <x v="3"/>
    <x v="695"/>
    <s v="BNI"/>
    <s v="R01"/>
    <x v="0"/>
    <s v="27/03 DNT tanyakan trx 8919101250538338 / NACL1439894719 _x000a_27/03 Support cek operator sukses namun db cancel_x000a_27/03 Support up team terkait untuk update dan infojan sukses"/>
    <s v="SOP #05"/>
    <s v="1. Pastikan merchant &amp; transaksi tersebut valid_x000a_2. Cek VA di apps.plink, bandingkan amount:_x000a__x0009_Amount sama → Update transaksi._x000a__x0009_Amount berbeda → Tidak bisa diupdate, informasikan ke merchant."/>
    <d v="2026-03-27T00:00:00"/>
    <x v="19"/>
  </r>
  <r>
    <s v="INC20260327726"/>
    <d v="2026-03-27T16:40:00"/>
    <s v="WA"/>
    <s v="-"/>
    <s v="PT Daya Net Gemilang"/>
    <s v="Request"/>
    <s v="VA"/>
    <x v="3"/>
    <x v="3"/>
    <x v="696"/>
    <s v="BNI"/>
    <s v="R01"/>
    <x v="0"/>
    <s v="27/03 DNT tanyakan trx 8919101250524768 / NACL1440496233_x000a_27/03 Support cek operator sukses namun db cancel_x000a_27/03 Support up team terkait untuk update dan infojan sukses"/>
    <s v="SOP #05"/>
    <s v="1. Pastikan merchant &amp; transaksi tersebut valid_x000a_2. Cek VA di apps.plink, bandingkan amount:_x000a__x0009_Amount sama → Update transaksi._x000a__x0009_Amount berbeda → Tidak bisa diupdate, informasikan ke merchant."/>
    <d v="2026-03-27T00:00:00"/>
    <x v="19"/>
  </r>
  <r>
    <s v="INC20260329727"/>
    <d v="2026-03-29T19:00:00"/>
    <s v="WA"/>
    <s v="-"/>
    <s v="Saku Laundry"/>
    <s v="Request"/>
    <s v="QR"/>
    <x v="3"/>
    <x v="4"/>
    <x v="697"/>
    <s v="BNC"/>
    <s v="R01"/>
    <x v="0"/>
    <s v="29/03 Laundry merchant tanyakan trx RRN AX4UEDTSIZRK_x000a_29/03 Support cek db bnc sukses _x000a_29/03 Support infokan transaksi tersebut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7T00:00:00"/>
    <x v="19"/>
  </r>
  <r>
    <s v="INC20260330728"/>
    <d v="2026-03-30T15:47:00"/>
    <s v="Email"/>
    <s v="kkd_ipm2@corp.bri.co.id"/>
    <s v="MOLINA"/>
    <s v="Request"/>
    <s v="VOA"/>
    <x v="4"/>
    <x v="5"/>
    <x v="698"/>
    <s v="BRI VOA"/>
    <s v="R02"/>
    <x v="0"/>
    <s v="30/03 req masuk_x000a_03/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3T00:00:00"/>
    <x v="19"/>
  </r>
  <r>
    <s v="INC20260330729"/>
    <d v="2026-03-30T15:20:00"/>
    <s v="Email"/>
    <s v="kkd_ipm2@corp.bri.co.id"/>
    <s v="MOLINA"/>
    <s v="Request"/>
    <s v="VOA"/>
    <x v="1"/>
    <x v="1"/>
    <x v="699"/>
    <s v="BRI VOA"/>
    <s v="R02"/>
    <x v="0"/>
    <s v="30/03 KKD KONFIRMASI Pre-Arbitrasi _x000a_30/03 Support infokan jika terdapat request Pre-Arb dari Bank"/>
    <m/>
    <m/>
    <d v="2026-03-30T00:00:00"/>
    <x v="20"/>
  </r>
  <r>
    <s v="INC20260330730"/>
    <d v="2026-03-30T16:02:00"/>
    <s v="Email"/>
    <s v="kkd_ipm2@corp.bri.co.id"/>
    <s v="MOLINA"/>
    <s v="Request"/>
    <s v="VOA"/>
    <x v="4"/>
    <x v="5"/>
    <x v="700"/>
    <s v="BRI VOA"/>
    <s v="R02"/>
    <x v="0"/>
    <s v="30/03 req masuk_x000a_03/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3T00:00:00"/>
    <x v="20"/>
  </r>
  <r>
    <s v="INC20260330731"/>
    <d v="2026-03-30T16:58:00"/>
    <s v="Email"/>
    <s v="jacobdeabreu7@icloud.com"/>
    <s v="MOLINA"/>
    <s v="Request"/>
    <s v="VOA"/>
    <x v="4"/>
    <x v="5"/>
    <x v="701"/>
    <s v="BRI VOA"/>
    <s v="R02"/>
    <x v="0"/>
    <s v="30/03 req masuk + support meminta info cc yg digunakan_x000a_02/04 belum ada updat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0"/>
  </r>
  <r>
    <s v="INC20260331732"/>
    <d v="2026-03-31T07:48:00"/>
    <s v="Email"/>
    <s v="Distribusi Lancar Jaya &lt;distribusilancarjaya@gmail.com&gt;"/>
    <s v="Jatimpark Vending Mechine"/>
    <s v="Request"/>
    <s v="QR"/>
    <x v="0"/>
    <x v="0"/>
    <x v="702"/>
    <s v="NOBU"/>
    <s v="R04"/>
    <x v="0"/>
    <s v="31/03 req masuk_x000a_31/03 DONE"/>
    <m/>
    <s v="Buka SOP 'REFUND QR NOBU'"/>
    <d v="2026-03-31T00:00:00"/>
    <x v="20"/>
  </r>
  <r>
    <s v="INC20260330733"/>
    <d v="2026-03-30T18:31:00"/>
    <s v="WA"/>
    <s v="-"/>
    <s v="PT Daya Net Gemilang"/>
    <s v="Request"/>
    <s v="VA"/>
    <x v="3"/>
    <x v="3"/>
    <x v="703"/>
    <s v="BNI"/>
    <s v="R01"/>
    <x v="0"/>
    <s v="30/03 dnt tanyakan  NACL1444377895_x000a_8919101250044413_x000a_30/03 cek setld, support update_x000a_30/03 Support infokan sukses"/>
    <s v="SOP #05"/>
    <s v="1. Pastikan merchant &amp; transaksi tersebut valid_x000a_2. Cek VA di apps.plink, bandingkan amount:_x000a__x0009_Amount sama → Update transaksi._x000a__x0009_Amount berbeda → Tidak bisa diupdate, informasikan ke merchant."/>
    <d v="2026-03-30T00:00:00"/>
    <x v="20"/>
  </r>
  <r>
    <s v="INC20260331734"/>
    <d v="2026-03-31T14:46:00"/>
    <s v="Email"/>
    <s v="keluhan_payment@bca.co.id"/>
    <s v="PT Daya Net Gemilang"/>
    <s v="Issue"/>
    <s v="VA"/>
    <x v="2"/>
    <x v="2"/>
    <x v="704"/>
    <s v="BCA"/>
    <s v="R01"/>
    <x v="0"/>
    <s v="31/03 req masuk_x000a_31/03 support meminta kronologi dkk_x000a_02/04 belum ad a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1"/>
  </r>
  <r>
    <s v="INC20260331735"/>
    <d v="2026-03-31T15:23:00"/>
    <s v="Email"/>
    <s v="David Liknaitzky &lt;dliknaitzky@gmail.com&gt;"/>
    <s v="MOLINA"/>
    <s v="Request"/>
    <s v="VOA"/>
    <x v="0"/>
    <x v="10"/>
    <x v="705"/>
    <s v="BRI VOA"/>
    <s v="R02"/>
    <x v="0"/>
    <s v="31/03 req masuk, cust  infokan jika tercharge 3x_x000a_31/03 support meminta info cc yg digunakan_x000a_02/04 belum ada update"/>
    <s v="SOP #09"/>
    <s v="Z:\03. Operation\08. Merchant Support\Prosedur L1\24. ISSUE - SOP Refund CC VoA.pdf"/>
    <m/>
    <x v="21"/>
  </r>
  <r>
    <s v="INC20260401736"/>
    <d v="2026-04-01T08:26:00"/>
    <s v="Email"/>
    <s v="Distribusi Lancar Jaya &lt;distribusilancarjaya@gmail.com&gt;"/>
    <s v="Jatimpark Vending Mechine"/>
    <s v="Request"/>
    <s v="QR"/>
    <x v="0"/>
    <x v="0"/>
    <x v="706"/>
    <s v="NOBU"/>
    <s v="R04"/>
    <x v="0"/>
    <s v="01/04 req masuk_x000a_01/04 DONE"/>
    <m/>
    <s v="Buka SOP 'REFUND QR NOBU'"/>
    <d v="2026-04-01T00:00:00"/>
    <x v="21"/>
  </r>
  <r>
    <s v="INC20260401737"/>
    <d v="2026-04-01T10:31:00"/>
    <s v="Email"/>
    <s v="Felly Khaerunnissah &lt;felly.khaerunnissah@bankmandiri.co.id&gt;"/>
    <s v="PT Envoiz Digital Indonesia_x000a_PT Daya Net Gemilang"/>
    <s v="Issue"/>
    <s v="VA"/>
    <x v="2"/>
    <x v="2"/>
    <x v="707"/>
    <s v="BCA"/>
    <s v="C01"/>
    <x v="0"/>
    <s v="01/04 req masuk + support meminta kronologi dkk_x000a_02/04 belum ada update_x000a_07/04 mandiri menanyakan perihal pengembalian dana_x000a_07/04 support infokan templ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1"/>
  </r>
  <r>
    <s v="INC20260401738"/>
    <d v="2026-04-01T11:30:00"/>
    <s v="Email"/>
    <s v="chargebackops.acq@corp.bri.co.id"/>
    <s v="MOLINA"/>
    <s v="Request"/>
    <s v="VOA"/>
    <x v="4"/>
    <x v="5"/>
    <x v="708"/>
    <s v="BRI VOA"/>
    <s v="R02"/>
    <x v="0"/>
    <s v="01/04 req masuk_x000a_08/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8T00:00:00"/>
    <x v="21"/>
  </r>
  <r>
    <s v="INC20260329739"/>
    <d v="2026-03-29T10:01:00"/>
    <s v="WA"/>
    <s v="-"/>
    <s v="Saku Laundry"/>
    <s v="Request"/>
    <s v="QR"/>
    <x v="3"/>
    <x v="4"/>
    <x v="709"/>
    <s v="BNC"/>
    <s v="R01"/>
    <x v="0"/>
    <s v="29/03 Saku laundry tanyakan  trx _x000a_RRN 603696616156 _x000a_RRN 163780506_x000a_RRN 164688451_x000a_RRN ESB460500169_x000a_RRN 166612822_x000a_RRN 001087643405_x000a_RRN 167056727_x000a_RRN 167177796_x000a_RRN 167372844_x000a_RRN 167593936_x000a_RRN 010000BTGWFJ_x000a_RRN 167616211_x000a_RRN 167743187_x000a_RRN 010000BTGM0H_x000a_RRN AX4U1MFNH93G_x000a_RRN AX4UEDTSJUR2_x000a_RRN AX4UR57ZPLZF_x000a_RRN AX4UEDTSJ1XS_x000a_RRN AX4UR57ZPXR2_x000a_RRN AX4U1MFNGRLQ_x000a_RRN c78fd7788a66_x000a_RRN AX4UEDTOC3ZB_x000a_RRN 11c0ea4ceb41_x000a_RRN fe4cd6ce3615_x000a_RRN AX4UR57ZQE7U _x000a_RRN AX4UR57ZQHZA_x000a_RRN 167748962 _x000a_RRN 603696616156_x000a_RRN 603696547314_x000a_RRN 603696616156_x000a_RRN 000029835126_x000a_29/03 Support cek di back end BNC sukses _x000a_29/03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9T00:00:00"/>
    <x v="21"/>
  </r>
  <r>
    <s v="INC20260329740"/>
    <d v="2026-03-29T19:00:00"/>
    <s v="WA"/>
    <s v="-"/>
    <s v="Saku Laundry"/>
    <s v="Request"/>
    <s v="QR"/>
    <x v="3"/>
    <x v="4"/>
    <x v="710"/>
    <s v="BNC"/>
    <s v="R01"/>
    <x v="0"/>
    <s v="29/03 Laundry merchant tanyakan trx RRN AX4UEDTSIZRK_x000a_29/03 Support cek db bnc sukses _x000a_29/03 Support infokan transaksi tersebut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29T00:00:00"/>
    <x v="21"/>
  </r>
  <r>
    <s v="INC20260330741"/>
    <d v="2026-03-30T12:06:00"/>
    <s v="WA"/>
    <s v="-"/>
    <s v="PT Daya Net Gemilang"/>
    <s v="Request"/>
    <s v="VA"/>
    <x v="3"/>
    <x v="3"/>
    <x v="711"/>
    <s v="BNI"/>
    <s v="R01"/>
    <x v="0"/>
    <s v="30/03 DNT Tanyakan status trx 7900125000066483_x000a_30/03 Support cek di dashboard cancel dan di agregator ada_x000a_30/03 Support koordinasi dengan tim terkait untuk update stausnya dan infokan sukses"/>
    <s v="SOP #05"/>
    <s v="1. Pastikan merchant &amp; transaksi tersebut valid_x000a_2. Cek VA di apps.plink, bandingkan amount:_x000a__x0009_Amount sama → Update transaksi._x000a__x0009_Amount berbeda → Tidak bisa diupdate, informasikan ke merchant."/>
    <d v="2026-03-30T00:00:00"/>
    <x v="21"/>
  </r>
  <r>
    <s v="INC20260330742"/>
    <d v="2026-03-30T13:08:00"/>
    <s v="WA"/>
    <s v="-"/>
    <s v="PT Daya Net Gemilang"/>
    <s v="Request"/>
    <s v="QR"/>
    <x v="3"/>
    <x v="3"/>
    <x v="712"/>
    <s v="NOBU"/>
    <s v="R01"/>
    <x v="0"/>
    <s v="30/03 DNT Tanyakan status trx  ID NACL1444506413 // RRN Qris 1n2pmeq59036_x000a_30/03 Support cek di dashboard cancel dan di nobu ada_x000a_30/03 Support check status berubah jadi sukses dan infokan sukses"/>
    <s v="SOP #08"/>
    <s v="1. Pastikan merchant &amp; transaksi tersebut valid_x000a_2. Cek QR di dashboard NOBU/BNC_x000a_3. Hit button check-status di dashboard.plink.co.id"/>
    <d v="2026-03-30T00:00:00"/>
    <x v="21"/>
  </r>
  <r>
    <s v="INC20260330743"/>
    <d v="2026-03-30T10:54:00"/>
    <s v="WA"/>
    <s v="-"/>
    <s v="YAYASAN DIAN ASRA"/>
    <s v="Request"/>
    <s v="VA"/>
    <x v="3"/>
    <x v="3"/>
    <x v="713"/>
    <s v="BNI"/>
    <s v="R01"/>
    <x v="0"/>
    <s v="30/03 Undira Tanyakan status trx  ID 8919101250243932_x000a_30/03 Support cek di dashboard cancel dan di agregaotr sukses_x000a_30/03 Support koordinasi dengan tim terkait untuk update statusnya dan infokan sukses"/>
    <s v="SOP #05"/>
    <s v="1. Pastikan merchant &amp; transaksi tersebut valid_x000a_2. Cek VA di apps.plink, bandingkan amount:_x000a__x0009_Amount sama → Update transaksi._x000a__x0009_Amount berbeda → Tidak bisa diupdate, informasikan ke merchant."/>
    <d v="2026-03-30T00:00:00"/>
    <x v="21"/>
  </r>
  <r>
    <s v="INC20260330744"/>
    <d v="2026-03-30T11:04:00"/>
    <s v="WA"/>
    <s v="-"/>
    <s v="YAYASAN DIAN ASRA"/>
    <s v="Request"/>
    <s v="VA"/>
    <x v="3"/>
    <x v="3"/>
    <x v="713"/>
    <s v="BNI"/>
    <s v="R01"/>
    <x v="0"/>
    <s v="30/03 Undira Tanyakan status trx  ID 8919101250243932_x000a_30/03 Support cek di dashboard cancel dan di agregaotr sukses_x000a_30/03 Support koordinasi dengan tim terkait untuk update statusnya dan infokan sukses"/>
    <s v="SOP #05"/>
    <s v="1. Pastikan merchant &amp; transaksi tersebut valid_x000a_2. Cek VA di apps.plink, bandingkan amount:_x000a__x0009_Amount sama → Update transaksi._x000a__x0009_Amount berbeda → Tidak bisa diupdate, informasikan ke merchant."/>
    <d v="2026-03-30T00:00:00"/>
    <x v="21"/>
  </r>
  <r>
    <s v="INC20260330745"/>
    <d v="2026-03-30T18:31:00"/>
    <s v="WA"/>
    <s v="-"/>
    <s v="YAYASAN DIAN ASRA"/>
    <s v="Request"/>
    <s v="VA"/>
    <x v="3"/>
    <x v="3"/>
    <x v="714"/>
    <s v="BNI"/>
    <s v="R01"/>
    <x v="0"/>
    <s v="30/03 dnt tanyakan  NACL1444377895_x000a_8919101250044413_x000a_30/03 cek setld, support update_x000a_30/03 Support infokan sukses"/>
    <s v="SOP #05"/>
    <s v="1. Pastikan merchant &amp; transaksi tersebut valid_x000a_2. Cek VA di apps.plink, bandingkan amount:_x000a__x0009_Amount sama → Update transaksi._x000a__x0009_Amount berbeda → Tidak bisa diupdate, informasikan ke merchant."/>
    <d v="2026-03-30T00:00:00"/>
    <x v="21"/>
  </r>
  <r>
    <s v="INC20260330746"/>
    <d v="2026-03-30T15:35:00"/>
    <s v="WA"/>
    <s v="-"/>
    <s v="PT Daya Net Gemilang"/>
    <s v="Request"/>
    <s v="VA"/>
    <x v="3"/>
    <x v="3"/>
    <x v="715"/>
    <s v="BCA"/>
    <s v="R01"/>
    <x v="0"/>
    <s v="30/03 dnt tanyakan 7900125000054501 _x000a_30/03 belum ditemukan_x000a_30/03 Support infokan menunggu rekon_x000a_01/04 Info dari rekon, dananya ada. Support infokan sukses"/>
    <s v="SOP #05"/>
    <s v="1. Pastikan merchant &amp; transaksi tersebut valid_x000a_2. Cek VA di apps.plink, bandingkan amount:_x000a__x0009_Amount sama → Update transaksi._x000a__x0009_Amount berbeda → Tidak bisa diupdate, informasikan ke merchant."/>
    <d v="2026-04-01T00:00:00"/>
    <x v="21"/>
  </r>
  <r>
    <s v="INC20260330747"/>
    <d v="2026-03-30T19:27:00"/>
    <s v="WA"/>
    <s v="-"/>
    <s v="PT ENVOIZ DIGITAL INDONESIA"/>
    <s v="Request"/>
    <s v="VA"/>
    <x v="3"/>
    <x v="3"/>
    <x v="716"/>
    <s v="BCA"/>
    <s v="R01"/>
    <x v="0"/>
    <s v="30/03 dnt tanyakan 8919101249407534  _x000a_30/03 belum ditemukan_x000a_30/03 Support infokan menunggu rekon_x000a_01/04 Info dari rekon, dananya ada. Support infokan sukses"/>
    <s v="SOP #05"/>
    <s v="1. Pastikan merchant &amp; transaksi tersebut valid_x000a_2. Cek VA di apps.plink, bandingkan amount:_x000a__x0009_Amount sama → Update transaksi._x000a__x0009_Amount berbeda → Tidak bisa diupdate, informasikan ke merchant."/>
    <d v="2026-04-01T00:00:00"/>
    <x v="21"/>
  </r>
  <r>
    <s v="INC20260401748"/>
    <d v="2026-04-01T08:30:00"/>
    <s v="WA"/>
    <s v="-"/>
    <s v="YAYASAN ENAM PEDULI PENDIDIKAN"/>
    <s v="Request"/>
    <s v="QR"/>
    <x v="3"/>
    <x v="3"/>
    <x v="717"/>
    <s v="NOBU"/>
    <s v="R01"/>
    <x v="0"/>
    <s v="30/03 DNT Tanyakan status trx  ID NACL1444506413 // RRN Qris 1n2pmeq59036_x000a_30/03 Support cek di dashboard cancel dan di nobu ada_x000a_30/03 Support check status berubah jadi sukses dan infokan sukses"/>
    <s v="SOP #08"/>
    <s v="1. Pastikan merchant &amp; transaksi tersebut valid_x000a_2. Cek QR di dashboard NOBU/BNC_x000a_3. Hit button check-status di dashboard.plink.co.id"/>
    <d v="2026-03-30T00:00:00"/>
    <x v="21"/>
  </r>
  <r>
    <s v="INC20260401749"/>
    <d v="2026-04-01T11:13:00"/>
    <s v="WA"/>
    <s v="-"/>
    <s v="YAYASAN DIAN ASRA"/>
    <s v="Request"/>
    <s v="QR"/>
    <x v="3"/>
    <x v="3"/>
    <x v="718"/>
    <s v="NOBU"/>
    <s v="R01"/>
    <x v="0"/>
    <s v="30/03 DNT Tanyakan status trx  ID NACL1444506413 // RRN Qris 1n2pmeq59036_x000a_30/03 Support cek di dashboard cancel dan di nobu ada_x000a_30/03 Support check status berubah jadi sukses dan infokan sukses"/>
    <s v="SOP #08"/>
    <s v="1. Pastikan merchant &amp; transaksi tersebut valid_x000a_2. Cek QR di dashboard NOBU/BNC_x000a_3. Hit button check-status di dashboard.plink.co.id"/>
    <d v="2026-03-30T00:00:00"/>
    <x v="21"/>
  </r>
  <r>
    <s v="INC20260401750"/>
    <d v="2026-04-01T15:46:00"/>
    <s v="Email"/>
    <s v="m13659818830_1 &lt;13659818830@163.com&gt;"/>
    <s v="MOLINA"/>
    <s v="Request"/>
    <s v="VOA"/>
    <x v="4"/>
    <x v="8"/>
    <x v="719"/>
    <s v="BRI VOA"/>
    <s v="R02"/>
    <x v="0"/>
    <s v="01/04 req masuk, cust meminta payment receipt_x000a_01/04 done support lampirkan receipt payment"/>
    <m/>
    <m/>
    <d v="2026-04-01T00:00:00"/>
    <x v="22"/>
  </r>
  <r>
    <s v="INC20260401751"/>
    <d v="2026-04-01T16:58:00"/>
    <s v="Email"/>
    <s v="Hanna Prokopova &lt;hannaprokopova.kpi@gmail.com&gt;"/>
    <s v="MOLINA"/>
    <s v="Request"/>
    <s v="VOA"/>
    <x v="0"/>
    <x v="10"/>
    <x v="720"/>
    <s v="BRI VOA"/>
    <s v="R02"/>
    <x v="0"/>
    <s v="01/04 req masuk_x000a_01/04 done refund"/>
    <s v="SOP #09"/>
    <s v="Z:\03. Operation\08. Merchant Support\Prosedur L1\24. ISSUE - SOP Refund CC VoA.pdf"/>
    <d v="2026-04-01T00:00:00"/>
    <x v="22"/>
  </r>
  <r>
    <s v="INC20260402752"/>
    <d v="2026-04-02T09:01:00"/>
    <s v="Email"/>
    <s v="Distribusi Lancar Jaya &lt;distribusilancarjaya@gmail.com&gt;"/>
    <s v="Jatimpark Vending Mechine"/>
    <s v="Request"/>
    <s v="QR"/>
    <x v="0"/>
    <x v="0"/>
    <x v="721"/>
    <s v="NOBU"/>
    <s v="R04"/>
    <x v="0"/>
    <s v="02/04 req masuk_x000a_02/04 DONE"/>
    <m/>
    <s v="Buka SOP 'REFUND QR NOBU'"/>
    <d v="2026-04-02T00:00:00"/>
    <x v="22"/>
  </r>
  <r>
    <s v="INC20260401753"/>
    <d v="2026-04-01T19:58:00"/>
    <s v="WA"/>
    <s v="-"/>
    <s v="Saku Laundry"/>
    <s v="Request"/>
    <s v="QR"/>
    <x v="3"/>
    <x v="4"/>
    <x v="722"/>
    <s v="BNC"/>
    <s v="R01"/>
    <x v="0"/>
    <s v="30/03 DNT Tanyakan status trx  297503f28943_x000a_30/03 Support cek di dashboard cancel dan di nobu tidak ada_x000a_30/03 Support up ke nobu, di infokan gagal,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3-30T00:00:00"/>
    <x v="22"/>
  </r>
  <r>
    <s v="INC20260402754"/>
    <d v="2026-04-02T09:59:00"/>
    <s v="Email"/>
    <s v="Carmen Cúneo &lt;carmenmcuneoyanzon@gmail.com&gt;"/>
    <s v="MOLINA"/>
    <s v="Request"/>
    <s v="VOA"/>
    <x v="0"/>
    <x v="10"/>
    <x v="723"/>
    <s v="BRI VOA"/>
    <s v="R02"/>
    <x v="0"/>
    <s v="02/04 req masuk_x000a_02/04 support meminta info cc yg digunakan_x000a_02/04 cust melampirkan info cc yg digunakan_x000a_02/04 support infokan jika trx valid_x000a_02/04 cust infokan jika tercharge 3x_x000a_03/04 cust FU_x000a_03/04 DONE refund"/>
    <s v="SOP #09"/>
    <s v="Z:\03. Operation\08. Merchant Support\Prosedur L1\24. ISSUE - SOP Refund CC VoA.pdf"/>
    <d v="2026-04-03T00:00:00"/>
    <x v="22"/>
  </r>
  <r>
    <s v="INC20260402755"/>
    <d v="2026-04-02T14:15:00"/>
    <s v="Email"/>
    <s v="kkd_ipm2@corp.bri.co.id"/>
    <s v="MOLINA"/>
    <s v="Request"/>
    <s v="VOA"/>
    <x v="4"/>
    <x v="5"/>
    <x v="724"/>
    <s v="BRI VOA"/>
    <s v="R02"/>
    <x v="0"/>
    <s v="02/04 req masuk_x000a_06/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6T00:00:00"/>
    <x v="22"/>
  </r>
  <r>
    <s v="INC20260402756"/>
    <d v="2026-04-02T15:11:00"/>
    <s v="Email"/>
    <s v="kkd_ipm2@corp.bri.co.id"/>
    <s v="MOLINA"/>
    <s v="Request"/>
    <s v="VOA"/>
    <x v="4"/>
    <x v="5"/>
    <x v="725"/>
    <s v="BRI VOA"/>
    <s v="R02"/>
    <x v="0"/>
    <s v="02/04 req masuk_x000a_06/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6T00:00:00"/>
    <x v="22"/>
  </r>
  <r>
    <s v="INC20260402757"/>
    <d v="2026-04-02T15:07:00"/>
    <s v="Email"/>
    <s v="Tianah &lt;tokotianah123@gmail.com&gt;"/>
    <s v="PT Daya Net Gemilang"/>
    <s v="Issue"/>
    <s v="VA"/>
    <x v="2"/>
    <x v="2"/>
    <x v="726"/>
    <s v="BCA"/>
    <s v="R01"/>
    <x v="0"/>
    <s v="02/04 req masuk + support meminta kronologis_x000a_07/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2"/>
  </r>
  <r>
    <s v="INC20260402758"/>
    <d v="2026-04-02T15:14:00"/>
    <s v="Email"/>
    <s v="keluhan_payment@bca.co.id"/>
    <s v="PT Daya Net Gemilang"/>
    <s v="Issue"/>
    <s v="VA"/>
    <x v="2"/>
    <x v="2"/>
    <x v="727"/>
    <s v="BCA"/>
    <s v="R01"/>
    <x v="0"/>
    <s v="02/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2"/>
  </r>
  <r>
    <s v="INC20260402759"/>
    <d v="2026-04-02T15:52:00"/>
    <s v="Email"/>
    <s v="kkd_ipm2@corp.bri.co.id"/>
    <s v="MOLINA"/>
    <s v="Request"/>
    <s v="VOA"/>
    <x v="1"/>
    <x v="1"/>
    <x v="728"/>
    <s v="BRI VOA"/>
    <s v="R02"/>
    <x v="0"/>
    <s v="02/04 KKD KONFIRMASI Pre-Arbitrasi _x000a_02/04 Support infokan jika terdapat request Pre-Arb dari Bank"/>
    <m/>
    <m/>
    <m/>
    <x v="22"/>
  </r>
  <r>
    <s v="INC20260402760"/>
    <d v="2026-04-02T16:26:00"/>
    <s v="Email"/>
    <s v="chargebackops.acq@corp.bri.co.id"/>
    <s v="MOLINA"/>
    <s v="Request"/>
    <s v="VOA"/>
    <x v="4"/>
    <x v="5"/>
    <x v="729"/>
    <s v="BRI VOA"/>
    <s v="R02"/>
    <x v="0"/>
    <s v="02/04 req masuk_x000a_06/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6T00:00:00"/>
    <x v="22"/>
  </r>
  <r>
    <s v="INC20260402761"/>
    <d v="2026-04-02T18:22:00"/>
    <s v="Email"/>
    <s v="Adele Leverett &lt;adelelev1966@gmail.com&gt;"/>
    <s v="MOLINA"/>
    <s v="Request"/>
    <s v="VOA"/>
    <x v="0"/>
    <x v="10"/>
    <x v="730"/>
    <s v="BRI VOA"/>
    <s v="R02"/>
    <x v="0"/>
    <s v="02/04 req masuk, cust infokan double payment_x000a_02/04 support meminta info cc yg digunakan_x000a_02/04 cust infokan cc yg digunakan_x000a_02/04 support infokan trx tersebut sukses untuk 2 orng_x000a_02/04 support infokan jika trx sukses &amp; tdk bisa refund"/>
    <s v="SOP #09"/>
    <s v="Z:\03. Operation\08. Merchant Support\Prosedur L1\24. ISSUE - SOP Refund CC VoA.pdf"/>
    <d v="2026-04-02T00:00:00"/>
    <x v="23"/>
  </r>
  <r>
    <s v="INC20260402762"/>
    <d v="2026-04-02T20:39:00"/>
    <s v="Email"/>
    <s v="Merchant Resolution &lt;merchant.resolution@nobubank.com&gt;"/>
    <s v="PT Daya Net Gemilang"/>
    <s v="Request"/>
    <s v="QR"/>
    <x v="3"/>
    <x v="7"/>
    <x v="731"/>
    <s v="NOBU"/>
    <s v="R01"/>
    <x v="0"/>
    <s v="02/04 req masuk_x000a_02/04 support infokan trx sukses"/>
    <s v="SOP #02"/>
    <s v="1. Memastikan status transaksi pada Dashboard_x000a_     IF &quot;Transaksi GAGAL&quot;, AND &quot;Dana TDK MASUK&quot; (via rekon) then &quot;Infokan GAGAL&quot;_x000a_     IF &quot;Transaksi SUKSES&quot;, AND &quot;Dana MASUK&quot; (via rekon) then &quot;Infokan SUKSES&quot;"/>
    <d v="2026-04-02T00:00:00"/>
    <x v="23"/>
  </r>
  <r>
    <s v="INC20260403763"/>
    <d v="2026-04-03T02:00:00"/>
    <s v="Email"/>
    <s v="Eleni Papadopoulou &lt;eleni_pap22@hotmail.com&gt;"/>
    <s v="MOLINA"/>
    <s v="Request"/>
    <s v="VOA"/>
    <x v="0"/>
    <x v="10"/>
    <x v="732"/>
    <s v="BRI VOA"/>
    <s v="R02"/>
    <x v="0"/>
    <s v="03/04 req masuk, cust infokan tercharge 4x_x000a_03/04 support meminta info cc yg digunakan_x000a_03/04 cust lampirkan cc yg digunakan_x000a_03/04 DONE support refund"/>
    <s v="SOP #09"/>
    <s v="Z:\03. Operation\08. Merchant Support\Prosedur L1\24. ISSUE - SOP Refund CC VoA.pdf"/>
    <d v="2026-04-03T00:00:00"/>
    <x v="23"/>
  </r>
  <r>
    <s v="INC20260403764"/>
    <d v="2026-04-03T06:23:00"/>
    <s v="Email"/>
    <s v="Abs Dey &lt;absdey88@gmail.com&gt;"/>
    <s v="MOLINA"/>
    <s v="Request"/>
    <s v="VOA"/>
    <x v="0"/>
    <x v="10"/>
    <x v="733"/>
    <s v="BRI VOA"/>
    <s v="R02"/>
    <x v="0"/>
    <s v="03/04 req masuk_x000a_03/04 support meminta info cc yg digunakan_x000a_03/04 cust infokan tercharge 3x_x000a_03/04 DONE support refund"/>
    <s v="SOP #09"/>
    <s v="Z:\03. Operation\08. Merchant Support\Prosedur L1\24. ISSUE - SOP Refund CC VoA.pdf"/>
    <d v="2026-04-03T00:00:00"/>
    <x v="23"/>
  </r>
  <r>
    <s v="INC20260403765"/>
    <d v="2026-04-03T08:00:00"/>
    <s v="Email"/>
    <s v="Tianah &lt;tokotianah123@gmail.com&gt;"/>
    <s v="PT Daya Net Gemilang"/>
    <s v="Issue"/>
    <s v="VA"/>
    <x v="2"/>
    <x v="2"/>
    <x v="734"/>
    <s v="BCA"/>
    <s v="R01"/>
    <x v="0"/>
    <s v="03/04 req masuk_x000a_03/04 support meminta detail kejadian_x000a_07/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3"/>
  </r>
  <r>
    <s v="INC20260403766"/>
    <d v="2026-04-03T13:00:00"/>
    <s v="Email"/>
    <s v="Stanslav Akimenko &lt;kimenst.mail@gmail.com&gt;"/>
    <s v="MOLINA"/>
    <s v="Request"/>
    <s v="VOA"/>
    <x v="0"/>
    <x v="10"/>
    <x v="735"/>
    <s v="BRI VOA"/>
    <s v="R02"/>
    <x v="0"/>
    <s v="03/04 req masuk_x000a_03/04 DONE support refund"/>
    <s v="SOP #09"/>
    <s v="Z:\03. Operation\08. Merchant Support\Prosedur L1\24. ISSUE - SOP Refund CC VoA.pdf"/>
    <d v="2026-04-03T00:00:00"/>
    <x v="23"/>
  </r>
  <r>
    <s v="INC20260403767"/>
    <d v="2026-04-03T17:10:00"/>
    <s v="Email"/>
    <s v="Merchant Resolution &lt;merchant.resolution@nobubank.com&gt;"/>
    <s v="PT Daya Net Gemilang"/>
    <s v="Request"/>
    <s v="QR"/>
    <x v="3"/>
    <x v="7"/>
    <x v="736"/>
    <s v="NOBU"/>
    <s v="R01"/>
    <x v="0"/>
    <s v="03/04 req masuk_x000a_03/04 support infokan trx sukses"/>
    <s v="SOP #02"/>
    <s v="1. Memastikan status transaksi pada Dashboard_x000a_     IF &quot;Transaksi GAGAL&quot;, AND &quot;Dana TDK MASUK&quot; (via rekon) then &quot;Infokan GAGAL&quot;_x000a_     IF &quot;Transaksi SUKSES&quot;, AND &quot;Dana MASUK&quot; (via rekon) then &quot;Infokan SUKSES&quot;"/>
    <d v="2026-04-03T00:00:00"/>
    <x v="23"/>
  </r>
  <r>
    <s v="INC20260403768"/>
    <d v="2026-04-03T19:37:00"/>
    <s v="Email"/>
    <s v="Merchant Resolution &lt;merchant.resolution@nobubank.com&gt;"/>
    <s v="Alomogada"/>
    <s v="Request"/>
    <s v="QR"/>
    <x v="3"/>
    <x v="7"/>
    <x v="737"/>
    <s v="NOBU"/>
    <s v="R01"/>
    <x v="0"/>
    <s v="03/04 req masuk_x000a_03/04 support infokan jika MTN tidak ditemukan"/>
    <s v="SOP #02"/>
    <s v="1. Memastikan status transaksi pada Dashboard_x000a_     IF &quot;Transaksi GAGAL&quot;, AND &quot;Dana TDK MASUK&quot; (via rekon) then &quot;Infokan GAGAL&quot;_x000a_     IF &quot;Transaksi SUKSES&quot;, AND &quot;Dana MASUK&quot; (via rekon) then &quot;Infokan SUKSES&quot;"/>
    <d v="2026-04-03T00:00:00"/>
    <x v="23"/>
  </r>
  <r>
    <s v="INC20260405769"/>
    <d v="2026-04-05T11:45:00"/>
    <s v="Email"/>
    <s v="Daria G &lt;dgerasi4@gmail.com&gt;"/>
    <s v="MOLINA"/>
    <s v="Request"/>
    <s v="VOA"/>
    <x v="0"/>
    <x v="10"/>
    <x v="738"/>
    <s v="BRI VOA"/>
    <s v="R02"/>
    <x v="0"/>
    <s v="05/04 req masuk_x000a_08/04 cust FU + support proses refund"/>
    <s v="SOP #09"/>
    <s v="Z:\03. Operation\08. Merchant Support\Prosedur L1\24. ISSUE - SOP Refund CC VoA.pdf"/>
    <d v="2026-04-08T00:00:00"/>
    <x v="23"/>
  </r>
  <r>
    <s v="INC20260405770"/>
    <d v="2026-04-05T15:43:00"/>
    <s v="Email"/>
    <s v="Salma &lt;salmasydney06@gmail.com&gt;"/>
    <s v="PT Teknologi Awan Cerah"/>
    <s v="Issue"/>
    <s v="VA"/>
    <x v="2"/>
    <x v="2"/>
    <x v="739"/>
    <s v="BCA"/>
    <s v="R01"/>
    <x v="0"/>
    <s v="05/04 req masuk_x000a_05/04 support meminta kronologis dikasih materai dan di ttd_x000a_07/04 belum dibala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3"/>
  </r>
  <r>
    <s v="INC20260405771"/>
    <d v="2026-04-05T16:03:00"/>
    <s v="Email"/>
    <s v="Maria Fernandez &lt;maria.mariafernandez@gmail.com&gt;"/>
    <s v="MOLINA"/>
    <s v="Request"/>
    <s v="VOA"/>
    <x v="0"/>
    <x v="10"/>
    <x v="740"/>
    <s v="BRI VOA"/>
    <s v="R02"/>
    <x v="0"/>
    <s v="05/04 req masuk_x000a_05/04 support meminta info cc yg digunakan_x000a_06/04 cust melampirkan cc yg digunakan_x000a_06/04 DONE refund"/>
    <s v="SOP #09"/>
    <s v="Z:\03. Operation\08. Merchant Support\Prosedur L1\24. ISSUE - SOP Refund CC VoA.pdf"/>
    <d v="2026-04-06T00:00:00"/>
    <x v="23"/>
  </r>
  <r>
    <s v="INC20260405772"/>
    <d v="2026-04-05T20:29:00"/>
    <s v="Email"/>
    <s v="Tom &lt;tompowellemail@gmail.com&gt;"/>
    <s v="MOLINA"/>
    <s v="Request"/>
    <s v="VOA"/>
    <x v="0"/>
    <x v="10"/>
    <x v="741"/>
    <s v="BRI VOA"/>
    <s v="R02"/>
    <x v="0"/>
    <s v="05/04 req masuk_x000a_05/04 support meminta info cc yg digunakan_x000a_06/04 cust melampirka cc yg digunakan_x000a_06/04 support infokan trx sukses &amp; sudah diteruskan ke goverment sehingga tdk bisa direfund"/>
    <s v="SOP #09"/>
    <s v="Z:\03. Operation\08. Merchant Support\Prosedur L1\24. ISSUE - SOP Refund CC VoA.pdf"/>
    <d v="2026-04-06T00:00:00"/>
    <x v="23"/>
  </r>
  <r>
    <s v="INC20260406773"/>
    <d v="2026-04-06T08:51:00"/>
    <s v="Email"/>
    <s v="Distribusi Lancar Jaya &lt;distribusilancarjaya@gmail.com&gt;"/>
    <s v="Jatimpark Vending Mechine"/>
    <s v="Request"/>
    <s v="QR"/>
    <x v="0"/>
    <x v="0"/>
    <x v="742"/>
    <s v="NOBU"/>
    <s v="R04"/>
    <x v="0"/>
    <s v="06/04 req masuk + support teruskan ke NOBU_x000a_06/04 DONE"/>
    <m/>
    <s v="Buka SOP 'REFUND QR NOBU'"/>
    <d v="2026-04-06T00:00:00"/>
    <x v="23"/>
  </r>
  <r>
    <s v="INC20260406774"/>
    <d v="2026-04-06T03:36:00"/>
    <s v="Email"/>
    <s v="bernfulanda@gmail.com"/>
    <s v="MOLINA"/>
    <s v="Request"/>
    <s v="VOA"/>
    <x v="4"/>
    <x v="8"/>
    <x v="743"/>
    <s v="BRI VOA"/>
    <s v="R02"/>
    <x v="0"/>
    <s v="06/04 req masuk + support lampirkan payment receipt"/>
    <m/>
    <m/>
    <d v="2026-04-06T00:00:00"/>
    <x v="23"/>
  </r>
  <r>
    <s v="INC20260406775"/>
    <d v="2026-04-06T09:11:00"/>
    <s v="Email"/>
    <s v="kkd_ipm2@corp.bri.co.id"/>
    <s v="MOLINA"/>
    <s v="Request"/>
    <s v="VOA"/>
    <x v="1"/>
    <x v="1"/>
    <x v="744"/>
    <s v="BRI VOA"/>
    <s v="R02"/>
    <x v="0"/>
    <s v="02/01 KKD KONFIRMASI Pre-Arbitrasi _x000a_02/01 Support infokan jika terdapat request Pre-Arb dari Bank"/>
    <m/>
    <m/>
    <m/>
    <x v="23"/>
  </r>
  <r>
    <s v="INC20260406776"/>
    <d v="2026-04-06T08:58:00"/>
    <s v="Email"/>
    <s v="chargebackops.acq@corp.bri.co.id"/>
    <s v="MOLINA"/>
    <s v="Request"/>
    <s v="VOA"/>
    <x v="4"/>
    <x v="5"/>
    <x v="745"/>
    <s v="BRI VOA"/>
    <s v="R02"/>
    <x v="0"/>
    <s v="06/04 req masuk_x000a_08/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8T00:00:00"/>
    <x v="23"/>
  </r>
  <r>
    <s v="INC20260402777"/>
    <d v="2026-04-02T15:18:00"/>
    <s v="WA"/>
    <s v="-"/>
    <s v="YAYASAN DIAN ASRA"/>
    <s v="Request"/>
    <s v="VA"/>
    <x v="3"/>
    <x v="3"/>
    <x v="746"/>
    <s v="MANDIRI"/>
    <s v="R01"/>
    <x v="0"/>
    <s v="02/04 Undira tanyakan 8903910112851953_x000a_02/04 cek di plink sukses dana db prismalink juga sukses_x000a_02/04 update dan infokan sukses"/>
    <s v="SOP #05"/>
    <s v="1. Pastikan merchant &amp; transaksi tersebut valid_x000a_2. Cek VA di apps.plink, bandingkan amount:_x000a__x0009_Amount sama → Update transaksi._x000a__x0009_Amount berbeda → Tidak bisa diupdate, informasikan ke merchant."/>
    <d v="2026-04-02T00:00:00"/>
    <x v="23"/>
  </r>
  <r>
    <s v="INC20260402778"/>
    <d v="2026-04-02T15:19:00"/>
    <s v="WA"/>
    <s v="-"/>
    <s v="PT Daya Net Gemilang"/>
    <s v="Request"/>
    <s v="QR"/>
    <x v="3"/>
    <x v="3"/>
    <x v="747"/>
    <s v="NOBU"/>
    <s v="R01"/>
    <x v="0"/>
    <s v="02/04 dnt tanyakan 000282518993 / NACL1449813605_x000a_02/04 cek DB Nobu sukses, db prismalink check stts dan sudah berubah sukses_x000a_02/04 update dan infokan sukses"/>
    <s v="SOP #08"/>
    <s v="1. Pastikan merchant &amp; transaksi tersebut valid_x000a_2. Cek QR di dashboard NOBU/BNC_x000a_3. Hit button check-status di dashboard.plink.co.id"/>
    <d v="2026-04-02T00:00:00"/>
    <x v="23"/>
  </r>
  <r>
    <s v="INC20260402779"/>
    <d v="2026-04-02T19:32:00"/>
    <s v="WA"/>
    <s v="-"/>
    <s v="PT Daya Net Gemilang"/>
    <s v="Request"/>
    <s v="QR"/>
    <x v="3"/>
    <x v="4"/>
    <x v="748"/>
    <s v="BNC"/>
    <s v="R01"/>
    <x v="0"/>
    <s v="02/04 DNT tanyakan 099113371215_x000a_02/04 cek db nobu sukses dan db prismalink sukses juga_x000a_02/04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2T00:00:00"/>
    <x v="23"/>
  </r>
  <r>
    <s v="INC20260403780"/>
    <d v="2026-04-03T08:25:00"/>
    <s v="WA"/>
    <s v="-"/>
    <s v="Tripay"/>
    <s v="Request"/>
    <s v="VA"/>
    <x v="3"/>
    <x v="4"/>
    <x v="749"/>
    <s v="BCA"/>
    <s v="R01"/>
    <x v="0"/>
    <s v="03/04 tripay tanyakan 7900117900027356 _x000a_03/04 Support cek mbase status error reject _x000a_03/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3T00:00:00"/>
    <x v="23"/>
  </r>
  <r>
    <s v="INC20260403781"/>
    <d v="2026-04-03T08:55:00"/>
    <s v="WA"/>
    <s v="-"/>
    <s v="PT Daya Net Gemilang"/>
    <s v="Request"/>
    <s v="VA"/>
    <x v="3"/>
    <x v="4"/>
    <x v="750"/>
    <s v="BCA"/>
    <s v="R01"/>
    <x v="0"/>
    <s v="03/04 dnt tanyakan 7900125000096785  _x000a_03/04 Support cek mbase status error reject _x000a_03/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3T00:00:00"/>
    <x v="23"/>
  </r>
  <r>
    <s v="INC20260404782"/>
    <d v="2026-04-04T21:54:00"/>
    <s v="WA"/>
    <s v="-"/>
    <s v="PT Daya Net Gemilang"/>
    <s v="Request"/>
    <s v="QR"/>
    <x v="3"/>
    <x v="4"/>
    <x v="751"/>
    <s v="NOBU"/>
    <s v="R01"/>
    <x v="0"/>
    <s v="04/04 dnt tanyakan 1n8vx6887563   _x000a_04/04 Support cek nobu dan db status setld_x000a_04/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4T00:00:00"/>
    <x v="23"/>
  </r>
  <r>
    <s v="INC20260404783"/>
    <d v="2026-04-04T20:50:00"/>
    <s v="WA"/>
    <s v="-"/>
    <s v="PT Daya Net Gemilang"/>
    <s v="Request"/>
    <s v="QR"/>
    <x v="3"/>
    <x v="4"/>
    <x v="752"/>
    <s v="NOBU"/>
    <s v="R01"/>
    <x v="0"/>
    <s v="04/04 dnt tanyakan 41942930f2b5   _x000a_04/04 Support cek nobu dan db status setld_x000a_04/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4T00:00:00"/>
    <x v="23"/>
  </r>
  <r>
    <s v="INC20260406784"/>
    <d v="2026-04-06T11:24:00"/>
    <s v="Email"/>
    <s v="Freya Johnson &lt;freyapjohnson@icloud.com&gt;"/>
    <s v="MOLINA"/>
    <s v="Request"/>
    <s v="VOA"/>
    <x v="0"/>
    <x v="10"/>
    <x v="753"/>
    <s v="BRI VOA"/>
    <s v="R02"/>
    <x v="0"/>
    <s v="06/04 req masuk_x000a_06/04 DONE refund"/>
    <s v="SOP #09"/>
    <s v="Z:\03. Operation\08. Merchant Support\Prosedur L1\24. ISSUE - SOP Refund CC VoA.pdf"/>
    <d v="2026-04-06T00:00:00"/>
    <x v="24"/>
  </r>
  <r>
    <s v="INC20260406785"/>
    <d v="2026-04-06T13:50:00"/>
    <s v="Email"/>
    <s v="n.hellweg@web.de"/>
    <s v="MOLINA"/>
    <s v="Request"/>
    <s v="VOA"/>
    <x v="0"/>
    <x v="10"/>
    <x v="754"/>
    <s v="BRI VOA"/>
    <s v="R02"/>
    <x v="0"/>
    <s v="06/04 req masuk_x000a_06/04 DONE refund"/>
    <s v="SOP #09"/>
    <s v="Z:\03. Operation\08. Merchant Support\Prosedur L1\24. ISSUE - SOP Refund CC VoA.pdf"/>
    <d v="2026-04-06T00:00:00"/>
    <x v="24"/>
  </r>
  <r>
    <s v="INC20260406786"/>
    <d v="2026-04-06T15:38:00"/>
    <s v="Email"/>
    <s v="keluhan_payment@bca.co.id"/>
    <s v="PT Daya Net Gemilang"/>
    <s v="Issue"/>
    <s v="VA"/>
    <x v="2"/>
    <x v="2"/>
    <x v="755"/>
    <s v="BCA"/>
    <s v="R01"/>
    <x v="0"/>
    <s v="06/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6787"/>
    <d v="2026-04-06T15:41:00"/>
    <s v="Email"/>
    <s v="keluhan_payment@bca.co.id"/>
    <s v="PT Kreasi Kode Kreatif"/>
    <s v="Issue"/>
    <s v="VA"/>
    <x v="2"/>
    <x v="2"/>
    <x v="756"/>
    <s v="BCA"/>
    <s v="R01"/>
    <x v="0"/>
    <s v="06/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6788"/>
    <d v="2026-04-06T23:33:00"/>
    <s v="Email"/>
    <s v="oosu135790 &lt;oosu135790@naver.com&gt;"/>
    <s v="MOLINA"/>
    <s v="Request"/>
    <s v="VOA"/>
    <x v="0"/>
    <x v="10"/>
    <x v="757"/>
    <s v="BRI VOA"/>
    <s v="R02"/>
    <x v="0"/>
    <s v="06/04 req masuk_x000a_06/04 support memeinta info cc yg digunakan_x000a_06/04 cust infokan cc_x000a_07/04 support refund"/>
    <s v="SOP #09"/>
    <s v="Z:\03. Operation\08. Merchant Support\Prosedur L1\24. ISSUE - SOP Refund CC VoA.pdf"/>
    <d v="2026-04-07T00:00:00"/>
    <x v="24"/>
  </r>
  <r>
    <s v="INC20260407789"/>
    <d v="2026-04-07T07:59:00"/>
    <s v="Email"/>
    <s v="Jason Smith &lt;jason.smith@x86digital.com.au&gt;"/>
    <s v="MOLINA"/>
    <s v="Request"/>
    <s v="VOA"/>
    <x v="0"/>
    <x v="10"/>
    <x v="758"/>
    <s v="BRI VOA"/>
    <s v="R02"/>
    <x v="0"/>
    <s v="07/04 req masuk_x000a_07/04 support meminta info cc_x000a_07/04 cust infokan + support refund"/>
    <s v="SOP #09"/>
    <s v="Z:\03. Operation\08. Merchant Support\Prosedur L1\24. ISSUE - SOP Refund CC VoA.pdf"/>
    <d v="2026-04-07T00:00:00"/>
    <x v="24"/>
  </r>
  <r>
    <s v="INC20260407790"/>
    <d v="2026-04-07T09:21:00"/>
    <s v="Email"/>
    <s v="Litao (Terry) &lt;hw.litao@huawei.com&gt;"/>
    <s v="MOLINA"/>
    <s v="Request"/>
    <s v="VOA"/>
    <x v="4"/>
    <x v="8"/>
    <x v="759"/>
    <s v="BRI VOA"/>
    <s v="R02"/>
    <x v="0"/>
    <s v="07/04 req masuk_x000a_07/04 DONE "/>
    <s v="SOP #09"/>
    <s v="Z:\03. Operation\08. Merchant Support\Prosedur L1\24. ISSUE - SOP Refund CC VoA.pdf"/>
    <d v="2026-04-07T00:00:00"/>
    <x v="24"/>
  </r>
  <r>
    <s v="INC20260407791"/>
    <d v="2026-04-07T09:24:00"/>
    <s v="Email"/>
    <s v="Distribusi Lancar Jaya &lt;distribusilancarjaya@gmail.com&gt;"/>
    <s v="Jatimpark Vending Mechine"/>
    <s v="Request"/>
    <s v="QR"/>
    <x v="0"/>
    <x v="0"/>
    <x v="760"/>
    <s v="NOBU"/>
    <s v="R04"/>
    <x v="0"/>
    <s v="07/04 req masuk + support teruskan ke NOBU_x000a_07/04 DONE"/>
    <m/>
    <s v="Buka SOP 'REFUND QR NOBU'"/>
    <d v="2026-04-07T00:00:00"/>
    <x v="24"/>
  </r>
  <r>
    <s v="INC20260407792"/>
    <d v="2026-04-07T10:10:00"/>
    <s v="Email"/>
    <s v="도한성 &lt;doichang73@gmail.com&gt;"/>
    <s v="MOLINA"/>
    <s v="Request"/>
    <s v="VOA"/>
    <x v="4"/>
    <x v="8"/>
    <x v="761"/>
    <s v="BRI VOA"/>
    <s v="R02"/>
    <x v="0"/>
    <s v="07/04 req masuk + support minta info cc  yg digunakan_x000a_07/04 cust infokan cc yg digunakan_x000a_07/04 DONE"/>
    <s v="SOP #09"/>
    <s v="Z:\03. Operation\08. Merchant Support\Prosedur L1\24. ISSUE - SOP Refund CC VoA.pdf"/>
    <d v="2026-04-07T00:00:00"/>
    <x v="24"/>
  </r>
  <r>
    <s v="INC20260407793"/>
    <d v="2026-04-07T10:01:00"/>
    <s v="Email"/>
    <s v="anauliana32@gmail.com"/>
    <s v="MOLINA"/>
    <s v="Request"/>
    <s v="VOA"/>
    <x v="0"/>
    <x v="10"/>
    <x v="762"/>
    <s v="BRI VOA"/>
    <s v="R02"/>
    <x v="0"/>
    <s v="07/04 req masuk + support minta info cc  yg digunakan_x000a_07/04 cust lampirkan cc yg digunakan_x000a_08/04 support infokan jika sudah di refund"/>
    <s v="SOP #09"/>
    <s v="Z:\03. Operation\08. Merchant Support\Prosedur L1\24. ISSUE - SOP Refund CC VoA.pdf"/>
    <d v="2026-04-08T00:00:00"/>
    <x v="24"/>
  </r>
  <r>
    <s v="INC20260407794"/>
    <d v="2026-04-07T11:15:00"/>
    <s v="Email"/>
    <s v="chargebackops.acq@corp.bri.co.id"/>
    <s v="MOLINA"/>
    <s v="Request"/>
    <s v="VOA"/>
    <x v="4"/>
    <x v="5"/>
    <x v="763"/>
    <s v="BRI VOA"/>
    <s v="R02"/>
    <x v="0"/>
    <s v="06/04 req masuk_x000a_08/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8T00:00:00"/>
    <x v="24"/>
  </r>
  <r>
    <s v="INC20260407795"/>
    <d v="2026-04-07T14:24:00"/>
    <s v="Email"/>
    <s v="keluhan_payment@bca.co.id"/>
    <s v="PT Kreasi Kode Kreatif"/>
    <s v="Issue"/>
    <s v="VA"/>
    <x v="2"/>
    <x v="2"/>
    <x v="764"/>
    <s v="BCA"/>
    <s v="R01"/>
    <x v="0"/>
    <s v="07/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7796"/>
    <d v="2026-04-07T14:44:00"/>
    <s v="Email"/>
    <s v="Dwi Wayuni &lt;Dwi.Wayuni@danamon.co.id&gt;"/>
    <s v="PT Daya Net Gemilang"/>
    <s v="Request"/>
    <s v="VA"/>
    <x v="3"/>
    <x v="4"/>
    <x v="765"/>
    <s v="Danamon"/>
    <s v="R01"/>
    <x v="0"/>
    <s v="07/04 req masuk_x000a_07/04 support infokan jika trx sudah suk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7T00:00:00"/>
    <x v="24"/>
  </r>
  <r>
    <s v="INC20260407797"/>
    <d v="2026-04-07T16:13:00"/>
    <s v="Email"/>
    <s v="keluhan_payment@bca.co.id"/>
    <s v="PT Teknologi Awan Cerah"/>
    <s v="Issue"/>
    <s v="VA"/>
    <x v="2"/>
    <x v="2"/>
    <x v="766"/>
    <s v="BCA"/>
    <s v="R01"/>
    <x v="0"/>
    <s v="07/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7798"/>
    <d v="2026-04-07T17:13:00"/>
    <s v="Email"/>
    <s v="keluhan_payment@bca.co.id"/>
    <s v="PT Daya Net Gemilang_x000a_PT ENVOIZ DIGITAL INDONESIA"/>
    <s v="Issue"/>
    <s v="VA"/>
    <x v="2"/>
    <x v="2"/>
    <x v="767"/>
    <s v="BCA"/>
    <s v="R01"/>
    <x v="0"/>
    <s v="07/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7799"/>
    <d v="2026-04-07T17:53:00"/>
    <s v="Email"/>
    <s v="keluhan_payment@bca.co.id"/>
    <s v="PT Teknologi Awan Cerah"/>
    <s v="Issue"/>
    <s v="VA"/>
    <x v="2"/>
    <x v="2"/>
    <x v="768"/>
    <s v="BCA"/>
    <s v="R01"/>
    <x v="0"/>
    <s v="07/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8800"/>
    <d v="2026-04-08T04:26:00"/>
    <s v="Email"/>
    <s v="sasha hamid &lt;sashahamidx@gmail.com&gt;"/>
    <s v="MOLINA"/>
    <s v="Request"/>
    <s v="VOA"/>
    <x v="0"/>
    <x v="10"/>
    <x v="769"/>
    <s v="BRI VOA"/>
    <s v="R02"/>
    <x v="0"/>
    <s v="08/04 req masuk + support meminta info cc_x000a_08/04 support infokan jika trx hanya 1x terproses &amp; yg gagal sudah di refund"/>
    <s v="SOP #09"/>
    <s v="Z:\03. Operation\08. Merchant Support\Prosedur L1\24. ISSUE - SOP Refund CC VoA.pdf"/>
    <d v="2026-04-08T00:00:00"/>
    <x v="24"/>
  </r>
  <r>
    <s v="INC20260408801"/>
    <d v="2026-04-08T07:45:00"/>
    <s v="Email"/>
    <s v="Customerrelations &lt;customerrelations@bca.co.id&gt;"/>
    <s v="PT Teknologi Awan Cerah"/>
    <s v="Issue"/>
    <s v="VA"/>
    <x v="2"/>
    <x v="2"/>
    <x v="770"/>
    <s v="BCA"/>
    <s v="R01"/>
    <x v="0"/>
    <s v="07/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8802"/>
    <d v="2026-04-08T07:49:00"/>
    <s v="Email"/>
    <s v="John Woods &lt;j.woods@watchgas.com&gt;"/>
    <s v="MOLINA"/>
    <s v="Request"/>
    <s v="VOA"/>
    <x v="4"/>
    <x v="8"/>
    <x v="771"/>
    <s v="BRI VOA"/>
    <s v="R02"/>
    <x v="0"/>
    <s v="08/04 req masuk + support meminta info cc yg digunakan_x000a_08/04 cust infokan cc_x000a_15/04 DONE"/>
    <m/>
    <m/>
    <d v="2026-04-15T00:00:00"/>
    <x v="24"/>
  </r>
  <r>
    <s v="INC20260408803"/>
    <d v="2026-04-08T08:48:00"/>
    <s v="Email"/>
    <s v="Distribusi Lancar Jaya &lt;distribusilancarjaya@gmail.com&gt;"/>
    <s v="Jatimpark Vending Mechine"/>
    <s v="Request"/>
    <s v="QR"/>
    <x v="0"/>
    <x v="0"/>
    <x v="772"/>
    <s v="NOBU"/>
    <s v="R04"/>
    <x v="0"/>
    <s v="08/04 req masuk + support teruskan ke NOBU_x000a_08/04 DONE"/>
    <m/>
    <s v="Buka SOP 'REFUND QR NOBU'"/>
    <d v="2026-04-08T00:00:00"/>
    <x v="24"/>
  </r>
  <r>
    <s v="INC20260408804"/>
    <d v="2026-04-08T16:15:00"/>
    <s v="Email"/>
    <s v="keluhan_payment@bca.co.id"/>
    <s v="PT Kreasi Kode Kreatif"/>
    <s v="Issue"/>
    <s v="VA"/>
    <x v="2"/>
    <x v="2"/>
    <x v="773"/>
    <s v="BCA"/>
    <s v="R01"/>
    <x v="0"/>
    <s v="08/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8805"/>
    <d v="2026-04-08T16:52:00"/>
    <s v="Email"/>
    <s v="keluhan_payment@bca.co.id"/>
    <s v="PT ENVOIZ DIGITAL INDONESIA"/>
    <s v="Issue"/>
    <s v="VA"/>
    <x v="2"/>
    <x v="2"/>
    <x v="774"/>
    <s v="BCA"/>
    <s v="R01"/>
    <x v="0"/>
    <s v="08/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8806"/>
    <d v="2026-04-08T21:30:00"/>
    <s v="Email"/>
    <s v="刘赓续 &lt;18063505002@126.com&gt;"/>
    <s v="MOLINA"/>
    <s v="Request"/>
    <s v="VOA"/>
    <x v="4"/>
    <x v="8"/>
    <x v="775"/>
    <s v="BRI VOA"/>
    <s v="R02"/>
    <x v="0"/>
    <s v="08/04 req masuk + support meminta info cc yg digunakan_x000a_08/04 cust infokan cc_x000a_09/04 DONE"/>
    <m/>
    <m/>
    <d v="2026-04-09T00:00:00"/>
    <x v="24"/>
  </r>
  <r>
    <s v="INC20260408807"/>
    <d v="2026-04-08T22:42:00"/>
    <s v="Email"/>
    <s v="Nitin Manocha &lt;manochanitin99@gmail.com&gt;"/>
    <s v="MOLINA"/>
    <s v="Request"/>
    <s v="VOA"/>
    <x v="0"/>
    <x v="10"/>
    <x v="769"/>
    <s v="BRI VOA"/>
    <s v="R02"/>
    <x v="0"/>
    <s v="08/04 req masuk + support meminta info cc yg digunakan_x000a_09/04 cust infokan no cc yg digunakan_x000a_09/04 support refund"/>
    <s v="SOP #09"/>
    <s v="Z:\03. Operation\08. Merchant Support\Prosedur L1\24. ISSUE - SOP Refund CC VoA.pdf"/>
    <d v="2026-04-08T00:00:00"/>
    <x v="24"/>
  </r>
  <r>
    <s v="INC20260409808"/>
    <d v="2026-04-09T08:45:00"/>
    <s v="Email"/>
    <s v="Distribusi Lancar Jaya &lt;distribusilancarjaya@gmail.com&gt;"/>
    <s v="Jatimpark Vending Mechine"/>
    <s v="Request"/>
    <s v="QR"/>
    <x v="0"/>
    <x v="0"/>
    <x v="776"/>
    <s v="NOBU"/>
    <s v="R04"/>
    <x v="0"/>
    <s v="09/04 req masuk + support teruskan ke NOBU_x000a_10/04 DONE"/>
    <m/>
    <s v="Buka SOP 'REFUND QR NOBU'"/>
    <d v="2026-04-10T00:00:00"/>
    <x v="24"/>
  </r>
  <r>
    <s v="INC20260408809"/>
    <d v="2026-04-08T13:52:00"/>
    <s v="Email"/>
    <s v="chargebackops.acq@corp.bri.co.id"/>
    <s v="MOLINA"/>
    <s v="Request"/>
    <s v="VOA"/>
    <x v="4"/>
    <x v="5"/>
    <x v="777"/>
    <s v="BRI VOA"/>
    <s v="R02"/>
    <x v="0"/>
    <s v="08/04 req masuk_x000a_09/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09T00:00:00"/>
    <x v="24"/>
  </r>
  <r>
    <s v="INC20260409810"/>
    <d v="2026-04-09T11:38:00"/>
    <s v="Email"/>
    <s v="LiliBerty Eglr &lt;elisabeth.eguileor@gmail.com&gt;"/>
    <s v="MOLINA"/>
    <s v="Request"/>
    <s v="VOA"/>
    <x v="0"/>
    <x v="10"/>
    <x v="778"/>
    <s v="BRI VOA"/>
    <s v="R02"/>
    <x v="0"/>
    <s v="08/04 req masuk + support meminta info cc yg digunakan_x000a_10/04 cust infokan cc_x000a_10/04 DONE, support refund"/>
    <s v="SOP #09"/>
    <s v="Z:\03. Operation\08. Merchant Support\Prosedur L1\24. ISSUE - SOP Refund CC VoA.pdf"/>
    <d v="2026-04-10T00:00:00"/>
    <x v="24"/>
  </r>
  <r>
    <s v="INC20260409811"/>
    <d v="2026-04-09T14:51:00"/>
    <s v="Email"/>
    <s v="Trent Teague &lt;trenton949@gmail.com&gt;"/>
    <s v="MOLINA"/>
    <s v="Request"/>
    <s v="VOA"/>
    <x v="0"/>
    <x v="10"/>
    <x v="779"/>
    <s v="BRI VOA"/>
    <s v="R02"/>
    <x v="0"/>
    <s v="09/04 req masuk + support meminta info cc yg digunakan_x000a_09/04 cust infokan cc yg digunakan_x000a_09/04 support refund"/>
    <s v="SOP #09"/>
    <s v="Z:\03. Operation\08. Merchant Support\Prosedur L1\24. ISSUE - SOP Refund CC VoA.pdf"/>
    <d v="2026-04-09T00:00:00"/>
    <x v="24"/>
  </r>
  <r>
    <s v="INC20260409812"/>
    <d v="2026-04-09T15:38:00"/>
    <s v="Email"/>
    <s v="keluhan_payment@bca.co.id"/>
    <s v="PT ENVOIZ DIGITAL INDONESIA"/>
    <s v="Issue"/>
    <s v="VA"/>
    <x v="2"/>
    <x v="2"/>
    <x v="780"/>
    <s v="BCA"/>
    <s v="R01"/>
    <x v="1"/>
    <s v="09/04 req masuk + support meminta kronologis_x000a_16/04 bca melampirkan kronologis_x000a_16/04 support teruskan ke merchant 'FW: [O5e1b26f] Indikasi Penipuan: BAYAR2.COM/09042026/062 / VA 7900124900064626 '_x000a_18/04 merchant infokan senin akan di update_x000a_20/04 merchant meminta surat pernyataan tambahan_x000a_21/04 merchant meminta data tambah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9813"/>
    <d v="2026-04-09T15:46:00"/>
    <s v="Email"/>
    <s v="keluhan_payment@bca.co.id"/>
    <s v="PT ENVOIZ DIGITAL INDONESIA"/>
    <s v="Issue"/>
    <s v="VA"/>
    <x v="2"/>
    <x v="2"/>
    <x v="781"/>
    <s v="BCA"/>
    <s v="R01"/>
    <x v="0"/>
    <s v="09/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09814"/>
    <d v="2026-04-09T15:57:00"/>
    <s v="Email"/>
    <s v="Merchant Resolution &lt;merchant.resolution@nobubank.com&gt;"/>
    <s v="PT Hotel Murah Travelindo"/>
    <s v="Request"/>
    <s v="QR"/>
    <x v="3"/>
    <x v="7"/>
    <x v="782"/>
    <s v="NOBU"/>
    <s v="R01"/>
    <x v="0"/>
    <s v="09/04 req masuk + support lampirkan evidence trx sukses_x000a_09/04 DONE"/>
    <s v="SOP #02"/>
    <s v="1. Memastikan status transaksi pada Dashboard_x000a_     IF &quot;Transaksi GAGAL&quot;, AND &quot;Dana TDK MASUK&quot; (via rekon) then &quot;Infokan GAGAL&quot;_x000a_     IF &quot;Transaksi SUKSES&quot;, AND &quot;Dana MASUK&quot; (via rekon) then &quot;Infokan SUKSES&quot;"/>
    <d v="2026-01-27T00:00:00"/>
    <x v="24"/>
  </r>
  <r>
    <s v="INC20260409815"/>
    <d v="2026-04-09T15:55:00"/>
    <s v="Email"/>
    <s v="s.ishiyama@denzai.group"/>
    <s v="MOLINA"/>
    <s v="Request"/>
    <s v="VOA"/>
    <x v="4"/>
    <x v="8"/>
    <x v="783"/>
    <s v="BRI VOA"/>
    <s v="R02"/>
    <x v="0"/>
    <s v="09/04 req masuk + support meminta info cc yg digunakan_x000a_09/04 DONE"/>
    <m/>
    <m/>
    <d v="2026-04-09T00:00:00"/>
    <x v="24"/>
  </r>
  <r>
    <s v="INC20260409816"/>
    <d v="2026-04-09T17:16:00"/>
    <s v="Email"/>
    <s v="孙吉升/Sun Jisheng &lt;tongjisun@163.com&gt;"/>
    <s v="MOLINA"/>
    <s v="Request"/>
    <s v="VOA"/>
    <x v="0"/>
    <x v="10"/>
    <x v="784"/>
    <s v="BRI VOA"/>
    <s v="R02"/>
    <x v="1"/>
    <s v="09/04 req masuk + support meminta info cc yg digunakan_x000a_15/04 cust infokan cc yg digunakan_x000a_15/04 support infokan jika trx tidak diteukan_x000a_17/04 cust lampirkan id guna pengecekan"/>
    <s v="SOP #09"/>
    <s v="Z:\03. Operation\08. Merchant Support\Prosedur L1\24. ISSUE - SOP Refund CC VoA.pdf"/>
    <m/>
    <x v="24"/>
  </r>
  <r>
    <s v="INC20260410817"/>
    <d v="2026-04-10T05:22:00"/>
    <s v="Email"/>
    <s v="Distribusi Lancar Jaya &lt;distribusilancarjaya@gmail.com&gt;"/>
    <s v="Jatimpark Vending Mechine"/>
    <s v="Request"/>
    <s v="QR"/>
    <x v="0"/>
    <x v="0"/>
    <x v="785"/>
    <s v="NOBU"/>
    <s v="R04"/>
    <x v="0"/>
    <s v="10/04 req masuk + support teruskan ke NOBU_x000a_10/04 DONE"/>
    <m/>
    <s v="Buka SOP 'REFUND QR NOBU'"/>
    <d v="2026-04-10T00:00:00"/>
    <x v="24"/>
  </r>
  <r>
    <s v="INC20260410818"/>
    <d v="2026-04-10T08:49:00"/>
    <s v="Email"/>
    <s v="keluhan_payment@bca.co.id"/>
    <s v="PT ENVOIZ DIGITAL INDONESIA"/>
    <s v="Issue"/>
    <s v="VA"/>
    <x v="2"/>
    <x v="2"/>
    <x v="786"/>
    <s v="BCA"/>
    <s v="R01"/>
    <x v="0"/>
    <s v="10/04 req masuk + support meminta kronologis"/>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10819"/>
    <d v="2026-04-10T09:28:00"/>
    <s v="Email"/>
    <s v="Adison Clarke &lt;adison.c@icloud.com&gt;"/>
    <s v="MOLINA"/>
    <s v="Request"/>
    <s v="VOA"/>
    <x v="4"/>
    <x v="5"/>
    <x v="787"/>
    <s v="BRI VOA"/>
    <s v="R02"/>
    <x v="0"/>
    <s v="10/04 req masuk + support meminta info cc yg digunakan_x000a_10/04 DONE_x000a_"/>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10T00:00:00"/>
    <x v="24"/>
  </r>
  <r>
    <s v="INC20260410820"/>
    <d v="2026-04-10T11:06:00"/>
    <s v="Email"/>
    <s v="kkd_ipm2@corp.bri.co.id"/>
    <s v="MOLINA"/>
    <s v="Request"/>
    <s v="VOA"/>
    <x v="1"/>
    <x v="1"/>
    <x v="788"/>
    <s v="BRI VOA"/>
    <s v="R02"/>
    <x v="0"/>
    <s v="10/04 KKD KONFIRMASI Pre-Arbitrasi _x000a_10/04 Support infokan jika terdapat request Pre-Arb dari Bank"/>
    <m/>
    <m/>
    <d v="2026-04-10T00:00:00"/>
    <x v="24"/>
  </r>
  <r>
    <s v="INC20260410821"/>
    <d v="2026-04-10T11:22:00"/>
    <s v="Email"/>
    <s v="shehab alhashmi &lt;shehab-hamad-alhashmi@hotmail.com&gt;"/>
    <s v="MOLINA"/>
    <s v="Request"/>
    <s v="VOA"/>
    <x v="0"/>
    <x v="10"/>
    <x v="789"/>
    <s v="BRI VOA"/>
    <s v="R02"/>
    <x v="0"/>
    <s v="10/04 req masuk + support meminta info cc yg digunakan_x000a_10/04 cust infokan cc_x000a_10/04 support refund"/>
    <s v="SOP #09"/>
    <s v="Z:\03. Operation\08. Merchant Support\Prosedur L1\24. ISSUE - SOP Refund CC VoA.pdf"/>
    <d v="2026-04-10T00:00:00"/>
    <x v="24"/>
  </r>
  <r>
    <s v="INC20260410822"/>
    <d v="2026-04-10T14:04:00"/>
    <s v="Email"/>
    <s v="Sean Bentley &lt;seanbentley92@hotmail.com&gt;"/>
    <s v="MOLINA"/>
    <s v="Request"/>
    <s v="VOA"/>
    <x v="0"/>
    <x v="10"/>
    <x v="790"/>
    <s v="BRI VOA"/>
    <s v="R02"/>
    <x v="0"/>
    <s v="10/04 req masuk + support meminta info cc yg digunakan_x000a_10/04 support refund"/>
    <s v="SOP #09"/>
    <s v="Z:\03. Operation\08. Merchant Support\Prosedur L1\24. ISSUE - SOP Refund CC VoA.pdf"/>
    <d v="2026-04-10T00:00:00"/>
    <x v="24"/>
  </r>
  <r>
    <s v="INC20260410823"/>
    <d v="2026-04-10T15:10:00"/>
    <s v="Email"/>
    <s v="'zihan suronoto' &lt;zihansuronoto@gmail.com&gt;"/>
    <s v="PT Wahana Pembayaran Digital"/>
    <s v="Issue"/>
    <s v="VA"/>
    <x v="2"/>
    <x v="2"/>
    <x v="791"/>
    <s v="MANDIRI"/>
    <s v="R01"/>
    <x v="1"/>
    <s v="10/04 req masuk + support meminta kronologis_x000a_10/04 support teruskan ke merchant_x000a_13/03 support FU_x000a_13/04 merchant infokan jika masih menunggu info investigasi_x000a_15/04 support FU_x000a_15/04 paylabs infokan bisa potong settelment_x000a_15/04 support req hold dana ke finance_x000a_17/04 finance infokan dana bisa sudah di hold"/>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10824"/>
    <d v="2026-04-10T15:42:00"/>
    <s v="Email"/>
    <s v="Ebanking non kartu &lt;fraudnonkartu.ord@corp.bri.co.id&gt;"/>
    <s v="PT Daya Net Gemilang_x000a_PT ENVOIZ DIGITAL INDONESIA"/>
    <s v="Issue"/>
    <s v="VA"/>
    <x v="2"/>
    <x v="2"/>
    <x v="792"/>
    <s v="BCA"/>
    <s v="R01"/>
    <x v="0"/>
    <s v="10/04 req masuk_x000a_10/04 support konfirm, transaksi dilakukan melalui channel apa_x000a_16/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10825"/>
    <d v="2026-04-10T15:55:00"/>
    <s v="Email"/>
    <s v="Siti Aisyah &lt;saisyah1097@gmail.com&gt;"/>
    <s v="PT Wahana Pembayaran Digital"/>
    <s v="Issue"/>
    <s v="VA"/>
    <x v="2"/>
    <x v="2"/>
    <x v="793"/>
    <s v="MANDIRI"/>
    <s v="R01"/>
    <x v="1"/>
    <s v="10/04 req masuk_x000a_10/04 sup teruskan ke merchant_x000a_10/04 paylabs infokan jika akan dilakukan investigasi lebih lanjut_x000a_13/04 cust FU_x000a_17/04 merchant infokan bisa memotong settelment_x000a_17/04 support req hold dana_x000a_21/04 finance info hold dan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4"/>
  </r>
  <r>
    <s v="INC20260410826"/>
    <d v="2026-04-10T16:16:00"/>
    <s v="Email"/>
    <s v="kkd_ipm2@corp.bri.co.id"/>
    <s v="MOLINA"/>
    <s v="Request"/>
    <s v="VOA"/>
    <x v="4"/>
    <x v="5"/>
    <x v="794"/>
    <s v="BRI VOA"/>
    <s v="R02"/>
    <x v="0"/>
    <s v="10/04 req masuk_x000a_15/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15T00:00:00"/>
    <x v="24"/>
  </r>
  <r>
    <s v="INC20260410827"/>
    <d v="2026-04-10T16:26:00"/>
    <s v="Email"/>
    <s v="Merchant Resolution &lt;merchant.resolution@nobubank.com&gt;"/>
    <s v="PT Hotel Murah Travelindo"/>
    <s v="Request"/>
    <s v="QR"/>
    <x v="3"/>
    <x v="7"/>
    <x v="795"/>
    <s v="NOBU"/>
    <s v="R01"/>
    <x v="0"/>
    <s v="10/04 req masuk_x000a_10/04 DONE"/>
    <m/>
    <m/>
    <m/>
    <x v="24"/>
  </r>
  <r>
    <s v="INC20260412828"/>
    <d v="2026-04-12T12:09:00"/>
    <s v="Email"/>
    <s v="Merchant Resolution &lt;merchant.resolution@nobubank.com&gt;"/>
    <s v="PT Hotel Murah Travelindo"/>
    <s v="Request"/>
    <s v="QR"/>
    <x v="3"/>
    <x v="7"/>
    <x v="796"/>
    <s v="NOBU"/>
    <s v="R01"/>
    <x v="0"/>
    <s v="12/04 req masuk_x000a_12/04 DONE "/>
    <m/>
    <m/>
    <d v="2026-04-12T00:00:00"/>
    <x v="25"/>
  </r>
  <r>
    <s v="INC20260413829"/>
    <d v="2026-04-13T06:17:00"/>
    <s v="Email"/>
    <s v="Distribusi Lancar Jaya &lt;distribusilancarjaya@gmail.com&gt;"/>
    <s v="Jatimpark Vending Mechine"/>
    <s v="Request"/>
    <s v="QR"/>
    <x v="0"/>
    <x v="0"/>
    <x v="797"/>
    <s v="NOBU"/>
    <s v="R04"/>
    <x v="0"/>
    <s v="13/04 req masuk_x000a_13/04 DONE"/>
    <m/>
    <s v="Buka SOP 'REFUND QR NOBU'"/>
    <d v="2026-04-13T00:00:00"/>
    <x v="25"/>
  </r>
  <r>
    <s v="INC20260410830"/>
    <d v="2026-04-10T09:49:00"/>
    <s v="Email"/>
    <s v="chargebackops.acq@corp.bri.co.id"/>
    <s v="MOLINA"/>
    <s v="Request"/>
    <s v="VOA"/>
    <x v="4"/>
    <x v="5"/>
    <x v="798"/>
    <s v="BRI VOA"/>
    <s v="R02"/>
    <x v="0"/>
    <s v="10/04 req masuk_x000a_10/04 support menanyakan untuk beberapa trx yg tdk ditemukan_x000a_15/04 BRI info akan dilakukan proses pendebetan"/>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10T00:00:00"/>
    <x v="25"/>
  </r>
  <r>
    <s v="INC20260410831"/>
    <d v="2026-04-10T15:42:00"/>
    <s v="Email"/>
    <s v="kkd_ipm2@corp.bri.co.id"/>
    <s v="MOLINA"/>
    <s v="Request"/>
    <s v="VOA"/>
    <x v="4"/>
    <x v="5"/>
    <x v="799"/>
    <s v="BRI VOA"/>
    <s v="R02"/>
    <x v="0"/>
    <s v="10/04 req masuk_x000a_15/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15T00:00:00"/>
    <x v="25"/>
  </r>
  <r>
    <s v="INC20260406832"/>
    <d v="2026-04-06T16:52:00"/>
    <s v="WA"/>
    <s v="-"/>
    <s v="Tripay"/>
    <s v="Request"/>
    <s v="VA"/>
    <x v="3"/>
    <x v="4"/>
    <x v="800"/>
    <s v="BRI"/>
    <s v="R01"/>
    <x v="0"/>
    <s v="07/04 tripay tanyakan 4041910117953187    _x000a_07/04 Support cek mbase belum ditemukan_x000a_07/04 support infokan menunggu rekon_x000a_08/04 Info dari team rekon, dananya tidak ada_x000a_08/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8T00:00:00"/>
    <x v="25"/>
  </r>
  <r>
    <s v="INC20260406833"/>
    <d v="2026-04-06T23:15:00"/>
    <s v="WA"/>
    <s v="-"/>
    <s v="PT Daya Net Gemilang"/>
    <s v="Request"/>
    <s v="VA"/>
    <x v="3"/>
    <x v="4"/>
    <x v="801"/>
    <s v="BNI"/>
    <s v="R01"/>
    <x v="0"/>
    <s v="07/04 DNT tanyakan 8919101250782847      _x000a_07/04 Support cek mbase belum ditemukan_x000a_07/04 support infokan menunggu rekon_x000a_08/04 Info dari team rekon, dananya ada_x000a_08/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8T00:00:00"/>
    <x v="25"/>
  </r>
  <r>
    <s v="INC20260407834"/>
    <d v="2026-04-07T11:24:00"/>
    <s v="WA"/>
    <s v="-"/>
    <s v="PT Wahana Pembayaran Digital"/>
    <s v="Request"/>
    <s v="VA"/>
    <x v="3"/>
    <x v="4"/>
    <x v="802"/>
    <s v="BNI"/>
    <s v="R01"/>
    <x v="0"/>
    <s v="07/04 Paylabs tanyakan trx 4041913277194067_x000a_07/04 Support cek agree belum dan up ke rekon_x000a_07/04 info dari rekon, dana tidak ditemukan_x000a_07/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7T00:00:00"/>
    <x v="25"/>
  </r>
  <r>
    <s v="INC20260407835"/>
    <d v="2026-04-07T11:33:00"/>
    <s v="WA"/>
    <s v="-"/>
    <s v="PT Daya Net Gemilang"/>
    <s v="Request"/>
    <s v="QR"/>
    <x v="3"/>
    <x v="4"/>
    <x v="803"/>
    <s v="NOBU"/>
    <s v="R01"/>
    <x v="0"/>
    <s v="07/04 DNT tanyakan trx 000430657368 / NACL1456392222_x000a_07/04 Support cek db nobu ada dan db prismalink ada_x000a_07/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7T00:00:00"/>
    <x v="25"/>
  </r>
  <r>
    <s v="INC20260407836"/>
    <d v="2026-04-07T11:37:00"/>
    <s v="WA"/>
    <s v="-"/>
    <s v="PT Daya Net Gemilang"/>
    <s v="Request"/>
    <s v="QR"/>
    <x v="3"/>
    <x v="4"/>
    <x v="804"/>
    <s v="NOBU"/>
    <s v="R01"/>
    <x v="0"/>
    <s v="07/04 DNT tanyakan trx QRIS_x000a_07/04 Support cek db nobu ada dan db prismalink ada_x000a_07/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7T00:00:00"/>
    <x v="25"/>
  </r>
  <r>
    <s v="INC20260407837"/>
    <d v="2026-04-07T14:21:00"/>
    <s v="WA"/>
    <s v="-"/>
    <s v="Tripay"/>
    <s v="Request"/>
    <s v="QR"/>
    <x v="3"/>
    <x v="4"/>
    <x v="805"/>
    <s v="BCA"/>
    <s v="R01"/>
    <x v="0"/>
    <s v="07/04 tripay tanyakan 7900117900088248     _x000a_07/04 Support cek mbase belum ditemukan_x000a_07/04 support infokan menunggu rekon_x000a_08/04 Info dari team rekon, dananya tidak ada_x000a_08/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8T00:00:00"/>
    <x v="25"/>
  </r>
  <r>
    <s v="INC20260407838"/>
    <d v="2026-04-07T13:31:00"/>
    <s v="WA"/>
    <s v="-"/>
    <s v="Tripay"/>
    <s v="Request"/>
    <s v="QR"/>
    <x v="3"/>
    <x v="4"/>
    <x v="806"/>
    <s v="BCA"/>
    <s v="R01"/>
    <x v="0"/>
    <s v="07/04 Tripay tanyakan trx 7900117900097009_x000a_07/04 Support cek di plink reject dan info dari rekon dananya tidak ada_x000a_07/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7T00:00:00"/>
    <x v="25"/>
  </r>
  <r>
    <s v="INC20260407839"/>
    <d v="2026-04-07T21:25:00"/>
    <s v="WA"/>
    <s v="-"/>
    <s v="PT Daya Net Gemilang"/>
    <s v="Request"/>
    <s v="QR"/>
    <x v="3"/>
    <x v="4"/>
    <x v="807"/>
    <s v="BNI"/>
    <s v="R01"/>
    <x v="0"/>
    <s v="07/04 DNT tanyakan 8919101250411384       _x000a_07/04 Support cek mbase belum ditemukan_x000a_07/04 support infokan menunggu rekon_x000a_08/04 Info dari team rekon, dananya ada_x000a_08/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08T00:00:00"/>
    <x v="25"/>
  </r>
  <r>
    <s v="INC20260408840"/>
    <d v="2026-04-08T12:48:00"/>
    <s v="WA"/>
    <s v="-"/>
    <s v="PT Daya Net Gemilang"/>
    <s v="Request"/>
    <s v="VA"/>
    <x v="3"/>
    <x v="3"/>
    <x v="808"/>
    <s v="BNI"/>
    <s v="R01"/>
    <x v="0"/>
    <s v="08/04 DNT tanyakan 8919101250357922 / NACL1457908778    _x000a_08/04 Support cek mbase belum ditemukan_x000a_08/04 support infokan menunggu rekon&quot;_x000a_09/04 Support infokan sukses karena sudah update _x000a_"/>
    <s v="SOP #05"/>
    <s v="1. Pastikan merchant &amp; transaksi tersebut valid_x000a_2. Cek VA di apps.plink, bandingkan amount:_x000a__x0009_Amount sama → Update transaksi._x000a__x0009_Amount berbeda → Tidak bisa diupdate, informasikan ke merchant."/>
    <d v="2026-04-09T00:00:00"/>
    <x v="25"/>
  </r>
  <r>
    <s v="INC20260408841"/>
    <d v="2026-04-08T14:25:00"/>
    <s v="WA"/>
    <s v="-"/>
    <s v="PT Daya Net Gemilang"/>
    <s v="Request"/>
    <s v="QR"/>
    <x v="3"/>
    <x v="3"/>
    <x v="809"/>
    <s v="NOBU"/>
    <s v="R01"/>
    <x v="0"/>
    <s v="01/04 dnt tanyakan 000000T48JX4 / NACL1457980556     _x000a_01/04 db nobu ada dan db prismalink sukses _x000a_01/04 Support infokan update"/>
    <s v="SOP #08"/>
    <s v="1. Pastikan merchant &amp; transaksi tersebut valid_x000a_2. Cek QR di dashboard NOBU/BNC_x000a_3. Hit button check-status di dashboard.plink.co.id"/>
    <d v="2026-04-01T00:00:00"/>
    <x v="25"/>
  </r>
  <r>
    <s v="INC20260409842"/>
    <d v="2026-04-09T08:24:00"/>
    <s v="WA"/>
    <s v="-"/>
    <s v="PT Daya Net Gemilang"/>
    <s v="Request"/>
    <s v="QR"/>
    <x v="3"/>
    <x v="3"/>
    <x v="810"/>
    <s v="NOBU"/>
    <s v="R01"/>
    <x v="0"/>
    <s v="09/04 DNT tanyakan trx NACL1456317515 with RRN 000428905516_x000a_09/04 Support cek db nobu ada dan db cancel _x000a_09/04 Support infokan ke team terkait untuk update_x000a_09/04 support infokan sukses"/>
    <s v="SOP #08"/>
    <s v="1. Pastikan merchant &amp; transaksi tersebut valid_x000a_2. Cek QR di dashboard NOBU/BNC_x000a_3. Hit button check-status di dashboard.plink.co.id"/>
    <d v="2026-04-09T00:00:00"/>
    <x v="25"/>
  </r>
  <r>
    <s v="INC20260409843"/>
    <d v="2026-04-09T08:41:00"/>
    <s v="WA"/>
    <s v="-"/>
    <s v="PT Daya Net Gemilang"/>
    <s v="Request"/>
    <s v="VA"/>
    <x v="3"/>
    <x v="3"/>
    <x v="811"/>
    <s v="BCA"/>
    <s v="R01"/>
    <x v="0"/>
    <s v="09/04 Nobecul tanyakan 7900121700081614_x000a_09/04 Support cek operator setld dan dashboard cancel_x000a_09/04 support infokan team terkait untuk upodate _x000a_09/04 Support infokan sukses "/>
    <s v="SOP #05"/>
    <s v="1. Pastikan merchant &amp; transaksi tersebut valid_x000a_2. Cek VA di apps.plink, bandingkan amount:_x000a__x0009_Amount sama → Update transaksi._x000a__x0009_Amount berbeda → Tidak bisa diupdate, informasikan ke merchant."/>
    <d v="2026-04-09T00:00:00"/>
    <x v="25"/>
  </r>
  <r>
    <s v="INC20260409844"/>
    <d v="2026-04-09T10:03:00"/>
    <s v="WA"/>
    <s v="-"/>
    <s v="Tripay"/>
    <s v="Request"/>
    <s v="VA"/>
    <x v="3"/>
    <x v="3"/>
    <x v="812"/>
    <s v="BCA"/>
    <s v="R01"/>
    <x v="0"/>
    <s v="09/04 Tripay tanyakan 4041910117919768 _x000a_09/04 Support cek operator setld dan dashboard cancel_x000a_09/04 support infokan team terkait untuk upodate _x000a_09/04 Support infokan sukses "/>
    <s v="SOP #05"/>
    <s v="1. Pastikan merchant &amp; transaksi tersebut valid_x000a_2. Cek VA di apps.plink, bandingkan amount:_x000a__x0009_Amount sama → Update transaksi._x000a__x0009_Amount berbeda → Tidak bisa diupdate, informasikan ke merchant."/>
    <d v="2026-04-09T00:00:00"/>
    <x v="25"/>
  </r>
  <r>
    <s v="INC20260410845"/>
    <d v="2026-04-10T07:24:00"/>
    <s v="WA"/>
    <s v="-"/>
    <s v="PT Daya Net Gemilang"/>
    <s v="Request"/>
    <s v="VA"/>
    <x v="3"/>
    <x v="4"/>
    <x v="813"/>
    <s v="BNI"/>
    <s v="R01"/>
    <x v="0"/>
    <s v="10/04 DNT tanyakan 8919101250743363_x000a_10/04 Support cek operator cancel dan agregator ada _x000a_10/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0T00:00:00"/>
    <x v="25"/>
  </r>
  <r>
    <s v="INC20260410846"/>
    <d v="2026-04-10T15:26:00"/>
    <s v="WA"/>
    <s v="-"/>
    <s v="Tripay"/>
    <s v="Request"/>
    <s v="VA"/>
    <x v="3"/>
    <x v="4"/>
    <x v="814"/>
    <s v="BCA"/>
    <s v="R01"/>
    <x v="0"/>
    <s v="10/04 tripay tanyakan 7900117900032004_x000a_10/04 Support cek operator cancel dan agregator error reject _x000a_10/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0T00:00:00"/>
    <x v="25"/>
  </r>
  <r>
    <s v="INC20260410847"/>
    <d v="2026-04-10T16:26:00"/>
    <s v="WA"/>
    <s v="-"/>
    <s v="Tripay"/>
    <s v="Request"/>
    <s v="VA"/>
    <x v="3"/>
    <x v="4"/>
    <x v="815"/>
    <s v="BCA"/>
    <s v="R01"/>
    <x v="0"/>
    <s v="10/04 tripay tanyakan 7900125000043019_x000a_10/04 Support cek operatorsttld dan db prismalink sukses_x000a_10/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0T00:00:00"/>
    <x v="25"/>
  </r>
  <r>
    <s v="INC20260410848"/>
    <d v="2026-04-10T18:32:00"/>
    <s v="WA"/>
    <s v="-"/>
    <s v="Tripay"/>
    <s v="Request"/>
    <s v="VA"/>
    <x v="3"/>
    <x v="4"/>
    <x v="816"/>
    <s v="BRI"/>
    <s v="R01"/>
    <x v="0"/>
    <s v="10/04 tripay tanyakan 7900125000043019_x000a_10/04 Support cek operatorsttld dan db prismalink sukses_x000a_10/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0T00:00:00"/>
    <x v="25"/>
  </r>
  <r>
    <s v="INC20260410849"/>
    <d v="2026-04-10T17:02:00"/>
    <s v="WA"/>
    <s v="-"/>
    <s v="YAYASAN ENAM PEDULI PENDIDIKAN"/>
    <s v="Request"/>
    <s v="QR"/>
    <x v="3"/>
    <x v="3"/>
    <x v="817"/>
    <s v="NOBU"/>
    <s v="R01"/>
    <x v="0"/>
    <s v="10/04 Univ sains tanyakan trx_x000a_10/04 Support cek Nobu ada namun db prismalink cancel_x000a_10/04 up ke tim terkait untuk update_x000a_10/04 Support infokan sukses "/>
    <s v="SOP #08"/>
    <s v="1. Pastikan merchant &amp; transaksi tersebut valid_x000a_2. Cek QR di dashboard NOBU/BNC_x000a_3. Hit button check-status di dashboard.plink.co.id"/>
    <d v="2026-04-10T00:00:00"/>
    <x v="25"/>
  </r>
  <r>
    <s v="INC20260410850"/>
    <d v="2026-04-10T21:13:00"/>
    <s v="WA"/>
    <s v="-"/>
    <s v="PT Daya Net Gemilang"/>
    <s v="Request"/>
    <s v="VA"/>
    <x v="3"/>
    <x v="4"/>
    <x v="818"/>
    <s v="BCA"/>
    <s v="R01"/>
    <x v="0"/>
    <s v="10/04 dnt tanyakan 7900125000075464 _x000a_10/04 Support cek operator rejected dan dashboard cancel_x000a_10/04 support infokan tunggu rekon 13/04 Support cek agregator trx tidak ada, cek di mbase trx tidak ditemukan ,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0T00:00:00"/>
    <x v="25"/>
  </r>
  <r>
    <s v="INC20260411851"/>
    <d v="2026-04-11T00:18:00"/>
    <s v="WA"/>
    <s v="-"/>
    <s v="YAYASAN ENAM PEDULI PENDIDIKAN"/>
    <s v="Request"/>
    <s v="QR"/>
    <x v="3"/>
    <x v="3"/>
    <x v="819"/>
    <s v="NOBU"/>
    <s v="R01"/>
    <x v="0"/>
    <s v="11/04 Univ sains tanyakan  RRN_x000a_000129502540_x000a_018839770967_x000a_000129818448_x000a_000134192106 _x000a_11/04 Support cekdi dashboard cancel namun di dashboard nobu ada_x000a_11/04 support koordinasi dengan tim terkait utk update status dan infokan sukses"/>
    <s v="SOP #08"/>
    <s v="1. Pastikan merchant &amp; transaksi tersebut valid_x000a_2. Cek QR di dashboard NOBU/BNC_x000a_3. Hit button check-status di dashboard.plink.co.id"/>
    <d v="2026-04-11T00:00:00"/>
    <x v="25"/>
  </r>
  <r>
    <s v="INC20260412852"/>
    <d v="2026-04-12T06:04:00"/>
    <s v="WA"/>
    <s v="-"/>
    <s v="PT Teknologi Awan Cerah"/>
    <s v="Request"/>
    <s v="VA"/>
    <x v="3"/>
    <x v="4"/>
    <x v="820"/>
    <s v="BRI"/>
    <s v="R01"/>
    <x v="0"/>
    <s v="12/04 Nobecul tanyakan 8919101217049421 _x000a_12/04 Support cek operator PNDG dan dashboard PNDG_x000a_12/04 support infokan tunggu rekon 13/04 support cek di mbase cancel nominal trx 50K, cek di agregator tidak ada trx tersebut, cek bukti trx amount 49k, diff amoun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2T00:00:00"/>
    <x v="25"/>
  </r>
  <r>
    <s v="INC20260412853"/>
    <d v="2026-04-12T06:17:00"/>
    <s v="WA"/>
    <s v="-"/>
    <s v="PT Teknologi Awan Cerah"/>
    <s v="Request"/>
    <s v="VA"/>
    <x v="3"/>
    <x v="4"/>
    <x v="821"/>
    <s v="BRI"/>
    <s v="R01"/>
    <x v="0"/>
    <s v="12/04 Nobecul tanyakan 8919101217501008 _x000a_12/04 Support cek operator PNDG dan dashboard PNDG_x000a_12/04 support infokan tunggu rekon 13/04 cek di mbase cancel di agre tidak ada,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2T00:00:00"/>
    <x v="25"/>
  </r>
  <r>
    <s v="INC20260413854"/>
    <d v="2026-04-13T14:38:00"/>
    <s v="Email"/>
    <s v="keluhan_payment@bca.co.id"/>
    <s v="PT Daya Net Gemilang"/>
    <s v="Issue"/>
    <s v="VA"/>
    <x v="2"/>
    <x v="2"/>
    <x v="822"/>
    <s v="BCA"/>
    <s v="R01"/>
    <x v="0"/>
    <s v="13/04 req masuk + support meminta kronologis_x000a_17/04 belum ada balas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55"/>
    <d v="2026-04-13T15:00:00"/>
    <s v="Email"/>
    <s v="dhyandra kayla &lt;dhyandrakayla04@gmail.com&gt;"/>
    <s v="PT Kreasi Kode Kreatif"/>
    <s v="Issue"/>
    <s v="VA"/>
    <x v="2"/>
    <x v="2"/>
    <x v="823"/>
    <s v="BCA"/>
    <s v="R01"/>
    <x v="0"/>
    <s v="13/04 req masuk + support infokan kronologis_x000a_17/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56"/>
    <d v="2026-04-13T15:35:00"/>
    <s v="Email"/>
    <s v="keluhan_payment@bca.co.id"/>
    <s v="PT ENVOIZ DIGITAL INDONESIA"/>
    <s v="Issue"/>
    <s v="VA"/>
    <x v="2"/>
    <x v="2"/>
    <x v="824"/>
    <s v="BCA"/>
    <s v="R01"/>
    <x v="1"/>
    <s v="13/04 req masuk + support meminta kronologis_x000a_16/04 bca melampirkan kronologis_x000a_16/04 support teruskan ke merchant 'FW: [O5798ec5] Indikasi Penipuan: BAYAR2.COM/13042026/066 / VA 7900124900034427 '_x000a_17/04 bca menanyakan perihal dana_x000a_20/04 bca fu_x000a_21/04 bca fu"/>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57"/>
    <d v="2026-04-13T15:54:00"/>
    <s v="Email"/>
    <s v="keluhan_payment@bca.co.id"/>
    <s v="PT ENVOIZ DIGITAL INDONESIA"/>
    <s v="Issue"/>
    <s v="VA"/>
    <x v="2"/>
    <x v="2"/>
    <x v="824"/>
    <s v="BCA"/>
    <s v="R01"/>
    <x v="0"/>
    <s v="13/04 req masuk + support meminta kronologis_x000a_17/04 belum ada balas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58"/>
    <d v="2026-04-13T15:54:00"/>
    <s v="Email"/>
    <s v="keluhan_payment@bca.co.id"/>
    <s v="PT ENVOIZ DIGITAL INDONESIA"/>
    <s v="Issue"/>
    <s v="VA"/>
    <x v="2"/>
    <x v="2"/>
    <x v="824"/>
    <s v="BCA"/>
    <s v="R01"/>
    <x v="0"/>
    <s v="13/04 req masuk + support meminta kronologis_x000a_17/04 belum ada balas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59"/>
    <d v="2026-04-13T15:54:00"/>
    <s v="Email"/>
    <s v="keluhan_payment@bca.co.id"/>
    <s v="PT ENVOIZ DIGITAL INDONESIA"/>
    <s v="Issue"/>
    <s v="VA"/>
    <x v="2"/>
    <x v="2"/>
    <x v="825"/>
    <s v="BCA"/>
    <s v="R01"/>
    <x v="0"/>
    <s v="13/04 req masuk + support meminta kronologis_x000a_17/04 belum ada balas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60"/>
    <d v="2026-04-13T16:03:00"/>
    <s v="Email"/>
    <s v="keluhan_payment@bca.co.id"/>
    <s v="PT Kreasi Kode Kreatif"/>
    <s v="Issue"/>
    <s v="VA"/>
    <x v="2"/>
    <x v="2"/>
    <x v="826"/>
    <s v="BCA"/>
    <s v="R01"/>
    <x v="0"/>
    <s v="13/04 req masuk + support meminta kronologis_x000a_17/04 belum ada balas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61"/>
    <d v="2026-04-13T16:27:00"/>
    <s v="Email"/>
    <s v="keluhan_payment@bca.co.id"/>
    <s v="PT Daya Net Gemilang"/>
    <s v="Issue"/>
    <s v="VA"/>
    <x v="2"/>
    <x v="2"/>
    <x v="827"/>
    <s v="BCA"/>
    <s v="R01"/>
    <x v="1"/>
    <s v="13/04 req masuk + support meminta kronologis_x000a_17/04 BCA melampirkan kronologis_x000a_17/04 support teruskan ke merchant 'FW: [Ofe8d600] Indikasi Penipuan: BAYAR2.COM/13042026/069'_x000a_20/04 merchant meminta data tambahan_x000a_20/04 bca fu_x000a_20/04 support meminta info bukti chat"/>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3862"/>
    <d v="2026-04-13T18:02:00"/>
    <s v="Email"/>
    <s v="keluhan_payment@bca.co.id"/>
    <s v="PT Teknologi Awan Cerah"/>
    <s v="Issue"/>
    <s v="VA"/>
    <x v="2"/>
    <x v="2"/>
    <x v="828"/>
    <s v="BCA"/>
    <s v="R01"/>
    <x v="0"/>
    <s v="13/04 req masuk + support meminta kronologis_x000a_17/04 belum ada balasan"/>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4863"/>
    <d v="2026-04-14T06:58:00"/>
    <s v="Email"/>
    <s v="Distribusi Lancar Jaya &lt;distribusilancarjaya@gmail.com&gt;"/>
    <s v="Jatimpark Vending Mechine"/>
    <s v="Request"/>
    <s v="QR"/>
    <x v="0"/>
    <x v="0"/>
    <x v="829"/>
    <s v="NOBU"/>
    <s v="R04"/>
    <x v="0"/>
    <s v="14/04 req masuk_x000a_14/04 DONE"/>
    <m/>
    <s v="Buka SOP 'REFUND QR NOBU'"/>
    <d v="2026-04-14T00:00:00"/>
    <x v="25"/>
  </r>
  <r>
    <s v="INC20260414864"/>
    <d v="2026-04-14T09:19:00"/>
    <s v="Email"/>
    <s v="kkd_ipm2@corp.bri.co.id"/>
    <s v="MOLINA"/>
    <s v="Request"/>
    <s v="VOA"/>
    <x v="1"/>
    <x v="1"/>
    <x v="830"/>
    <s v="BRI VOA"/>
    <s v="R02"/>
    <x v="0"/>
    <s v="14/04 KKD KONFIRMASI Pre-Arbitrasi _x000a_14/04 Support infokan jika terdapat request Pre-Arb dari Bank"/>
    <m/>
    <m/>
    <m/>
    <x v="25"/>
  </r>
  <r>
    <s v="INC20260414865"/>
    <d v="2026-04-14T10:19:00"/>
    <s v="Email"/>
    <s v="kkd_ipm2@corp.bri.co.id"/>
    <s v="MOLINA"/>
    <s v="Request"/>
    <s v="VOA"/>
    <x v="4"/>
    <x v="5"/>
    <x v="831"/>
    <s v="BRI VOA"/>
    <s v="R02"/>
    <x v="0"/>
    <s v="14/04 req masuk_x000a_17/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17T00:00:00"/>
    <x v="25"/>
  </r>
  <r>
    <s v="INC20260414866"/>
    <d v="2026-04-14T14:02:00"/>
    <s v="Email"/>
    <s v="Khoirul Ihwan &lt;khoirulsuci1987@gmail.com&gt;"/>
    <s v="PT Wahana Pembayaran Digital"/>
    <s v="Issue"/>
    <s v="VA"/>
    <x v="2"/>
    <x v="2"/>
    <x v="832"/>
    <s v="BCA"/>
    <s v="R01"/>
    <x v="0"/>
    <s v="14/04 req masuk + support meminta kronologis_x000a_17/04 mandiri FU_x000a_20/04 belum ada update_x000a_21/04 support info jika trx gagal &amp; meminta mandiri untuk refund"/>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5"/>
  </r>
  <r>
    <s v="INC20260414867"/>
    <d v="2026-04-14T11:30:00"/>
    <s v="Email"/>
    <s v="kkd_ipm2@corp.bri.co.id"/>
    <s v="PT Eizem Indonesia"/>
    <s v="Request"/>
    <s v="VOA"/>
    <x v="1"/>
    <x v="1"/>
    <x v="833"/>
    <s v="BRI VOA"/>
    <s v="R02"/>
    <x v="0"/>
    <s v="14/04 req masuk_x000a_14/04 support teruskan ke eizem_x000a_20/04 belum ada update_x000a_22/04 done"/>
    <m/>
    <m/>
    <d v="2026-04-22T00:00:00"/>
    <x v="26"/>
  </r>
  <r>
    <s v="INC20260410868"/>
    <d v="2026-04-10T15:42:00"/>
    <s v="Email"/>
    <s v="kkd_ipm2@corp.bri.co.id"/>
    <s v="MOLINA"/>
    <s v="Request"/>
    <s v="VOA"/>
    <x v="4"/>
    <x v="5"/>
    <x v="834"/>
    <s v="BRI VOA"/>
    <s v="R02"/>
    <x v="0"/>
    <s v="14/04 req masuk_x000a_21/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d v="2026-04-21T00:00:00"/>
    <x v="26"/>
  </r>
  <r>
    <s v="INC20260414869"/>
    <d v="2026-04-14T17:09:00"/>
    <s v="Email"/>
    <s v="keluhan_payment@bca.co.id"/>
    <s v="PT Teknologi Awan Cerah"/>
    <s v="Issue"/>
    <s v="VA"/>
    <x v="2"/>
    <x v="2"/>
    <x v="835"/>
    <s v="BCA"/>
    <s v="R01"/>
    <x v="0"/>
    <s v="14/04 req masuk + support meminta kronologis_x000a_20/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6"/>
  </r>
  <r>
    <s v="INC20260414870"/>
    <d v="2026-04-14T18:47:00"/>
    <s v="Email"/>
    <s v="Yadav Swati &lt;Swati.Yadav@excaliburinternational.cz&gt;"/>
    <s v="MOLINA"/>
    <s v="Request"/>
    <s v="VOA"/>
    <x v="4"/>
    <x v="8"/>
    <x v="836"/>
    <s v="BRI VOA"/>
    <s v="R02"/>
    <x v="0"/>
    <s v="14/04 req masuk_x000a_14/04 support meminta info cc yg digunakan_x000a_14/04 cust lampirkan_x000a_15/04 done "/>
    <m/>
    <m/>
    <d v="2026-04-15T00:00:00"/>
    <x v="26"/>
  </r>
  <r>
    <s v="INC20260415871"/>
    <d v="2026-04-15T00:08:00"/>
    <s v="Email"/>
    <s v="Majed &lt;mhj20261@gmail.com&gt;"/>
    <s v="MOLINA"/>
    <s v="Request"/>
    <s v="VOA"/>
    <x v="0"/>
    <x v="10"/>
    <x v="837"/>
    <s v="BRI VOA"/>
    <s v="R02"/>
    <x v="0"/>
    <s v="15/04 req masuk_x000a_15/04 done refund"/>
    <s v="SOP #09"/>
    <s v="Z:\03. Operation\08. Merchant Support\Prosedur L1\24. ISSUE - SOP Refund CC VoA.pdf"/>
    <d v="2026-04-15T00:00:00"/>
    <x v="26"/>
  </r>
  <r>
    <s v="INC20260415872"/>
    <d v="2026-04-15T05:48:00"/>
    <s v="Email"/>
    <s v="Distribusi Lancar Jaya &lt;distribusilancarjaya@gmail.com&gt;"/>
    <s v="Jatimpark Vending Mechine"/>
    <s v="Request"/>
    <s v="QR"/>
    <x v="0"/>
    <x v="0"/>
    <x v="838"/>
    <s v="NOBU"/>
    <s v="R04"/>
    <x v="0"/>
    <s v="15/04 req masuk_x000a_15/04 done refund"/>
    <m/>
    <s v="Buka SOP 'REFUND QR NOBU'"/>
    <d v="2026-04-15T00:00:00"/>
    <x v="26"/>
  </r>
  <r>
    <s v="INC20260415873"/>
    <d v="2026-04-15T07:40:00"/>
    <s v="Email"/>
    <s v="조혜진 &lt;hyejin5421@gmail.com&gt;"/>
    <s v="MOLINA"/>
    <s v="Request"/>
    <s v="VOA"/>
    <x v="0"/>
    <x v="10"/>
    <x v="839"/>
    <s v="BRI VOA"/>
    <s v="R02"/>
    <x v="0"/>
    <s v="15/04 req masuk_x000a_15/04 done refund"/>
    <s v="SOP #09"/>
    <s v="Z:\03. Operation\08. Merchant Support\Prosedur L1\24. ISSUE - SOP Refund CC VoA.pdf"/>
    <d v="2026-04-15T00:00:00"/>
    <x v="26"/>
  </r>
  <r>
    <s v="INC20260415874"/>
    <d v="2026-04-15T08:24:00"/>
    <s v="Email"/>
    <s v="朴闵行 &lt;2195673737@qq.com&gt;"/>
    <s v="MOLINA"/>
    <s v="Request"/>
    <s v="VOA"/>
    <x v="0"/>
    <x v="10"/>
    <x v="840"/>
    <s v="BRI VOA"/>
    <s v="R02"/>
    <x v="0"/>
    <s v="15/04 req masuk+ support meminta info cc yg digunakan_x000a_21/04 belum ada update"/>
    <s v="SOP #09"/>
    <s v="Z:\03. Operation\08. Merchant Support\Prosedur L1\24. ISSUE - SOP Refund CC VoA.pdf"/>
    <m/>
    <x v="26"/>
  </r>
  <r>
    <s v="INC20260415875"/>
    <d v="2026-04-15T13:49:00"/>
    <s v="Email"/>
    <s v="keluhan_payment@bca.co.id"/>
    <s v="PT ENVOIZ DIGITAL INDONESIA"/>
    <s v="Issue"/>
    <s v="VA"/>
    <x v="2"/>
    <x v="2"/>
    <x v="841"/>
    <s v="BCA"/>
    <s v="Open"/>
    <x v="0"/>
    <s v="15/04 req masuk + support meminta kronologis_x000a_20/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6"/>
  </r>
  <r>
    <s v="INC20260415876"/>
    <d v="2026-04-15T15:24:00"/>
    <s v="Email"/>
    <s v="XU Jie &lt;jie.xu@ehl.ch&gt;"/>
    <s v="MOLINA"/>
    <s v="Request"/>
    <s v="VOA"/>
    <x v="4"/>
    <x v="8"/>
    <x v="842"/>
    <s v="BRI VOA"/>
    <s v="R02"/>
    <x v="0"/>
    <s v="15/04 req masuk_x000a_15/04 DONE"/>
    <m/>
    <m/>
    <d v="2026-04-15T00:00:00"/>
    <x v="26"/>
  </r>
  <r>
    <s v="INC20260415877"/>
    <d v="2026-04-15T15:33:00"/>
    <s v="Email"/>
    <s v="keluhan_payment@bca.co.id"/>
    <s v="PT Daya Net Gemilang"/>
    <s v="Issue"/>
    <s v="VA"/>
    <x v="2"/>
    <x v="2"/>
    <x v="843"/>
    <s v="BCA"/>
    <s v="Open"/>
    <x v="0"/>
    <s v="15/04 req masuk + support meminta kronologis_x000a_20/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6"/>
  </r>
  <r>
    <s v="INC20260415878"/>
    <d v="2026-04-15T15:50:00"/>
    <s v="Email"/>
    <s v="keluhan_payment@bca.co.id"/>
    <s v="PT ENVOIZ DIGITAL INDONESIA"/>
    <s v="Issue"/>
    <s v="VA"/>
    <x v="2"/>
    <x v="2"/>
    <x v="844"/>
    <s v="BCA"/>
    <s v="Open"/>
    <x v="0"/>
    <s v="15/04 req masuk + support meminta kronologis_x000a_20/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6"/>
  </r>
  <r>
    <s v="INC20260415879"/>
    <d v="2026-04-15T16:08:00"/>
    <s v="Email"/>
    <s v="Merchant Resolution &lt;merchant.resolution@nobubank.com&gt;"/>
    <s v="Dela Cell_x000a_Dnd Cell_x000a_Asia Cell_x000a_PT Daya Net Gemilang"/>
    <s v="Request"/>
    <s v="QR"/>
    <x v="3"/>
    <x v="7"/>
    <x v="845"/>
    <s v="NOBU"/>
    <s v="R01"/>
    <x v="0"/>
    <s v="15/04 req masuk + support infokan jika trx sukses"/>
    <s v="SOP #02"/>
    <s v="1. Memastikan status transaksi pada Dashboard_x000a_     IF &quot;Transaksi GAGAL&quot;, AND &quot;Dana TDK MASUK&quot; (via rekon) then &quot;Infokan GAGAL&quot;_x000a_     IF &quot;Transaksi SUKSES&quot;, AND &quot;Dana MASUK&quot; (via rekon) then &quot;Infokan SUKSES&quot;"/>
    <m/>
    <x v="26"/>
  </r>
  <r>
    <s v="INC20260415880"/>
    <d v="2026-04-15T18:16:00"/>
    <s v="Email"/>
    <s v="Ella Martin &lt;ellaj.martin1@gmail.com&gt;"/>
    <s v="MOLINA"/>
    <s v="Request"/>
    <s v="VOA"/>
    <x v="0"/>
    <x v="10"/>
    <x v="846"/>
    <s v="BRI VOA"/>
    <s v="R02"/>
    <x v="0"/>
    <s v="15/04 req masuk_x000a_15/04 support meminta info cc yg digunakan_x000a_20/04 belum ada update"/>
    <s v="SOP #09"/>
    <s v="Z:\03. Operation\08. Merchant Support\Prosedur L1\24. ISSUE - SOP Refund CC VoA.pdf"/>
    <m/>
    <x v="27"/>
  </r>
  <r>
    <s v="INC20260415881"/>
    <d v="2026-04-15T21:34:00"/>
    <s v="Email"/>
    <s v="Merchant Resolution &lt;merchant.resolution@nobubank.com&gt;"/>
    <s v="Dela Cell_x000a_Dnd Cell_x000a_Asia Cell_x000a_PT Daya Net Gemilang"/>
    <s v="Request"/>
    <s v="QR"/>
    <x v="3"/>
    <x v="7"/>
    <x v="847"/>
    <s v="NOBU"/>
    <s v="R01"/>
    <x v="0"/>
    <s v="15/04 req masuk + support infokan jika trx sukses"/>
    <s v="SOP #02"/>
    <s v="1. Memastikan status transaksi pada Dashboard_x000a_     IF &quot;Transaksi GAGAL&quot;, AND &quot;Dana TDK MASUK&quot; (via rekon) then &quot;Infokan GAGAL&quot;_x000a_     IF &quot;Transaksi SUKSES&quot;, AND &quot;Dana MASUK&quot; (via rekon) then &quot;Infokan SUKSES&quot;"/>
    <m/>
    <x v="27"/>
  </r>
  <r>
    <s v="INC20260415882"/>
    <d v="2026-04-15T22:31:00"/>
    <s v="Email"/>
    <s v="DENG Liyuan &lt;liyuandeng0115@gmail.com&gt;"/>
    <s v="MOLINA"/>
    <s v="Request"/>
    <s v="VOA"/>
    <x v="4"/>
    <x v="8"/>
    <x v="842"/>
    <s v="BRI VOA"/>
    <s v="R02"/>
    <x v="0"/>
    <s v="15/04 req masuk_x000a_17/04 DONE"/>
    <m/>
    <m/>
    <d v="2026-04-17T00:00:00"/>
    <x v="27"/>
  </r>
  <r>
    <s v="INC20260416883"/>
    <d v="2026-04-16T06:33:00"/>
    <s v="Email"/>
    <s v="Distribusi Lancar Jaya &lt;distribusilancarjaya@gmail.com&gt;"/>
    <s v="Jatimpark Vending Mechine"/>
    <s v="Request"/>
    <s v="QR"/>
    <x v="0"/>
    <x v="0"/>
    <x v="848"/>
    <s v="NOBU"/>
    <s v="R04"/>
    <x v="0"/>
    <s v="16/04 req masuk_x000a_20/04 done"/>
    <m/>
    <s v="Buka SOP 'REFUND QR NOBU'"/>
    <d v="2026-04-20T00:00:00"/>
    <x v="27"/>
  </r>
  <r>
    <s v="INC20260416884"/>
    <d v="2026-04-16T09:04:00"/>
    <s v="Email"/>
    <s v="Lynette Watts &lt;lynniwatts@gmail.com&gt;"/>
    <s v="MOLINA"/>
    <s v="Request"/>
    <s v="VOA"/>
    <x v="0"/>
    <x v="10"/>
    <x v="849"/>
    <s v="BRI VOA"/>
    <s v="R02"/>
    <x v="0"/>
    <s v="16/04 req masuk_x000a_16/04 support meminta info cc yg digunakan_x000a_16/04 cust lampirkan cc yg digunakan_x000a_16/04 done refund"/>
    <s v="SOP #09"/>
    <s v="Z:\03. Operation\08. Merchant Support\Prosedur L1\24. ISSUE - SOP Refund CC VoA.pdf"/>
    <d v="2026-04-16T00:00:00"/>
    <x v="27"/>
  </r>
  <r>
    <s v="INC20260416885"/>
    <d v="2026-04-16T10:05:00"/>
    <s v="Email"/>
    <s v="Renae Butler &lt;renaebutler01@gmail.com&gt;"/>
    <s v="MOLINA"/>
    <s v="Request"/>
    <s v="VOA"/>
    <x v="0"/>
    <x v="10"/>
    <x v="850"/>
    <s v="BRI VOA"/>
    <s v="R02"/>
    <x v="0"/>
    <s v="16/04 req masuk + support meminta info cc_x000a_17/04 cust infokan cc yg digunakan_x000a_21/04 done refund"/>
    <s v="SOP #09"/>
    <s v="Z:\03. Operation\08. Merchant Support\Prosedur L1\24. ISSUE - SOP Refund CC VoA.pdf"/>
    <d v="2026-04-21T00:00:00"/>
    <x v="27"/>
  </r>
  <r>
    <s v="INC20260416886"/>
    <d v="2026-04-16T10:11:00"/>
    <s v="Email"/>
    <s v="Felly Khaerunnissah &lt;felly.khaerunnissah@bankmandiri.co.id&gt;"/>
    <s v="PT Wahana Pembayaran Digital"/>
    <s v="Issue"/>
    <s v="VA"/>
    <x v="2"/>
    <x v="2"/>
    <x v="851"/>
    <s v="BCA"/>
    <s v="Open"/>
    <x v="0"/>
    <s v="16/04 req masuk_x000a_16/04 support meminta kronologis_x000a_20/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7"/>
  </r>
  <r>
    <s v="INC20260416887"/>
    <d v="2026-04-16T12:57:00"/>
    <s v="Email"/>
    <s v="adila andari &lt;adilaandari16@gmail.com&gt;"/>
    <s v="PT Wahana Pembayaran Digital"/>
    <s v="Issue"/>
    <s v="VA"/>
    <x v="2"/>
    <x v="2"/>
    <x v="852"/>
    <s v="BCA"/>
    <s v="Open"/>
    <x v="1"/>
    <s v="16/04 req masuk_x000a_16/04 support meminta kronologis_x000a_16/04 support teruskan ke merchant 'FW: Laporan Kendala Pembayaran Virtual Account - Adila Hasna Andari // VA 700701131150503'_x000a_17/04 merchant infokan bisa memotong settelment_x000a_17/04 support req hold dana_x000a_20/04 merchant menanyakan perihal dana_x000a_21/04 finance hold dana_x000a_21/04 support meminta bukti chat_x000a_21/04 cust infokan hanya memiliki bukti transaksi"/>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7"/>
  </r>
  <r>
    <s v="INC20260408888"/>
    <d v="2026-04-08T16:15:00"/>
    <s v="Email"/>
    <s v="keluhan_payment@bca.co.id"/>
    <s v="PT Daya Net Gemilang"/>
    <s v="Issue"/>
    <s v="VA"/>
    <x v="2"/>
    <x v="2"/>
    <x v="853"/>
    <s v="BCA"/>
    <s v="Open"/>
    <x v="0"/>
    <s v="08/04 req masuk_x000a_08/04 support meminta kronologis_x000a_16/04 bca melampirkan kronologis_x000a_16/04 support teruskan ke merchant 'FW: [Od31ef88] Indikasi Penipuan: BAYAR2.COM/08042026/059 VA 7900125000061285'_x000a_16/04 merchant bersedia melakukan refund_x000a_17/04 support req hold dana_x000a_21/04 finance info sdh hold dana_x000a_21/04 support meminta finance refund ke bca_x000a_21/04 done refund"/>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d v="2026-04-21T00:00:00"/>
    <x v="27"/>
  </r>
  <r>
    <s v="INC20260417889"/>
    <d v="2026-04-17T08:28:00"/>
    <s v="Email"/>
    <s v="Distribusi Lancar Jaya &lt;distribusilancarjaya@gmail.com&gt;"/>
    <s v="Jatimpark Vending Mechine"/>
    <s v="Request"/>
    <s v="QR"/>
    <x v="0"/>
    <x v="0"/>
    <x v="854"/>
    <s v="NOBU"/>
    <s v="R04"/>
    <x v="0"/>
    <s v="17/04 req masuk_x000a_20/04 done"/>
    <m/>
    <s v="Buka SOP 'REFUND QR NOBU'"/>
    <d v="2026-04-20T00:00:00"/>
    <x v="27"/>
  </r>
  <r>
    <s v="INC20260417890"/>
    <d v="2026-04-17T15:36:00"/>
    <s v="Email"/>
    <s v="Sharleen Abigail &lt;sharleen.abigail02@gmail.com&gt;"/>
    <s v="MOLINA"/>
    <s v="Request"/>
    <s v="VOA"/>
    <x v="4"/>
    <x v="8"/>
    <x v="855"/>
    <s v="BRI VOA"/>
    <s v="R02"/>
    <x v="0"/>
    <s v="17/04 req masuk_x000a_17/04 DONE_x000a_"/>
    <m/>
    <m/>
    <d v="2026-04-17T00:00:00"/>
    <x v="27"/>
  </r>
  <r>
    <s v="INC20260417891"/>
    <d v="2026-04-17T15:44:00"/>
    <s v="Email"/>
    <s v="باسمه الصبحي &lt;bssomm2@icloud.com&gt;"/>
    <s v="MOLINA"/>
    <s v="Request"/>
    <s v="VOA"/>
    <x v="0"/>
    <x v="10"/>
    <x v="856"/>
    <s v="BRI VOA"/>
    <s v="R02"/>
    <x v="0"/>
    <s v="17/04 req masuk_x000a_17/04 support meminta info cc yg digunakan_x000a_17/04 cust infokan cc yg digunakan_x000a_17/04 support refund"/>
    <s v="SOP #09"/>
    <s v="Z:\03. Operation\08. Merchant Support\Prosedur L1\24. ISSUE - SOP Refund CC VoA.pdf"/>
    <d v="2026-04-17T00:00:00"/>
    <x v="27"/>
  </r>
  <r>
    <s v="INC20260417892"/>
    <d v="2026-04-17T19:21:00"/>
    <s v="Email"/>
    <s v="남순호 &lt;soon3967@naver.com&gt;"/>
    <s v="MOLINA"/>
    <s v="Request"/>
    <s v="VOA"/>
    <x v="0"/>
    <x v="10"/>
    <x v="857"/>
    <s v="BRI VOA"/>
    <s v="R02"/>
    <x v="0"/>
    <s v="17/04 req masuk_x000a_17/04 support meminta info cc yg digunakan_x000a_17/04 support refund"/>
    <s v="SOP #09"/>
    <s v="Z:\03. Operation\08. Merchant Support\Prosedur L1\24. ISSUE - SOP Refund CC VoA.pdf"/>
    <d v="2026-04-17T00:00:00"/>
    <x v="28"/>
  </r>
  <r>
    <s v="INC20260418893"/>
    <d v="2026-04-18T07:16:00"/>
    <s v="Email"/>
    <s v="Darby Gleeson &lt;gleesondarby@gmail.com&gt;"/>
    <s v="MOLINA"/>
    <s v="Request"/>
    <s v="VOA"/>
    <x v="0"/>
    <x v="10"/>
    <x v="857"/>
    <s v="BRI VOA"/>
    <s v="R02"/>
    <x v="1"/>
    <s v="18/04 req masuk"/>
    <s v="SOP #09"/>
    <s v="Z:\03. Operation\08. Merchant Support\Prosedur L1\24. ISSUE - SOP Refund CC VoA.pdf"/>
    <m/>
    <x v="28"/>
  </r>
  <r>
    <s v="INC20260418894"/>
    <d v="2026-04-18T07:30:00"/>
    <s v="Email"/>
    <s v="김민우 &lt;alsn78@gmail.com&gt;"/>
    <s v="MOLINA"/>
    <s v="Request"/>
    <s v="VOA"/>
    <x v="0"/>
    <x v="10"/>
    <x v="858"/>
    <s v="BRI VOA"/>
    <s v="R02"/>
    <x v="0"/>
    <s v="18/04 req masuk_x000a_18/04 support meminta info cc yg digunakan_x000a_18/04 cust infokan cc yg digunakan_x000a_18/04 done refund"/>
    <s v="SOP #09"/>
    <s v="Z:\03. Operation\08. Merchant Support\Prosedur L1\24. ISSUE - SOP Refund CC VoA.pdf"/>
    <d v="2026-04-18T00:00:00"/>
    <x v="28"/>
  </r>
  <r>
    <s v="INC20260418895"/>
    <d v="2026-04-18T13:59:00"/>
    <s v="Email"/>
    <s v="김형민 &lt;khm46574814@gmail.com&gt;"/>
    <s v="MOLINA"/>
    <s v="Request"/>
    <s v="VOA"/>
    <x v="0"/>
    <x v="10"/>
    <x v="859"/>
    <s v="BRI VOA"/>
    <s v="R02"/>
    <x v="0"/>
    <s v="18/04 req masuk_x000a_18/04 support meminta info cc yg digunakan_x000a_18/04 cust infokan cc yg digunakan_x000a_21/04 belum ada info dr user"/>
    <s v="SOP #09"/>
    <s v="Z:\03. Operation\08. Merchant Support\Prosedur L1\24. ISSUE - SOP Refund CC VoA.pdf"/>
    <m/>
    <x v="28"/>
  </r>
  <r>
    <s v="INC20260418896"/>
    <d v="2026-04-18T15:20:00"/>
    <s v="Email"/>
    <s v="marina belsito' &lt;marinabelsito@hotmail.com&gt;"/>
    <s v="MOLINA"/>
    <s v="Request"/>
    <s v="VOA"/>
    <x v="0"/>
    <x v="10"/>
    <x v="860"/>
    <s v="BRI VOA"/>
    <s v="R02"/>
    <x v="0"/>
    <s v="18/04 req masuk_x000a_18/04 support meminta info cc yg digunakan_x000a_21/04 cust melampirkan cc yg digunakan_x000a_21/04 support infokan trx sukses &amp; valid"/>
    <s v="SOP #09"/>
    <s v="Z:\03. Operation\08. Merchant Support\Prosedur L1\24. ISSUE - SOP Refund CC VoA.pdf"/>
    <d v="2026-04-21T00:00:00"/>
    <x v="28"/>
  </r>
  <r>
    <s v="INC20260418897"/>
    <d v="2026-04-18T20:35:00"/>
    <s v="Email"/>
    <s v="Zdenek Bezdek &lt;zbezdek@gmail.com&gt;"/>
    <s v="MOLINA"/>
    <s v="Request"/>
    <s v="VOA"/>
    <x v="0"/>
    <x v="10"/>
    <x v="861"/>
    <s v="BRI VOA"/>
    <s v="R02"/>
    <x v="0"/>
    <s v="18/04 req masuk_x000a_18/04 support meminta info cc yg digunakan_x000a_18/04 cust lampirkan cc yg digunakan_x000a_18/04 support refund"/>
    <s v="SOP #09"/>
    <s v="Z:\03. Operation\08. Merchant Support\Prosedur L1\24. ISSUE - SOP Refund CC VoA.pdf"/>
    <d v="2026-04-18T00:00:00"/>
    <x v="28"/>
  </r>
  <r>
    <s v="INC20260419898"/>
    <d v="2026-04-19T13:37:00"/>
    <s v="Email"/>
    <s v="Michael Cadman &lt;michaelcadman22@yahoo.com.au&gt;"/>
    <s v="MOLINA"/>
    <s v="Request"/>
    <s v="VOA"/>
    <x v="0"/>
    <x v="10"/>
    <x v="861"/>
    <s v="BRI VOA"/>
    <s v="R02"/>
    <x v="0"/>
    <s v="19/04 req masuk_x000a_19/04 support meminta info cc yg digunakan_x000a_19/04 merc infokan cc yg digunakan_x000a_19/04 support refund"/>
    <s v="SOP #09"/>
    <s v="Z:\03. Operation\08. Merchant Support\Prosedur L1\24. ISSUE - SOP Refund CC VoA.pdf"/>
    <d v="2026-04-19T00:00:00"/>
    <x v="28"/>
  </r>
  <r>
    <s v="INC20260419899"/>
    <d v="2026-04-19T16:41:00"/>
    <s v="Email"/>
    <s v="Kavita Dassani &lt;kdassani@hotmail.com&gt;"/>
    <s v="MOLINA"/>
    <s v="Request"/>
    <s v="VOA"/>
    <x v="0"/>
    <x v="10"/>
    <x v="862"/>
    <s v="BRI VOA"/>
    <s v="R02"/>
    <x v="0"/>
    <s v="19/04 req masuk_x000a_19/04 support meminta info cc yg digunakan_x000a_19/04 merc infokan cc yg digunakan_x000a_21/04 belum ada info update_x000a_22/04 cust melampirkan no cc_x000a_22/04 done refund"/>
    <s v="SOP #09"/>
    <s v="Z:\03. Operation\08. Merchant Support\Prosedur L1\24. ISSUE - SOP Refund CC VoA.pdf"/>
    <d v="2026-04-22T00:00:00"/>
    <x v="28"/>
  </r>
  <r>
    <s v="INC20260419900"/>
    <d v="2026-04-19T19:10:00"/>
    <s v="Email"/>
    <s v="James Wapshott &lt;jameswapshott@yahoo.com&gt;"/>
    <s v="MOLINA"/>
    <s v="Request"/>
    <s v="VOA"/>
    <x v="0"/>
    <x v="10"/>
    <x v="863"/>
    <s v="BRI VOA"/>
    <s v="R02"/>
    <x v="0"/>
    <s v="19/04 req masuk_x000a_19/04 support meminta info cc yg digunakan_x000a_19/04 merc infokan cc yg digunakan_x000a_21/04 belum ada info update"/>
    <s v="SOP #09"/>
    <s v="Z:\03. Operation\08. Merchant Support\Prosedur L1\24. ISSUE - SOP Refund CC VoA.pdf"/>
    <m/>
    <x v="28"/>
  </r>
  <r>
    <s v="INC20260420901"/>
    <d v="2026-04-20T01:32:00"/>
    <s v="Email"/>
    <s v="KOUVATSOS Panos &lt;panos.kouvatsos@insead.edu&gt;"/>
    <s v="MOLINA"/>
    <s v="Request"/>
    <s v="VOA"/>
    <x v="0"/>
    <x v="10"/>
    <x v="864"/>
    <s v="BRI VOA"/>
    <s v="R02"/>
    <x v="0"/>
    <s v="20/04 req masuk_x000a_20/04 support meminta info cc yg digunakan_x000a_20/04 merc infokan cc yg digunakan_x000a_20/04 done refund"/>
    <s v="SOP #09"/>
    <s v="Z:\03. Operation\08. Merchant Support\Prosedur L1\24. ISSUE - SOP Refund CC VoA.pdf"/>
    <d v="2026-04-20T00:00:00"/>
    <x v="28"/>
  </r>
  <r>
    <s v="INC20260420902"/>
    <d v="2026-04-20T08:26:00"/>
    <s v="Email"/>
    <s v="Distribusi Lancar Jaya &lt;distribusilancarjaya@gmail.com&gt;"/>
    <s v="Jatimpark Vending Mechine"/>
    <s v="Request"/>
    <s v="QR"/>
    <x v="0"/>
    <x v="0"/>
    <x v="865"/>
    <s v="NOBU"/>
    <s v="R04"/>
    <x v="0"/>
    <s v="20/04 req masuk_x000a_20/04 DONE"/>
    <m/>
    <s v="Buka SOP 'REFUND QR NOBU'"/>
    <m/>
    <x v="28"/>
  </r>
  <r>
    <s v="INC20260420903"/>
    <d v="2026-04-20T08:42:00"/>
    <s v="Email"/>
    <s v="Scott Grimster &lt;scottygrimster@gmail.com&gt;"/>
    <s v="MOLINA"/>
    <s v="Request"/>
    <s v="VOA"/>
    <x v="0"/>
    <x v="10"/>
    <x v="866"/>
    <s v="BRI VOA"/>
    <s v="R02"/>
    <x v="0"/>
    <s v="20/04 req masuk_x000a_20/04 support meminta info cc yg digunakan_x000a_20/04 support refund"/>
    <s v="SOP #09"/>
    <s v="Z:\03. Operation\08. Merchant Support\Prosedur L1\24. ISSUE - SOP Refund CC VoA.pdf"/>
    <d v="2026-04-20T00:00:00"/>
    <x v="28"/>
  </r>
  <r>
    <s v="INC20260416904"/>
    <d v="2026-04-16T15:05:00"/>
    <s v="Email"/>
    <s v="chargebackops.acq@corp.bri.co.id"/>
    <s v="MOLINA"/>
    <s v="Request"/>
    <s v="VOA"/>
    <x v="1"/>
    <x v="1"/>
    <x v="867"/>
    <s v="BRI VOA"/>
    <s v="R02"/>
    <x v="0"/>
    <s v="16/04 req masuk_x000a_21/04 done"/>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8"/>
  </r>
  <r>
    <s v="INC20260416905"/>
    <d v="2026-04-16T16:27:00"/>
    <s v="Email"/>
    <s v="kkd_ipm2@corp.bri.co.id"/>
    <s v="MOLINA"/>
    <s v="Request"/>
    <s v="VOA"/>
    <x v="4"/>
    <x v="5"/>
    <x v="868"/>
    <s v="BRI VOA"/>
    <s v="R02"/>
    <x v="1"/>
    <s v="16/04 req masuk"/>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8"/>
  </r>
  <r>
    <s v="INC20260413906"/>
    <d v="2026-04-13T14:13:00"/>
    <s v="WA"/>
    <s v="-"/>
    <s v="PT Wahana Pembayaran Digital"/>
    <s v="Request"/>
    <s v="VA"/>
    <x v="3"/>
    <x v="4"/>
    <x v="869"/>
    <s v="CIMB"/>
    <s v="R01"/>
    <x v="0"/>
    <s v="13/04 Paylabs tanyakan trx VA  2189132240800029 _x000a_13/04 Support cek Mbase tidak ada, cek agregator tidak ada_x000a_13/04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3T00:00:00"/>
    <x v="28"/>
  </r>
  <r>
    <s v="INC20260413907"/>
    <d v="2026-04-13T14:53:00"/>
    <s v="WA"/>
    <s v="-"/>
    <s v="Saku Laundry"/>
    <s v="Request"/>
    <s v="QR"/>
    <x v="3"/>
    <x v="4"/>
    <x v="870"/>
    <s v="CIMB"/>
    <s v="R01"/>
    <x v="0"/>
    <s v="10/04 Saku laundry tanyakan RRN 018465954032 _x000a_10/04 Support cek di dashboard BNC sukse_x000a_10/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0T00:00:00"/>
    <x v="28"/>
  </r>
  <r>
    <s v="INC20260411908"/>
    <d v="2026-04-11T10:07:00"/>
    <s v="WA"/>
    <s v="-"/>
    <s v="YAYASAN ENAM PEDULI PENDIDIKAN"/>
    <s v="Request"/>
    <s v="QR"/>
    <x v="3"/>
    <x v="3"/>
    <x v="871"/>
    <s v="NOBU"/>
    <s v="R01"/>
    <x v="0"/>
    <s v="11/04  sains tanyakan trx_x000a_11/04 Support cek nobu ada namun dashboard cancel _x000a_11/04  Support update , status updated"/>
    <s v="SOP #08"/>
    <s v="1. Pastikan merchant &amp; transaksi tersebut valid_x000a_2. Cek QR di dashboard NOBU/BNC_x000a_3. Hit button check-status di dashboard.plink.co.id"/>
    <d v="2026-04-11T00:00:00"/>
    <x v="28"/>
  </r>
  <r>
    <s v="INC20260411909"/>
    <d v="2026-04-11T09:42:00"/>
    <s v="WA"/>
    <s v="-"/>
    <s v="PT BARAKA SARANA TAMA"/>
    <s v="Request"/>
    <s v="VA"/>
    <x v="3"/>
    <x v="3"/>
    <x v="872"/>
    <s v="BCA"/>
    <s v="R01"/>
    <x v="0"/>
    <s v="11/04  baraka tanyakan trx 1551200000006380_x000a_11/04 Support cek dashboard cancel mbase apprv_x000a_11/04  Support update , status updated"/>
    <s v="SOP #05"/>
    <s v="1. Pastikan merchant &amp; transaksi tersebut valid_x000a_2. Cek VA di apps.plink, bandingkan amount:_x000a__x0009_Amount sama → Update transaksi._x000a__x0009_Amount berbeda → Tidak bisa diupdate, informasikan ke merchant."/>
    <d v="2026-04-11T00:00:00"/>
    <x v="28"/>
  </r>
  <r>
    <s v="INC20260413910"/>
    <d v="2026-04-13T16:47:00"/>
    <s v="WA"/>
    <s v="-"/>
    <s v="PT Teknologi Awan Cerah"/>
    <s v="Request"/>
    <s v="VA"/>
    <x v="3"/>
    <x v="4"/>
    <x v="873"/>
    <s v="BCA"/>
    <s v="R01"/>
    <x v="0"/>
    <s v="13/04  nobecul tanyakan trx 7900121700091027_x000a_13/04 Support cek dashboard cancel mbase error reject_x000a_13/04  Support infokan trx menunggu rekon_x000a_14/04 Info dari rekon dananya ada,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4T00:00:00"/>
    <x v="28"/>
  </r>
  <r>
    <s v="INC20260413911"/>
    <d v="2026-04-13T16:47:00"/>
    <s v="WA"/>
    <s v="-"/>
    <s v="PT Teknologi Awan Cerah"/>
    <s v="Request"/>
    <s v="VA"/>
    <x v="3"/>
    <x v="4"/>
    <x v="874"/>
    <s v="BCA"/>
    <s v="R01"/>
    <x v="0"/>
    <s v="13/04  nobecul tanyakan trx 7900119200763393_x000a_13/04 Support cek dashboard cancel mbase error reject_x000a_13/04  Support infokan trx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3T00:00:00"/>
    <x v="28"/>
  </r>
  <r>
    <s v="INC20260413912"/>
    <d v="2026-04-13T18:59:00"/>
    <s v="WA"/>
    <s v="-"/>
    <s v="YAYASAN ENAM PEDULI PENDIDIKAN"/>
    <s v="Request"/>
    <s v="QR"/>
    <x v="3"/>
    <x v="3"/>
    <x v="875"/>
    <s v="NOBU"/>
    <s v="R01"/>
    <x v="0"/>
    <s v="13/04  sains tanyakan trx_x000a_13/04 Support cek nobu ada namun dashboard cancel _x000a_13/04  Support update , status updated"/>
    <s v="SOP #08"/>
    <s v="1. Pastikan merchant &amp; transaksi tersebut valid_x000a_2. Cek QR di dashboard NOBU/BNC_x000a_3. Hit button check-status di dashboard.plink.co.id"/>
    <d v="2026-04-13T00:00:00"/>
    <x v="28"/>
  </r>
  <r>
    <s v="INC20260413913"/>
    <d v="2026-04-13T20:18:00"/>
    <s v="WA"/>
    <s v="-"/>
    <s v="PT Daya Net Gemilang"/>
    <s v="Request"/>
    <s v="VA"/>
    <x v="3"/>
    <x v="4"/>
    <x v="876"/>
    <s v="BCA"/>
    <s v="R01"/>
    <x v="0"/>
    <s v="13/04  dnt tanyakan trx 7900125000064115_x000a_13/04 Support cek dashboard apprv, mbase sukses_x000a_13/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3T00:00:00"/>
    <x v="28"/>
  </r>
  <r>
    <s v="INC20260413914"/>
    <d v="2026-04-13T21:59:00"/>
    <s v="WA"/>
    <s v="-"/>
    <s v="YAYASAN ENAM PEDULI PENDIDIKAN"/>
    <s v="Request"/>
    <s v="QR"/>
    <x v="3"/>
    <x v="4"/>
    <x v="877"/>
    <s v="NOBU"/>
    <s v="R01"/>
    <x v="0"/>
    <s v="13/04  sains tanyakan trx1nitwda73851_x000a_13/04 Support cek nobu ada, cek dashboard settle_x000a_13/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3T00:00:00"/>
    <x v="28"/>
  </r>
  <r>
    <s v="INC20260414915"/>
    <d v="2026-04-14T13:08:00"/>
    <s v="WA"/>
    <s v="-"/>
    <s v="YAYASAN ENAM PEDULI PENDIDIKAN"/>
    <s v="Request"/>
    <s v="QR"/>
    <x v="3"/>
    <x v="4"/>
    <x v="878"/>
    <s v="NOBU"/>
    <s v="R01"/>
    <x v="0"/>
    <s v="14/04 sains tanyakan 0151114042696748152 / 000000TQBBDN_x000a_14/04 support cek nobu ada, cek dashboard pndg_x000a_14/04 support infokan tim terkait untuk update dan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4T00:00:00"/>
    <x v="28"/>
  </r>
  <r>
    <s v="INC20260415916"/>
    <d v="2026-04-15T03:49:00"/>
    <s v="WA"/>
    <s v="-"/>
    <s v="YAYASAN ENAM PEDULI PENDIDIKAN"/>
    <s v="Request"/>
    <s v="QR"/>
    <x v="3"/>
    <x v="4"/>
    <x v="879"/>
    <s v="NOBU"/>
    <s v="R01"/>
    <x v="0"/>
    <s v="15/04 Univ sains tanyakan trx RRN 000244678616 _x000a_15/04 support cek nobu ada, cek dashboard setld_x000a_15/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5T00:00:00"/>
    <x v="28"/>
  </r>
  <r>
    <s v="INC20260415917"/>
    <d v="2026-04-15T09:49:00"/>
    <s v="WA"/>
    <s v="-"/>
    <s v="PT Kreasi Kode Kreatif"/>
    <s v="Request"/>
    <s v="VA"/>
    <x v="3"/>
    <x v="4"/>
    <x v="880"/>
    <s v="BCA"/>
    <s v="R01"/>
    <x v="0"/>
    <s v="15/04 Kvoucher tanyakan trx 7900119200765170_x000a_15/04 support plink rejected dan agree tidak ada ada datanya_x000a_15/04 support infokan gagal"/>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5T00:00:00"/>
    <x v="28"/>
  </r>
  <r>
    <s v="INC20260415918"/>
    <d v="2026-04-15T09:22:00"/>
    <s v="WA"/>
    <s v="-"/>
    <s v="PT BARAKA SARANA TAMA"/>
    <s v="Request"/>
    <s v="VA"/>
    <x v="3"/>
    <x v="3"/>
    <x v="881"/>
    <s v="BNI"/>
    <s v="R01"/>
    <x v="0"/>
    <s v="15/04 Baraka tanyakan trx 8919101205072269_x000a_15/04 support cek plink settled namun cek db belum ada datanya_x000a_15/04 Support up team terkait untuk update_x000a_15/04 sudah update dan support infokan sukses"/>
    <s v="SOP #05"/>
    <s v="1. Pastikan merchant &amp; transaksi tersebut valid_x000a_2. Cek VA di apps.plink, bandingkan amount:_x000a__x0009_Amount sama → Update transaksi._x000a__x0009_Amount berbeda → Tidak bisa diupdate, informasikan ke merchant."/>
    <d v="2026-04-15T00:00:00"/>
    <x v="28"/>
  </r>
  <r>
    <s v="INC20260415919"/>
    <d v="2026-04-15T12:13:00"/>
    <s v="WA"/>
    <s v="-"/>
    <s v="PT Daya Net Gemilang"/>
    <s v="Request"/>
    <s v="VA"/>
    <x v="3"/>
    <x v="3"/>
    <x v="882"/>
    <s v="BNI"/>
    <s v="R01"/>
    <x v="0"/>
    <s v="15/04 dnt tanyakan trx 8919101250910073_x000a_15/04 support cek plink settled namun cek db belum ada datanya_x000a_15/04 Support up team terkait untuk update_x000a_15/04 sudah update dan support infokan sukses"/>
    <s v="SOP #05"/>
    <s v="1. Pastikan merchant &amp; transaksi tersebut valid_x000a_2. Cek VA di apps.plink, bandingkan amount:_x000a__x0009_Amount sama → Update transaksi._x000a__x0009_Amount berbeda → Tidak bisa diupdate, informasikan ke merchant."/>
    <d v="2026-04-15T00:00:00"/>
    <x v="28"/>
  </r>
  <r>
    <s v="INC20260416920"/>
    <d v="2026-04-16T07:37:00"/>
    <s v="WA"/>
    <s v="-"/>
    <s v="PT Teknologi Awan Cerah"/>
    <s v="Request"/>
    <s v="VA"/>
    <x v="3"/>
    <x v="3"/>
    <x v="883"/>
    <s v="BNI"/>
    <s v="R01"/>
    <x v="0"/>
    <s v="16/04 Nobecul tanyakan trx 8919101217845603 / 2026041640100156451  _x000a_16/04 support cek operator dan pgadmin settld dan aprvd, dashboard pending _x000a_16/04 Support up team terkait untuk update_x000a_16/04 sudah update dan support infokan sukses"/>
    <s v="SOP #05"/>
    <s v="1. Pastikan merchant &amp; transaksi tersebut valid_x000a_2. Cek VA di apps.plink, bandingkan amount:_x000a__x0009_Amount sama → Update transaksi._x000a__x0009_Amount berbeda → Tidak bisa diupdate, informasikan ke merchant."/>
    <d v="2026-04-16T00:00:00"/>
    <x v="28"/>
  </r>
  <r>
    <s v="INC20260416921"/>
    <d v="2026-04-16T12:58:00"/>
    <s v="WA"/>
    <s v="-"/>
    <s v="PT Daya Net Gemilang"/>
    <s v="Request"/>
    <s v="VA"/>
    <x v="3"/>
    <x v="3"/>
    <x v="884"/>
    <s v="BRI"/>
    <s v="R01"/>
    <x v="0"/>
    <s v="16/04 DNT tanyakan trx NACL1468492824_x000a_NACL1467856044 tidak dapat callback_x000a_16/04 Support up team terkait untuk update_x000a_17/04 Diinfokan team terkait sudah update _x000a_17/04 Support infokan sudah update ke DNT"/>
    <s v="SOP #05"/>
    <s v="1. Pastikan merchant &amp; transaksi tersebut valid_x000a_2. Cek VA di apps.plink, bandingkan amount:_x000a__x0009_Amount sama → Update transaksi._x000a__x0009_Amount berbeda → Tidak bisa diupdate, informasikan ke merchant."/>
    <d v="2026-04-17T00:00:00"/>
    <x v="28"/>
  </r>
  <r>
    <s v="INC20260416922"/>
    <d v="2026-04-16T16:16:00"/>
    <s v="WA"/>
    <s v="-"/>
    <s v="PT Teknologi Awan Cerah"/>
    <s v="Request"/>
    <s v="VA"/>
    <x v="3"/>
    <x v="4"/>
    <x v="885"/>
    <s v="BCA"/>
    <s v="R01"/>
    <x v="0"/>
    <s v="16/04 Nobecul tanyakan trx 7900121700040045_x000a_16/04 support cek operator dan pgadmin sttld_x000a_16/04 Support infokan menunggu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6T00:00:00"/>
    <x v="28"/>
  </r>
  <r>
    <s v="INC20260417923"/>
    <d v="2026-04-17T13:10:00"/>
    <s v="WA"/>
    <s v="-"/>
    <s v="PT Daya Net Gemilang"/>
    <s v="Request"/>
    <s v="VA"/>
    <x v="3"/>
    <x v="4"/>
    <x v="886"/>
    <s v="BRI"/>
    <s v="R01"/>
    <x v="0"/>
    <s v="17/04 DNT tanyakan trx 4041910125059392 // NACL1460304666_x000a_17/04 support cek operator dan pgadmin sttld_x000a_17/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7T00:00:00"/>
    <x v="28"/>
  </r>
  <r>
    <s v="INC20260417924"/>
    <d v="2026-04-17T15:17:00"/>
    <s v="WA"/>
    <s v="-"/>
    <s v="YAYASAN ENAM PEDULI PENDIDIKAN"/>
    <s v="Request"/>
    <s v="QR"/>
    <x v="3"/>
    <x v="4"/>
    <x v="887"/>
    <s v="NOBU"/>
    <s v="R01"/>
    <x v="0"/>
    <s v="17/04 Univ Sains tanyakan trx 1nmykq682011 / 2521120080-260417131855 _x000a_17/04 support dashboard nobu ada _x000a_17/04 Support infokan sukses "/>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7T00:00:00"/>
    <x v="28"/>
  </r>
  <r>
    <s v="INC20260418925"/>
    <d v="2026-04-18T07:59:00"/>
    <s v="WA"/>
    <s v="-"/>
    <s v="PT Daya Net Gemilang"/>
    <s v="Request"/>
    <s v="VA"/>
    <x v="3"/>
    <x v="4"/>
    <x v="888"/>
    <s v="BCA"/>
    <s v="R01"/>
    <x v="0"/>
    <s v="18/04  dnt tanyakan trx 7900125000071636_x000a_18/04 Support cek dashboard apprv, mbase sukse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26"/>
    <d v="2026-04-18T08:50:00"/>
    <s v="WA"/>
    <s v="-"/>
    <s v="PT Daya Net Gemilang"/>
    <s v="Request"/>
    <s v="VA"/>
    <x v="3"/>
    <x v="4"/>
    <x v="889"/>
    <s v="BCA"/>
    <s v="R01"/>
    <x v="0"/>
    <s v="18/04  dnt tanyakan trx 7900125000049957_x000a_7900125000047677_x000a_18/04 Support cek dashboard apprv, mbase sukse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27"/>
    <d v="2026-04-18T11:21:00"/>
    <s v="WA"/>
    <s v="-"/>
    <s v="PT Kreasi Kode Kreatif"/>
    <s v="Request"/>
    <s v="VA"/>
    <x v="3"/>
    <x v="4"/>
    <x v="890"/>
    <s v="BCA"/>
    <s v="R01"/>
    <x v="0"/>
    <s v="18/04  kvoucher tanyakan trx 2026041763600871649_x000a_7900119200783913_x000a_18/04 Support cek dashboard apprv, mbase sukse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28"/>
    <d v="2026-04-18T11:44:00"/>
    <s v="WA"/>
    <s v="-"/>
    <s v="PT Kreasi Kode Kreatif"/>
    <s v="Request"/>
    <s v="VA"/>
    <x v="3"/>
    <x v="4"/>
    <x v="891"/>
    <s v="BCA"/>
    <s v="R01"/>
    <x v="0"/>
    <s v="18/04  kvucher tanyakan trx 7900119200783898_x000a_18/04 Support cek dashboard apprv, mbase sukse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29"/>
    <d v="2026-04-18T11:58:00"/>
    <s v="WA"/>
    <s v="-"/>
    <s v="PT Kreasi Kode Kreatif"/>
    <s v="Request"/>
    <s v="VA"/>
    <x v="3"/>
    <x v="4"/>
    <x v="892"/>
    <s v="BCA"/>
    <s v="R01"/>
    <x v="0"/>
    <s v="18/04  kvucher tanyakan trx 2026041740100868652 // 7900119200783901 _x000a_18/04 Support cek dashboard apprv, mbase sukse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30"/>
    <d v="2026-04-18T10:00:00"/>
    <s v="WA"/>
    <s v="-"/>
    <s v="PT Kreasi Kode Kreatif"/>
    <s v="Request"/>
    <s v="VA"/>
    <x v="3"/>
    <x v="4"/>
    <x v="893"/>
    <s v="MANDIRI"/>
    <s v="R01"/>
    <x v="0"/>
    <s v="18/04  univ sains tanyakan trx 8903910121294578 _x000a_18/04 Support cek dashboard apprv, mbase sukse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31"/>
    <d v="2026-04-18T10:21:00"/>
    <s v="WA"/>
    <s v="-"/>
    <s v="YAYASAN ENAM PEDULI PENDIDIKAN"/>
    <s v="Request"/>
    <s v="QR"/>
    <x v="3"/>
    <x v="4"/>
    <x v="894"/>
    <s v="NOBU"/>
    <s v="R01"/>
    <x v="0"/>
    <s v="18/04  univ sains tanyakan trx 000299153962  _x000a_18/04 Support cek dashboard nobu ada, infokan l2 untuk update status_x000a_18/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8T00:00:00"/>
    <x v="28"/>
  </r>
  <r>
    <s v="INC20260418932"/>
    <d v="2026-04-18T15:55:00"/>
    <s v="WA"/>
    <s v="-"/>
    <s v="PT Daya Net Gemilang"/>
    <s v="Request"/>
    <s v="VA"/>
    <x v="3"/>
    <x v="3"/>
    <x v="895"/>
    <s v="BCA"/>
    <s v="R01"/>
    <x v="0"/>
    <s v="18/04  DNT tanyakan trx NACL1473100029 / 7900125000069529_x000a_18/04 Support cek mbase apprv, dashboard cancel_x000a_18/04 Support infokan ke team terkait untuk update _x000a_18/04  Support infokan trx sukses"/>
    <s v="SOP #05"/>
    <s v="1. Pastikan merchant &amp; transaksi tersebut valid_x000a_2. Cek VA di apps.plink, bandingkan amount:_x000a__x0009_Amount sama → Update transaksi._x000a__x0009_Amount berbeda → Tidak bisa diupdate, informasikan ke merchant."/>
    <d v="2026-04-18T00:00:00"/>
    <x v="28"/>
  </r>
  <r>
    <s v="INC20260418933"/>
    <d v="2026-04-18T16:32:00"/>
    <s v="WA"/>
    <s v="-"/>
    <s v="PT Teknologi Awan Cerah"/>
    <s v="Request"/>
    <s v="VA"/>
    <x v="3"/>
    <x v="3"/>
    <x v="896"/>
    <s v="BCA"/>
    <s v="R01"/>
    <x v="0"/>
    <s v="18/04  Nobecul tanyakan trx 7900121700059483  _x000a_18/04 Support cek mbase apprv, dashboard cancel_x000a_18/04 Support infokan ke team terkait untuk update _x000a_18/04  Support infokan trx sukses"/>
    <s v="SOP #05"/>
    <s v="1. Pastikan merchant &amp; transaksi tersebut valid_x000a_2. Cek VA di apps.plink, bandingkan amount:_x000a__x0009_Amount sama → Update transaksi._x000a__x0009_Amount berbeda → Tidak bisa diupdate, informasikan ke merchant."/>
    <d v="2026-04-18T00:00:00"/>
    <x v="28"/>
  </r>
  <r>
    <s v="INC20260418934"/>
    <d v="2026-04-18T16:28:00"/>
    <s v="WA"/>
    <s v="-"/>
    <s v="PT Daya Net Gemilang"/>
    <s v="Request"/>
    <s v="VA"/>
    <x v="3"/>
    <x v="3"/>
    <x v="897"/>
    <s v="BCA"/>
    <s v="R01"/>
    <x v="0"/>
    <s v="18/04  DNT tanyakan trx 7900125000027976 / NACL1472679611 _x000a_18/04 Support cek mbase apprv, dashboard cancel_x000a_18/04 Support infokan ke team terkait untuk update _x000a_18/04  Support infokan trx sukses"/>
    <s v="SOP #05"/>
    <s v="1. Pastikan merchant &amp; transaksi tersebut valid_x000a_2. Cek VA di apps.plink, bandingkan amount:_x000a__x0009_Amount sama → Update transaksi._x000a__x0009_Amount berbeda → Tidak bisa diupdate, informasikan ke merchant."/>
    <d v="2026-04-18T00:00:00"/>
    <x v="28"/>
  </r>
  <r>
    <s v="INC20260418935"/>
    <d v="2026-04-18T19:10:00"/>
    <s v="WA"/>
    <s v="-"/>
    <s v="PT Daya Net Gemilang"/>
    <s v="Request"/>
    <s v="VA"/>
    <x v="3"/>
    <x v="3"/>
    <x v="898"/>
    <s v="BCA"/>
    <s v="R01"/>
    <x v="0"/>
    <s v="18/04  DNT tanyakan trx 7900125000033028 - NACL1473110541_x000a_18/04 Support cek mbase apprv, dashboard cancel_x000a_18/04 Support infokan ke team terkait untuk update _x000a_18/04  Support infokan trx sukses"/>
    <s v="SOP #05"/>
    <s v="1. Pastikan merchant &amp; transaksi tersebut valid_x000a_2. Cek VA di apps.plink, bandingkan amount:_x000a__x0009_Amount sama → Update transaksi._x000a__x0009_Amount berbeda → Tidak bisa diupdate, informasikan ke merchant."/>
    <d v="2026-04-18T00:00:00"/>
    <x v="28"/>
  </r>
  <r>
    <s v="INC20260418936"/>
    <d v="2026-04-18T21:16:00"/>
    <s v="WA"/>
    <s v="-"/>
    <s v="PT Daya Net Gemilang"/>
    <s v="Request"/>
    <s v="VA"/>
    <x v="3"/>
    <x v="3"/>
    <x v="899"/>
    <s v="BCA"/>
    <s v="R01"/>
    <x v="0"/>
    <s v="18/04  DNT tanyakan trx 7900125000033028 - NACL1473110541_x000a_18/04 Support cek mbase apprv, dashboard cancel_x000a_18/04 Support infokan ke team terkait untuk update _x000a_18/04  Support infokan trx sukses"/>
    <s v="SOP #05"/>
    <s v="1. Pastikan merchant &amp; transaksi tersebut valid_x000a_2. Cek VA di apps.plink, bandingkan amount:_x000a__x0009_Amount sama → Update transaksi._x000a__x0009_Amount berbeda → Tidak bisa diupdate, informasikan ke merchant."/>
    <d v="2026-04-18T00:00:00"/>
    <x v="28"/>
  </r>
  <r>
    <s v="INC20260418937"/>
    <d v="2026-04-18T22:51:00"/>
    <s v="WA"/>
    <s v="-"/>
    <s v="PT Daya Net Gemilang"/>
    <s v="Request"/>
    <s v="VA"/>
    <x v="3"/>
    <x v="3"/>
    <x v="900"/>
    <s v="BCA"/>
    <s v="R01"/>
    <x v="0"/>
    <s v="18/04  DNT tanyakan trx 7900125000024518 / NACL1473115759 _x000a_18/04 Support cek data 5401 ada, dashboard cancel_x000a_18/04 Support infokan ke team terkait untuk update"/>
    <s v="SOP #05"/>
    <s v="1. Pastikan merchant &amp; transaksi tersebut valid_x000a_2. Cek VA di apps.plink, bandingkan amount:_x000a__x0009_Amount sama → Update transaksi._x000a__x0009_Amount berbeda → Tidak bisa diupdate, informasikan ke merchant."/>
    <d v="2026-04-18T00:00:00"/>
    <x v="28"/>
  </r>
  <r>
    <s v="INC20260419938"/>
    <d v="2026-04-19T05:29:00"/>
    <s v="WA"/>
    <s v="-"/>
    <s v="PT Teknologi Awan Cerah"/>
    <s v="Request"/>
    <s v="VA"/>
    <x v="3"/>
    <x v="4"/>
    <x v="901"/>
    <s v="BNI"/>
    <s v="R01"/>
    <x v="0"/>
    <s v="19/04 Nobecul tanyakan trx 8919101217821964_x000a_19/04 Support cek plink settld, cek mbase plink 10 apprvd_x000a_19/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9T00:00:00"/>
    <x v="28"/>
  </r>
  <r>
    <s v="INC20260419939"/>
    <d v="2026-04-19T00:18:00"/>
    <s v="WA"/>
    <s v="-"/>
    <s v="PT Teknologi Awan Cerah"/>
    <s v="Request"/>
    <s v="VA"/>
    <x v="3"/>
    <x v="4"/>
    <x v="902"/>
    <s v="BNI"/>
    <s v="R01"/>
    <x v="0"/>
    <s v="19/04 Nobecul tanyakan trx 7900121700052085_x000a_19/04 Support cek data 5401 ada_x000a_19/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9T00:00:00"/>
    <x v="28"/>
  </r>
  <r>
    <s v="INC20260419940"/>
    <d v="2026-04-19T19:04:00"/>
    <s v="WA"/>
    <s v="-"/>
    <s v="PT Teknologi Awan Cerah"/>
    <s v="Request"/>
    <s v="VA"/>
    <x v="3"/>
    <x v="4"/>
    <x v="903"/>
    <s v="BNI"/>
    <s v="R01"/>
    <x v="0"/>
    <s v="19/04 Nobecul tanyakan trx 7900121700090627_x000a_19/04 Support cek data 5401 ada_x000a_19/04 Support infokan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19T00:00:00"/>
    <x v="28"/>
  </r>
  <r>
    <s v="INC20260420941"/>
    <d v="2026-04-20T11:05:00"/>
    <s v="Email"/>
    <s v="Irwan A &lt;irwan125@icloud.com&gt;"/>
    <s v="PT ENVOIZ DIGITAL INDONESIA"/>
    <s v="Request"/>
    <s v="VA"/>
    <x v="3"/>
    <x v="4"/>
    <x v="904"/>
    <s v="BNI"/>
    <s v="R01"/>
    <x v="0"/>
    <s v="20/04 req masuk_x000a_20/04 support infokan trx sukses &amp; sarankan user untuk hub ihak merchant jika belum masuk"/>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m/>
    <x v="28"/>
  </r>
  <r>
    <s v="INC20260420942"/>
    <d v="2026-04-20T11:56:00"/>
    <s v="Email"/>
    <s v="김미나 &lt;01071370717@naver.com&gt;"/>
    <s v="MOLINA"/>
    <s v="Request"/>
    <s v="VOA"/>
    <x v="0"/>
    <x v="10"/>
    <x v="905"/>
    <s v="BRI VOA"/>
    <s v="R02"/>
    <x v="0"/>
    <s v="20/04 req masuk_x000a_20/04 support meminta info cc _x000a_20/04 cust infokan cc yg digunakan_x000a_20/04 support meminta info cc yg digunakan_x000a_20/04 done support refund"/>
    <s v="SOP #09"/>
    <s v="Z:\03. Operation\08. Merchant Support\Prosedur L1\24. ISSUE - SOP Refund CC VoA.pdf"/>
    <d v="2026-04-20T00:00:00"/>
    <x v="28"/>
  </r>
  <r>
    <s v="INC20260420943"/>
    <d v="2026-04-20T14:40:00"/>
    <s v="Email"/>
    <s v="Joey LIM &lt;joey.lim@hsbc.com.sg&gt;"/>
    <s v="MOLINA"/>
    <s v="Request"/>
    <s v="VOA"/>
    <x v="4"/>
    <x v="8"/>
    <x v="906"/>
    <s v="BRI VOA"/>
    <s v="R02"/>
    <x v="0"/>
    <s v="20/04 req masuk_x000a_21/04 done"/>
    <m/>
    <m/>
    <d v="2026-04-21T00:00:00"/>
    <x v="28"/>
  </r>
  <r>
    <s v="INC20260420944"/>
    <d v="2026-04-20T15:40:00"/>
    <s v="Email"/>
    <s v="keluhan_payment@bca.co.id"/>
    <s v="PT Teknologi Awan Cerah"/>
    <s v="Issue"/>
    <s v="VA"/>
    <x v="2"/>
    <x v="2"/>
    <x v="907"/>
    <s v="BCA"/>
    <s v="Open"/>
    <x v="0"/>
    <s v="20/04 req masuk + support meminta kronologis_x000a_21/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8"/>
  </r>
  <r>
    <s v="INC20260420945"/>
    <d v="2026-04-20T15:44:00"/>
    <s v="Email"/>
    <s v="keluhan_payment@bca.co.id"/>
    <s v="PT Daya Net Gemilang"/>
    <s v="Issue"/>
    <s v="VA"/>
    <x v="2"/>
    <x v="2"/>
    <x v="908"/>
    <s v="BCA"/>
    <s v="Open"/>
    <x v="0"/>
    <s v="20/04 req masuk + support meminta kronologis_x000a_21/04 belum ada update"/>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8"/>
  </r>
  <r>
    <s v="INC20260420946"/>
    <d v="2026-04-20T16:15:00"/>
    <s v="Email"/>
    <s v="김미나 &lt;01071370717@naver.com&gt;"/>
    <s v="MOLINA"/>
    <s v="Request"/>
    <s v="VOA"/>
    <x v="0"/>
    <x v="10"/>
    <x v="909"/>
    <s v="BRI VOA"/>
    <s v="R02"/>
    <x v="0"/>
    <s v="20/04 req masuk_x000a_20/04 DONE refund"/>
    <s v="SOP #09"/>
    <s v="Z:\03. Operation\08. Merchant Support\Prosedur L1\24. ISSUE - SOP Refund CC VoA.pdf"/>
    <d v="2026-04-20T00:00:00"/>
    <x v="28"/>
  </r>
  <r>
    <s v="INC20260420947"/>
    <d v="2026-04-20T16:52:00"/>
    <s v="Email"/>
    <s v="keluhan_payment@bca.co.id"/>
    <s v="PT Daya Net Gemilang"/>
    <s v="Issue"/>
    <s v="QR"/>
    <x v="2"/>
    <x v="2"/>
    <x v="910"/>
    <s v="BCA"/>
    <s v="Open"/>
    <x v="1"/>
    <s v="20/04 req masuk_x000a_20/04 support teruskan ke merchant 'FW: [NOBUCRM] Tiket R-635182 Telah Ditugaskan Pada Anda'"/>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8"/>
  </r>
  <r>
    <s v="INC20260420948"/>
    <d v="2026-04-20T18:21:00"/>
    <s v="Email"/>
    <s v="keluhan_payment@bca.co.id"/>
    <s v="PT Daya Net Gemilang"/>
    <s v="Request"/>
    <s v="VA"/>
    <x v="3"/>
    <x v="4"/>
    <x v="911"/>
    <s v="BNI"/>
    <s v="R01"/>
    <x v="0"/>
    <s v="20/04 req masuk_x000a_20/04 support infokan trx sukses"/>
    <s v="SOP #02"/>
    <s v="1. Konfirmasi apakah Merchant terdapat kendala dalam akses Dashboard_x000a_2. Tim Support tetap membantu pastikan, bila Merchant meminta_x000a_3. Memastikan status transaksi pada Dashboard_x000a_     IF &quot;Transaksi GAGAL&quot;, AND &quot;Dana TDK MASUK&quot; (via rekon) then &quot;Infokan GAGAL&quot;_x000a_     IF &quot;Transaksi SUKSES&quot;, AND &quot;Dana MASUK&quot; (via rekon) then &quot;Infokan SUKSES&quot;"/>
    <d v="2026-04-20T00:00:00"/>
    <x v="28"/>
  </r>
  <r>
    <s v="INC20260420949"/>
    <d v="2026-04-20T19:00:00"/>
    <s v="Email"/>
    <s v="Alec McIndoe &lt;alecmc010@gmail.com&gt;"/>
    <s v="MOLINA"/>
    <s v="Request"/>
    <s v="VOA"/>
    <x v="0"/>
    <x v="10"/>
    <x v="912"/>
    <s v="BRI VOA"/>
    <s v="R02"/>
    <x v="0"/>
    <s v="20/04 req masuk + support meminta info cc yg digunakan_x000a_21/04 belum ada update"/>
    <s v="SOP #09"/>
    <s v="Z:\03. Operation\08. Merchant Support\Prosedur L1\24. ISSUE - SOP Refund CC VoA.pdf"/>
    <m/>
    <x v="28"/>
  </r>
  <r>
    <s v="INC20260420950"/>
    <d v="2026-04-20T23:02:00"/>
    <s v="Email"/>
    <s v="土倉幸子 &lt;kochisa85@gmail.com&gt;"/>
    <s v="MOLINA"/>
    <s v="Request"/>
    <s v="VOA"/>
    <x v="4"/>
    <x v="8"/>
    <x v="913"/>
    <s v="BRI VOA"/>
    <s v="R02"/>
    <x v="0"/>
    <s v="20/04 req masuk_x000a_20/04 support meminta info cc yg digunakan_x000a_21/04 b3lum ada update"/>
    <m/>
    <m/>
    <m/>
    <x v="28"/>
  </r>
  <r>
    <s v="INC20260420951"/>
    <d v="2026-04-20T23:57:00"/>
    <s v="Email"/>
    <s v="Liam Fartass &lt;liam.presse@gmail.com&gt;"/>
    <s v="MOLINA"/>
    <s v="Request"/>
    <s v="VOA"/>
    <x v="0"/>
    <x v="10"/>
    <x v="914"/>
    <s v="BRI VOA"/>
    <s v="R02"/>
    <x v="0"/>
    <s v="20/04 req masuk + support meminta info cc yg digunakan_x000a_21/04 support infokan jika trx bukan di plink &amp; sarankan untuk hub imigrasi"/>
    <s v="SOP #09"/>
    <s v="Z:\03. Operation\08. Merchant Support\Prosedur L1\24. ISSUE - SOP Refund CC VoA.pdf"/>
    <d v="2026-04-21T00:00:00"/>
    <x v="28"/>
  </r>
  <r>
    <s v="INC20260421952"/>
    <d v="2026-04-21T04:28:00"/>
    <s v="Email"/>
    <s v="Saad Alqarni &lt;saad.alqrni5533@gmail.com&gt;"/>
    <s v="MOLINA"/>
    <s v="Request"/>
    <s v="VOA"/>
    <x v="0"/>
    <x v="10"/>
    <x v="915"/>
    <s v="BRI VOA"/>
    <s v="R02"/>
    <x v="0"/>
    <s v="21/04 req masuk + support meminta info cc yg digunakan_x000a_21/04 done refund_x000a_"/>
    <s v="SOP #09"/>
    <s v="Z:\03. Operation\08. Merchant Support\Prosedur L1\24. ISSUE - SOP Refund CC VoA.pdf"/>
    <d v="2026-04-21T00:00:00"/>
    <x v="28"/>
  </r>
  <r>
    <s v="INC20260421953"/>
    <d v="2026-04-21T04:50:00"/>
    <s v="Email"/>
    <s v="GLENDA MATHOU &lt;gmathou@yahoo.com&gt;"/>
    <s v="MOLINA"/>
    <s v="Request"/>
    <s v="VOA"/>
    <x v="0"/>
    <x v="10"/>
    <x v="916"/>
    <s v="BRI VOA"/>
    <s v="R02"/>
    <x v="0"/>
    <s v="21/04 req masuk + support meminta info cc yg digunakan_x000a_21/04 cust infokan cc yg digunakan_x000a_21/04 done refund"/>
    <s v="SOP #09"/>
    <s v="Z:\03. Operation\08. Merchant Support\Prosedur L1\24. ISSUE - SOP Refund CC VoA.pdf"/>
    <d v="2026-04-21T00:00:00"/>
    <x v="28"/>
  </r>
  <r>
    <s v="INC20260421954"/>
    <d v="2026-04-21T12:54:00"/>
    <s v="Email"/>
    <s v="김미나 &lt;01071370717@naver.com&gt;"/>
    <s v="MOLINA"/>
    <s v="Request"/>
    <s v="VOA"/>
    <x v="0"/>
    <x v="10"/>
    <x v="917"/>
    <s v="BRI VOA"/>
    <s v="R02"/>
    <x v="0"/>
    <s v="21/04 req masuk_x000a_21/04 support refund"/>
    <s v="SOP #09"/>
    <s v="Z:\03. Operation\08. Merchant Support\Prosedur L1\24. ISSUE - SOP Refund CC VoA.pdf"/>
    <d v="2026-04-21T00:00:00"/>
    <x v="28"/>
  </r>
  <r>
    <s v="INC20260421955"/>
    <d v="2026-04-21T10:22:00"/>
    <s v="Email"/>
    <s v="kkd_ipm2@corp.bri.co.id"/>
    <s v="MOLINA"/>
    <s v="Request"/>
    <s v="VOA"/>
    <x v="4"/>
    <x v="5"/>
    <x v="918"/>
    <s v="BRI VOA"/>
    <s v="R02"/>
    <x v="1"/>
    <s v="21/04 req masuk"/>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8"/>
  </r>
  <r>
    <s v="INC20260421956"/>
    <d v="2026-04-21T13:24:00"/>
    <s v="Email"/>
    <s v="kkd_ipm2@corp.bri.co.id"/>
    <s v="MOLINA"/>
    <s v="Request"/>
    <s v="VOA"/>
    <x v="4"/>
    <x v="5"/>
    <x v="919"/>
    <s v="BRI VOA"/>
    <s v="R02"/>
    <x v="1"/>
    <s v="21/04 req masuk"/>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8"/>
  </r>
  <r>
    <s v="INC20260416957"/>
    <d v="2026-04-16T00:00:00"/>
    <s v="Email"/>
    <s v="kkd_ipm2@corp.bri.co.id"/>
    <s v="MOLINA"/>
    <s v="Request"/>
    <s v="VOA"/>
    <x v="1"/>
    <x v="1"/>
    <x v="920"/>
    <s v="BRI VOA"/>
    <s v="R02"/>
    <x v="0"/>
    <s v="16/04 KKD KONFIRMASI Pre-Arbitrasi _x000a_16/04 Support infokan jika terdapat request Pre-Arb dari Bank"/>
    <m/>
    <m/>
    <d v="2026-04-16T00:00:00"/>
    <x v="28"/>
  </r>
  <r>
    <s v="INC20260421958"/>
    <d v="2026-04-21T09:22:00"/>
    <s v="Email"/>
    <s v="kkd_ipm2@corp.bri.co.id"/>
    <s v="MOLINA"/>
    <s v="Request"/>
    <s v="VOA"/>
    <x v="1"/>
    <x v="1"/>
    <x v="921"/>
    <s v="BRI VOA"/>
    <s v="R02"/>
    <x v="0"/>
    <s v="16/04 KKD KONFIRMASI Pre-Arbitrasi _x000a_16/04 Support infokan jika terdapat request Pre-Arb dari Bank"/>
    <m/>
    <m/>
    <m/>
    <x v="28"/>
  </r>
  <r>
    <s v="INC20260421959"/>
    <d v="2026-04-21T09:57:00"/>
    <s v="Email"/>
    <s v="kkd_ipm2@corp.bri.co.id"/>
    <s v="MOLINA"/>
    <s v="Request"/>
    <s v="VOA"/>
    <x v="4"/>
    <x v="5"/>
    <x v="922"/>
    <s v="BRI VOA"/>
    <s v="R02"/>
    <x v="1"/>
    <s v="21/04 req masuk"/>
    <s v="SOP #03"/>
    <s v="1. Menggunakan Approval_Code Transaksi KartuKredit dari List BRI untuk mencari billing ID VOA_x000a_2. Mencari detil No Paspor berdasarkan Billing ID, untuk kemudian diberikan ke pihak Molina_x000a_3. Pihak Molina membantu mencarikan bukti penerbitan Visa_x000a_4. Tim Support melampirkan data &quot;Penerbitan Visa atas WNA&quot; berdasarkan &quot;Transaksi CC&quot;"/>
    <m/>
    <x v="28"/>
  </r>
  <r>
    <s v="INC20260421960"/>
    <d v="2026-04-21T14:22:00"/>
    <s v="Email"/>
    <s v="kkd_ipm2@corp.bri.co.id"/>
    <s v="MOLINA"/>
    <s v="Request"/>
    <s v="VOA"/>
    <x v="1"/>
    <x v="1"/>
    <x v="923"/>
    <s v="BRI VOA"/>
    <s v="Closed"/>
    <x v="0"/>
    <s v="21/04 KKD KONFIRMASI Pre-Arbitrasi _x000a_21/04 Support infokan jika terdapat request Pre-Arb dari Bank"/>
    <m/>
    <m/>
    <d v="2026-04-21T00:00:00"/>
    <x v="29"/>
  </r>
  <r>
    <s v="INC20260421961"/>
    <d v="2026-04-21T16:47:00"/>
    <s v="Email"/>
    <s v="Kudrnová Markéta &lt;Marketa.Kudrnova@excaliburinternational.cz&gt;"/>
    <s v="MOLINA"/>
    <s v="Request"/>
    <s v="VOA"/>
    <x v="4"/>
    <x v="8"/>
    <x v="924"/>
    <s v="BRI VOA"/>
    <s v="R02"/>
    <x v="0"/>
    <s v="21/04 req masuk_x000a_21/04 done"/>
    <m/>
    <m/>
    <d v="2026-04-21T00:00:00"/>
    <x v="29"/>
  </r>
  <r>
    <s v="INC20260421962"/>
    <d v="2026-04-21T18:21:00"/>
    <s v="Email"/>
    <s v="David Atías &lt;osram36w@protonmail.ch&gt;"/>
    <s v="MOLINA"/>
    <s v="Request"/>
    <s v="VOA"/>
    <x v="0"/>
    <x v="10"/>
    <x v="925"/>
    <s v="BRI VOA"/>
    <s v="R02"/>
    <x v="0"/>
    <s v="21/04 req masuk_x000a_21/04 support meminta cc yg digunakan_x000a_21/04 done"/>
    <s v="SOP #09"/>
    <s v="Z:\03. Operation\08. Merchant Support\Prosedur L1\24. ISSUE - SOP Refund CC VoA.pdf"/>
    <d v="2026-04-21T00:00:00"/>
    <x v="29"/>
  </r>
  <r>
    <s v="INC20260422963"/>
    <d v="2026-04-22T06:16:00"/>
    <s v="Email"/>
    <s v="Chulyoon Yeom &lt;cyyeom@pineandapple.com&gt;"/>
    <s v="MOLINA"/>
    <s v="Request"/>
    <s v="VOA"/>
    <x v="0"/>
    <x v="10"/>
    <x v="926"/>
    <s v="BRI VOA"/>
    <s v="R02"/>
    <x v="1"/>
    <s v="22/04 req masuk_x000a_22/04 cust infokan cc yg digunakan"/>
    <s v="SOP #09"/>
    <s v="Z:\03. Operation\08. Merchant Support\Prosedur L1\24. ISSUE - SOP Refund CC VoA.pdf"/>
    <m/>
    <x v="29"/>
  </r>
  <r>
    <s v="INC20260422964"/>
    <d v="2026-04-22T07:32:00"/>
    <s v="Email"/>
    <s v="김미나 &lt;01071370717@naver.com&gt;"/>
    <s v="MOLINA"/>
    <s v="Request"/>
    <s v="VOA"/>
    <x v="0"/>
    <x v="10"/>
    <x v="927"/>
    <s v="BRI VOA"/>
    <s v="R02"/>
    <x v="0"/>
    <s v="22/04 req masuk_x000a_22/04 done"/>
    <s v="SOP #09"/>
    <s v="Z:\03. Operation\08. Merchant Support\Prosedur L1\24. ISSUE - SOP Refund CC VoA.pdf"/>
    <d v="2026-04-22T00:00:00"/>
    <x v="29"/>
  </r>
  <r>
    <s v="INC20260422965"/>
    <d v="2026-04-22T08:19:00"/>
    <s v="Email"/>
    <s v="Distribusi Lancar Jaya &lt;distribusilancarjaya@gmail.com&gt;"/>
    <s v="Jatimpark Vending Mechine"/>
    <s v="Request"/>
    <s v="QR"/>
    <x v="0"/>
    <x v="0"/>
    <x v="928"/>
    <s v="NOBU"/>
    <s v="R04"/>
    <x v="0"/>
    <s v="22/04 req masuk_x000a_22/04 done"/>
    <m/>
    <s v="Buka SOP 'REFUND QR NOBU'"/>
    <d v="2026-04-22T00:00:00"/>
    <x v="29"/>
  </r>
  <r>
    <s v="INC20260422966"/>
    <d v="2026-04-22T10:53:00"/>
    <s v="Email"/>
    <s v="Distribusi Lancar Jaya &lt;distribusilancarjaya@gmail.com&gt;"/>
    <s v="Jatimpark Vending Mechine"/>
    <s v="Request"/>
    <s v="QR"/>
    <x v="0"/>
    <x v="0"/>
    <x v="929"/>
    <s v="NOBU"/>
    <s v="R04"/>
    <x v="1"/>
    <s v="22/04 req masuk_x000a_22/04 support meminta info cc"/>
    <m/>
    <s v="Buka SOP 'REFUND QR NOBU'"/>
    <m/>
    <x v="29"/>
  </r>
  <r>
    <s v="INC20260422967"/>
    <d v="2026-04-22T10:52:00"/>
    <s v="Email"/>
    <s v="keluhan_payment@bca.co.id"/>
    <s v="PT Daya Net Gemilang"/>
    <s v="Issue"/>
    <s v="QR"/>
    <x v="2"/>
    <x v="2"/>
    <x v="930"/>
    <s v="BCA"/>
    <s v="Open"/>
    <x v="1"/>
    <s v="22/04 req masuk + support teruskan ke nobu"/>
    <s v="SOP #01"/>
    <s v="1. Pastikan merchant &amp; transaksi tersebut valid_x000a_2. Pastikan ada Surat kronologis_x000a_3. Teruskan ke pihak Merchant untuk konfirmasi_x000a_4. Terdapat 2 Opsi yang diberikan Merchant_x000a_     1. Pastikan Produk diterima Cust/Nasabah_x000a_     2. Request Prismalink untuk lakukan refund_x000a_5. Opsi-1 -&gt; Infokan ke sender (Bank/Cust) bahwa Produk telah tersedia_x000a_6. Opsi-2 -&gt; Infokan Finance untuk hold dana_x000a_                 -&gt; Pastikan rekening tujuan valid_x000a_                 -&gt; Pastikan refund berhasil dan infokan sender (Bank/Cust)"/>
    <m/>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85D99-C94F-4516-BB89-84F643810022}" name="PivotTable1" cacheId="1" applyNumberFormats="0" applyBorderFormats="0" applyFontFormats="0" applyPatternFormats="0" applyAlignmentFormats="0" applyWidthHeightFormats="1" dataCaption="Values" updatedVersion="8" minRefreshableVersion="3" useAutoFormatting="1" createdVersion="8" indent="0" compact="0" outline="1" outlineData="1" compactData="0" multipleFieldFilters="0" rowHeaderCaption="Ticket Category" colHeaderCaption="Status">
  <location ref="A3:AL12" firstHeaderRow="1" firstDataRow="3" firstDataCol="1"/>
  <pivotFields count="18">
    <pivotField compact="0" showAll="0" defaultSubtotal="0"/>
    <pivotField compact="0" numFmtId="164" showAll="0" defaultSubtotal="0"/>
    <pivotField compact="0" showAll="0" defaultSubtotal="0"/>
    <pivotField compact="0" showAll="0" defaultSubtotal="0"/>
    <pivotField compact="0" showAll="0" defaultSubtotal="0"/>
    <pivotField compact="0" outline="0" showAll="0" defaultSubtotal="0"/>
    <pivotField compact="0" showAll="0" defaultSubtotal="0"/>
    <pivotField axis="axisRow" compact="0" outline="0" showAll="0" sortType="ascending">
      <items count="7">
        <item n="1. Surat INDIKASI PENIPUAN" sd="0" x="2"/>
        <item n="2. Request STATUS TRANSAKSI" sd="0" x="3"/>
        <item n="3. Request BUKTI TRANSAKSI VOA" sd="0" x="4"/>
        <item n="4. Request REFUND TRANSAKSI" sd="0" x="0"/>
        <item n="5. Pre-Arbitrase" x="1"/>
        <item x="5"/>
        <item t="default"/>
      </items>
    </pivotField>
    <pivotField compact="0" showAll="0" defaultSubtotal="0"/>
    <pivotField dataField="1" compact="0" showAll="0" defaultSubtotal="0"/>
    <pivotField compact="0" showAll="0" defaultSubtotal="0"/>
    <pivotField compact="0" showAll="0" defaultSubtotal="0"/>
    <pivotField axis="axisCol" compact="0" showAll="0">
      <items count="3">
        <item x="0"/>
        <item x="1"/>
        <item t="default"/>
      </items>
    </pivotField>
    <pivotField compact="0" showAll="0" defaultSubtotal="0"/>
    <pivotField compact="0" showAll="0" defaultSubtotal="0"/>
    <pivotField compact="0" showAll="0" defaultSubtotal="0"/>
    <pivotField compact="0" showAll="0" defaultSubtotal="0"/>
    <pivotField name="Report Date" axis="axisCol" compact="0" numFmtId="14"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7"/>
  </rowFields>
  <rowItems count="7">
    <i>
      <x/>
    </i>
    <i>
      <x v="1"/>
    </i>
    <i>
      <x v="2"/>
    </i>
    <i>
      <x v="3"/>
    </i>
    <i>
      <x v="4"/>
    </i>
    <i>
      <x v="5"/>
    </i>
    <i t="grand">
      <x/>
    </i>
  </rowItems>
  <colFields count="2">
    <field x="17"/>
    <field x="12"/>
  </colFields>
  <colItems count="37">
    <i>
      <x/>
      <x/>
    </i>
    <i>
      <x v="1"/>
      <x/>
    </i>
    <i>
      <x v="2"/>
      <x/>
    </i>
    <i>
      <x v="3"/>
      <x/>
    </i>
    <i>
      <x v="4"/>
      <x/>
    </i>
    <i>
      <x v="5"/>
      <x/>
    </i>
    <i>
      <x v="6"/>
      <x/>
    </i>
    <i>
      <x v="7"/>
      <x/>
    </i>
    <i>
      <x v="8"/>
      <x/>
    </i>
    <i>
      <x v="9"/>
      <x/>
    </i>
    <i>
      <x v="10"/>
      <x/>
    </i>
    <i>
      <x v="11"/>
      <x/>
    </i>
    <i>
      <x v="12"/>
      <x/>
    </i>
    <i>
      <x v="13"/>
      <x/>
    </i>
    <i>
      <x v="14"/>
      <x/>
    </i>
    <i>
      <x v="15"/>
      <x/>
    </i>
    <i>
      <x v="16"/>
      <x/>
    </i>
    <i>
      <x v="17"/>
      <x/>
    </i>
    <i>
      <x v="18"/>
      <x/>
    </i>
    <i r="1">
      <x v="1"/>
    </i>
    <i>
      <x v="19"/>
      <x/>
    </i>
    <i>
      <x v="20"/>
      <x/>
    </i>
    <i>
      <x v="21"/>
      <x/>
    </i>
    <i>
      <x v="22"/>
      <x/>
    </i>
    <i>
      <x v="23"/>
      <x/>
    </i>
    <i>
      <x v="24"/>
      <x/>
    </i>
    <i r="1">
      <x v="1"/>
    </i>
    <i>
      <x v="25"/>
      <x/>
    </i>
    <i r="1">
      <x v="1"/>
    </i>
    <i>
      <x v="26"/>
      <x/>
    </i>
    <i>
      <x v="27"/>
      <x/>
    </i>
    <i r="1">
      <x v="1"/>
    </i>
    <i>
      <x v="28"/>
      <x/>
    </i>
    <i r="1">
      <x v="1"/>
    </i>
    <i>
      <x v="29"/>
      <x/>
    </i>
    <i r="1">
      <x v="1"/>
    </i>
    <i t="grand">
      <x/>
    </i>
  </colItems>
  <dataFields count="1">
    <dataField name=".." fld="9" subtotal="count" baseField="0" baseItem="0"/>
  </dataFields>
  <formats count="20">
    <format dxfId="50">
      <pivotArea type="origin" dataOnly="0" labelOnly="1" outline="0" fieldPosition="0"/>
    </format>
    <format dxfId="49">
      <pivotArea dataOnly="0" labelOnly="1" grandRow="1" outline="0" fieldPosition="0"/>
    </format>
    <format dxfId="48">
      <pivotArea outline="0" collapsedLevelsAreSubtotals="1" fieldPosition="0"/>
    </format>
    <format dxfId="47">
      <pivotArea field="12" type="button" dataOnly="0" labelOnly="1" outline="0" fieldPosition="0"/>
    </format>
    <format dxfId="46">
      <pivotArea type="topRight" dataOnly="0" labelOnly="1" outline="0" fieldPosition="0"/>
    </format>
    <format dxfId="45">
      <pivotArea dataOnly="0" labelOnly="1" outline="0" fieldPosition="0">
        <references count="1">
          <reference field="12" count="0"/>
        </references>
      </pivotArea>
    </format>
    <format dxfId="44">
      <pivotArea dataOnly="0" labelOnly="1" grandCol="1" outline="0" fieldPosition="0"/>
    </format>
    <format dxfId="43">
      <pivotArea outline="0" collapsedLevelsAreSubtotals="1" fieldPosition="0"/>
    </format>
    <format dxfId="42">
      <pivotArea field="12" type="button" dataOnly="0" labelOnly="1" outline="0" fieldPosition="0"/>
    </format>
    <format dxfId="41">
      <pivotArea type="topRight" dataOnly="0" labelOnly="1" outline="0" fieldPosition="0"/>
    </format>
    <format dxfId="40">
      <pivotArea dataOnly="0" labelOnly="1" outline="0" fieldPosition="0">
        <references count="1">
          <reference field="12" count="0"/>
        </references>
      </pivotArea>
    </format>
    <format dxfId="39">
      <pivotArea dataOnly="0" labelOnly="1" grandCol="1" outline="0" fieldPosition="0"/>
    </format>
    <format dxfId="38">
      <pivotArea dataOnly="0" labelOnly="1" outline="0" fieldPosition="0">
        <references count="1">
          <reference field="12" count="1">
            <x v="1"/>
          </reference>
        </references>
      </pivotArea>
    </format>
    <format dxfId="37">
      <pivotArea dataOnly="0" labelOnly="1" outline="0" fieldPosition="0">
        <references count="1">
          <reference field="12" count="1">
            <x v="1"/>
          </reference>
        </references>
      </pivotArea>
    </format>
    <format dxfId="36">
      <pivotArea grandRow="1" outline="0" collapsedLevelsAreSubtotals="1" fieldPosition="0"/>
    </format>
    <format dxfId="35">
      <pivotArea dataOnly="0" labelOnly="1" grandRow="1" outline="0" fieldPosition="0"/>
    </format>
    <format dxfId="34">
      <pivotArea grandRow="1" outline="0" collapsedLevelsAreSubtotals="1" fieldPosition="0"/>
    </format>
    <format dxfId="33">
      <pivotArea dataOnly="0" labelOnly="1" grandRow="1" outline="0" fieldPosition="0"/>
    </format>
    <format dxfId="32">
      <pivotArea grandRow="1" outline="0" collapsedLevelsAreSubtotals="1" fieldPosition="0"/>
    </format>
    <format dxfId="31">
      <pivotArea dataOnly="0" labelOnly="1" grandRow="1" outline="0" fieldPosition="0"/>
    </format>
  </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mailto:keluhan_payment@bca.co.id" TargetMode="External"/><Relationship Id="rId299" Type="http://schemas.openxmlformats.org/officeDocument/2006/relationships/hyperlink" Target="../../../08.%20Merchant%20Support/Prosedur%20L1/24.%20ISSUE%20-%20SOP%20Refund%20CC%20VoA.pdf" TargetMode="External"/><Relationship Id="rId21" Type="http://schemas.openxmlformats.org/officeDocument/2006/relationships/hyperlink" Target="mailto:kkd_ipm2@corp.bri.co.id" TargetMode="External"/><Relationship Id="rId63" Type="http://schemas.openxmlformats.org/officeDocument/2006/relationships/hyperlink" Target="mailto:keluhan_payment@bca.co.id" TargetMode="External"/><Relationship Id="rId159" Type="http://schemas.openxmlformats.org/officeDocument/2006/relationships/hyperlink" Target="mailto:keluhan_payment@bca.co.id" TargetMode="External"/><Relationship Id="rId324" Type="http://schemas.openxmlformats.org/officeDocument/2006/relationships/hyperlink" Target="../../../08.%20Merchant%20Support/Prosedur%20L1/24.%20ISSUE%20-%20SOP%20Refund%20CC%20VoA.pdf" TargetMode="External"/><Relationship Id="rId366" Type="http://schemas.openxmlformats.org/officeDocument/2006/relationships/hyperlink" Target="../../../08.%20Merchant%20Support/Prosedur%20L1/24.%20ISSUE%20-%20SOP%20Refund%20CC%20VoA.pdf" TargetMode="External"/><Relationship Id="rId170" Type="http://schemas.openxmlformats.org/officeDocument/2006/relationships/hyperlink" Target="../../../../08.%20Merchant%20Support/Prosedur%20L1/22.%20REFUND%20QR%20NOBU.docx" TargetMode="External"/><Relationship Id="rId226" Type="http://schemas.openxmlformats.org/officeDocument/2006/relationships/hyperlink" Target="../../../08.%20Merchant%20Support/Prosedur%20L1/24.%20ISSUE%20-%20SOP%20Refund%20CC%20VoA.pdf" TargetMode="External"/><Relationship Id="rId268" Type="http://schemas.openxmlformats.org/officeDocument/2006/relationships/hyperlink" Target="../../../08.%20Merchant%20Support/Prosedur%20L1/24.%20ISSUE%20-%20SOP%20Refund%20CC%20VoA.pdf" TargetMode="External"/><Relationship Id="rId32" Type="http://schemas.openxmlformats.org/officeDocument/2006/relationships/hyperlink" Target="../../../../08.%20Merchant%20Support/Prosedur%20L1/22.%20REFUND%20QR%20NOBU.docx" TargetMode="External"/><Relationship Id="rId74" Type="http://schemas.openxmlformats.org/officeDocument/2006/relationships/hyperlink" Target="mailto:keluhan_payment@bca.co.id" TargetMode="External"/><Relationship Id="rId128" Type="http://schemas.openxmlformats.org/officeDocument/2006/relationships/hyperlink" Target="../../../../08.%20Merchant%20Support/Prosedur%20L1/22.%20REFUND%20QR%20NOBU.docx" TargetMode="External"/><Relationship Id="rId335" Type="http://schemas.openxmlformats.org/officeDocument/2006/relationships/hyperlink" Target="../../../08.%20Merchant%20Support/Prosedur%20L1/24.%20ISSUE%20-%20SOP%20Refund%20CC%20VoA.pdf" TargetMode="External"/><Relationship Id="rId5" Type="http://schemas.openxmlformats.org/officeDocument/2006/relationships/hyperlink" Target="mailto:keluhan_payment@bca.co.id" TargetMode="External"/><Relationship Id="rId181" Type="http://schemas.openxmlformats.org/officeDocument/2006/relationships/hyperlink" Target="mailto:keluhan_payment@bca.co.id" TargetMode="External"/><Relationship Id="rId237" Type="http://schemas.openxmlformats.org/officeDocument/2006/relationships/hyperlink" Target="mailto:keluhan_payment@bca.co.id" TargetMode="External"/><Relationship Id="rId279" Type="http://schemas.openxmlformats.org/officeDocument/2006/relationships/hyperlink" Target="../../../08.%20Merchant%20Support/Prosedur%20L1/24.%20ISSUE%20-%20SOP%20Refund%20CC%20VoA.pdf" TargetMode="External"/><Relationship Id="rId43" Type="http://schemas.openxmlformats.org/officeDocument/2006/relationships/hyperlink" Target="mailto:metallic001@163.com" TargetMode="External"/><Relationship Id="rId139" Type="http://schemas.openxmlformats.org/officeDocument/2006/relationships/hyperlink" Target="mailto:keluhan_payment@bca.co.id" TargetMode="External"/><Relationship Id="rId290" Type="http://schemas.openxmlformats.org/officeDocument/2006/relationships/hyperlink" Target="mailto:keluhan_payment@bca.co.id" TargetMode="External"/><Relationship Id="rId304" Type="http://schemas.openxmlformats.org/officeDocument/2006/relationships/hyperlink" Target="../../../../08.%20Merchant%20Support/Prosedur%20L1/22.%20REFUND%20QR%20NOBU.docx" TargetMode="External"/><Relationship Id="rId346" Type="http://schemas.openxmlformats.org/officeDocument/2006/relationships/hyperlink" Target="../../../08.%20Merchant%20Support/Prosedur%20L1/24.%20ISSUE%20-%20SOP%20Refund%20CC%20VoA.pdf" TargetMode="External"/><Relationship Id="rId85" Type="http://schemas.openxmlformats.org/officeDocument/2006/relationships/hyperlink" Target="mailto:keluhan_payment@bca.co.id" TargetMode="External"/><Relationship Id="rId150" Type="http://schemas.openxmlformats.org/officeDocument/2006/relationships/hyperlink" Target="../../../../08.%20Merchant%20Support/Prosedur%20L1/22.%20REFUND%20QR%20NOBU.docx" TargetMode="External"/><Relationship Id="rId192" Type="http://schemas.openxmlformats.org/officeDocument/2006/relationships/hyperlink" Target="../../../08.%20Merchant%20Support/Prosedur%20L1/24.%20ISSUE%20-%20SOP%20Refund%20CC%20VoA.pdf" TargetMode="External"/><Relationship Id="rId206" Type="http://schemas.openxmlformats.org/officeDocument/2006/relationships/hyperlink" Target="mailto:kkd_ipm2@corp.bri.co.id" TargetMode="External"/><Relationship Id="rId248" Type="http://schemas.openxmlformats.org/officeDocument/2006/relationships/hyperlink" Target="mailto:keluhan_payment@bca.co.id" TargetMode="External"/><Relationship Id="rId12" Type="http://schemas.openxmlformats.org/officeDocument/2006/relationships/hyperlink" Target="mailto:xieruiqing79@gmail.com" TargetMode="External"/><Relationship Id="rId108" Type="http://schemas.openxmlformats.org/officeDocument/2006/relationships/hyperlink" Target="mailto:keluhan_payment@bca.co.id" TargetMode="External"/><Relationship Id="rId315" Type="http://schemas.openxmlformats.org/officeDocument/2006/relationships/hyperlink" Target="../../../08.%20Merchant%20Support/Prosedur%20L1/24.%20ISSUE%20-%20SOP%20Refund%20CC%20VoA.pdf" TargetMode="External"/><Relationship Id="rId357" Type="http://schemas.openxmlformats.org/officeDocument/2006/relationships/hyperlink" Target="../../../08.%20Merchant%20Support/Prosedur%20L1/24.%20ISSUE%20-%20SOP%20Refund%20CC%20VoA.pdf" TargetMode="External"/><Relationship Id="rId54" Type="http://schemas.openxmlformats.org/officeDocument/2006/relationships/hyperlink" Target="../../../../08.%20Merchant%20Support/Prosedur%20L1/22.%20REFUND%20QR%20NOBU.docx" TargetMode="External"/><Relationship Id="rId96" Type="http://schemas.openxmlformats.org/officeDocument/2006/relationships/hyperlink" Target="../../../../08.%20Merchant%20Support/Prosedur%20L1/22.%20REFUND%20QR%20NOBU.docx" TargetMode="External"/><Relationship Id="rId161" Type="http://schemas.openxmlformats.org/officeDocument/2006/relationships/hyperlink" Target="mailto:keluhan_payment@bca.co.id" TargetMode="External"/><Relationship Id="rId217" Type="http://schemas.openxmlformats.org/officeDocument/2006/relationships/hyperlink" Target="../../../../08.%20Merchant%20Support/Prosedur%20L1/22.%20REFUND%20QR%20NOBU.docx" TargetMode="External"/><Relationship Id="rId259" Type="http://schemas.openxmlformats.org/officeDocument/2006/relationships/hyperlink" Target="mailto:keluhan_payment@bca.co.id" TargetMode="External"/><Relationship Id="rId23" Type="http://schemas.openxmlformats.org/officeDocument/2006/relationships/hyperlink" Target="mailto:kkd_ipm2@corp.bri.co.id" TargetMode="External"/><Relationship Id="rId119" Type="http://schemas.openxmlformats.org/officeDocument/2006/relationships/hyperlink" Target="../../../../08.%20Merchant%20Support/Prosedur%20L1/22.%20REFUND%20QR%20NOBU.docx" TargetMode="External"/><Relationship Id="rId270" Type="http://schemas.openxmlformats.org/officeDocument/2006/relationships/hyperlink" Target="../../../08.%20Merchant%20Support/Prosedur%20L1/24.%20ISSUE%20-%20SOP%20Refund%20CC%20VoA.pdf" TargetMode="External"/><Relationship Id="rId326" Type="http://schemas.openxmlformats.org/officeDocument/2006/relationships/hyperlink" Target="../../../08.%20Merchant%20Support/Prosedur%20L1/24.%20ISSUE%20-%20SOP%20Refund%20CC%20VoA.pdf" TargetMode="External"/><Relationship Id="rId65" Type="http://schemas.openxmlformats.org/officeDocument/2006/relationships/hyperlink" Target="../../../../08.%20Merchant%20Support/Prosedur%20L1/22.%20REFUND%20QR%20NOBU.docx" TargetMode="External"/><Relationship Id="rId130" Type="http://schemas.openxmlformats.org/officeDocument/2006/relationships/hyperlink" Target="mailto:keluhan_payment@bca.co.id" TargetMode="External"/><Relationship Id="rId368" Type="http://schemas.openxmlformats.org/officeDocument/2006/relationships/hyperlink" Target="../../../../08.%20Merchant%20Support/Prosedur%20L1/22.%20REFUND%20QR%20NOBU.docx" TargetMode="External"/><Relationship Id="rId172" Type="http://schemas.openxmlformats.org/officeDocument/2006/relationships/hyperlink" Target="mailto:keluhan_payment@bca.co.id" TargetMode="External"/><Relationship Id="rId228" Type="http://schemas.openxmlformats.org/officeDocument/2006/relationships/hyperlink" Target="../../../../08.%20Merchant%20Support/Prosedur%20L1/22.%20REFUND%20QR%20NOBU.docx" TargetMode="External"/><Relationship Id="rId281" Type="http://schemas.openxmlformats.org/officeDocument/2006/relationships/hyperlink" Target="../../../08.%20Merchant%20Support/Prosedur%20L1/24.%20ISSUE%20-%20SOP%20Refund%20CC%20VoA.pdf" TargetMode="External"/><Relationship Id="rId337" Type="http://schemas.openxmlformats.org/officeDocument/2006/relationships/hyperlink" Target="../../../08.%20Merchant%20Support/Prosedur%20L1/24.%20ISSUE%20-%20SOP%20Refund%20CC%20VoA.pdf" TargetMode="External"/><Relationship Id="rId34" Type="http://schemas.openxmlformats.org/officeDocument/2006/relationships/hyperlink" Target="mailto:kkd_ipm2@corp.bri.co.id" TargetMode="External"/><Relationship Id="rId76" Type="http://schemas.openxmlformats.org/officeDocument/2006/relationships/hyperlink" Target="mailto:keluhan_payment@bca.co.id" TargetMode="External"/><Relationship Id="rId141" Type="http://schemas.openxmlformats.org/officeDocument/2006/relationships/hyperlink" Target="mailto:keluhan_payment@bca.co.id" TargetMode="External"/><Relationship Id="rId7" Type="http://schemas.openxmlformats.org/officeDocument/2006/relationships/hyperlink" Target="mailto:keluhan_payment@bca.co.id" TargetMode="External"/><Relationship Id="rId183" Type="http://schemas.openxmlformats.org/officeDocument/2006/relationships/hyperlink" Target="../../../08.%20Merchant%20Support/Prosedur%20L1/24.%20ISSUE%20-%20SOP%20Refund%20CC%20VoA.pdf" TargetMode="External"/><Relationship Id="rId239" Type="http://schemas.openxmlformats.org/officeDocument/2006/relationships/hyperlink" Target="mailto:keluhan_payment@bca.co.id" TargetMode="External"/><Relationship Id="rId250" Type="http://schemas.openxmlformats.org/officeDocument/2006/relationships/hyperlink" Target="mailto:keluhan_payment@bca.co.id" TargetMode="External"/><Relationship Id="rId292" Type="http://schemas.openxmlformats.org/officeDocument/2006/relationships/hyperlink" Target="../../../08.%20Merchant%20Support/Prosedur%20L1/24.%20ISSUE%20-%20SOP%20Refund%20CC%20VoA.pdf" TargetMode="External"/><Relationship Id="rId306" Type="http://schemas.openxmlformats.org/officeDocument/2006/relationships/hyperlink" Target="mailto:keluhan_payment@bca.co.id" TargetMode="External"/><Relationship Id="rId45" Type="http://schemas.openxmlformats.org/officeDocument/2006/relationships/hyperlink" Target="mailto:kkd_ipm2@corp.bri.co.id" TargetMode="External"/><Relationship Id="rId87" Type="http://schemas.openxmlformats.org/officeDocument/2006/relationships/hyperlink" Target="mailto:keluhan_payment@bca.co.id" TargetMode="External"/><Relationship Id="rId110" Type="http://schemas.openxmlformats.org/officeDocument/2006/relationships/hyperlink" Target="mailto:kkd_ipm2@corp.bri.co.id" TargetMode="External"/><Relationship Id="rId348" Type="http://schemas.openxmlformats.org/officeDocument/2006/relationships/hyperlink" Target="../../../08.%20Merchant%20Support/Prosedur%20L1/24.%20ISSUE%20-%20SOP%20Refund%20CC%20VoA.pdf" TargetMode="External"/><Relationship Id="rId152" Type="http://schemas.openxmlformats.org/officeDocument/2006/relationships/hyperlink" Target="../../../../08.%20Merchant%20Support/Prosedur%20L1/22.%20REFUND%20QR%20NOBU.docx" TargetMode="External"/><Relationship Id="rId194" Type="http://schemas.openxmlformats.org/officeDocument/2006/relationships/hyperlink" Target="../../../08.%20Merchant%20Support/Prosedur%20L1/24.%20ISSUE%20-%20SOP%20Refund%20CC%20VoA.pdf" TargetMode="External"/><Relationship Id="rId208" Type="http://schemas.openxmlformats.org/officeDocument/2006/relationships/hyperlink" Target="mailto:keluhan_payment@bca.co.id" TargetMode="External"/><Relationship Id="rId261" Type="http://schemas.openxmlformats.org/officeDocument/2006/relationships/hyperlink" Target="../../../../08.%20Merchant%20Support/Prosedur%20L1/22.%20REFUND%20QR%20NOBU.docx" TargetMode="External"/><Relationship Id="rId14" Type="http://schemas.openxmlformats.org/officeDocument/2006/relationships/hyperlink" Target="mailto:chargebackops.acq@corp.bri.co.id" TargetMode="External"/><Relationship Id="rId56" Type="http://schemas.openxmlformats.org/officeDocument/2006/relationships/hyperlink" Target="mailto:kkd_ipm2@corp.bri.co.id" TargetMode="External"/><Relationship Id="rId317" Type="http://schemas.openxmlformats.org/officeDocument/2006/relationships/hyperlink" Target="../../../08.%20Merchant%20Support/Prosedur%20L1/24.%20ISSUE%20-%20SOP%20Refund%20CC%20VoA.pdf" TargetMode="External"/><Relationship Id="rId359" Type="http://schemas.openxmlformats.org/officeDocument/2006/relationships/hyperlink" Target="../../../08.%20Merchant%20Support/Prosedur%20L1/24.%20ISSUE%20-%20SOP%20Refund%20CC%20VoA.pdf" TargetMode="External"/><Relationship Id="rId98" Type="http://schemas.openxmlformats.org/officeDocument/2006/relationships/hyperlink" Target="mailto:chargebackops.acq@corp.bri.co.id" TargetMode="External"/><Relationship Id="rId121" Type="http://schemas.openxmlformats.org/officeDocument/2006/relationships/hyperlink" Target="mailto:kkd_ipm2@corp.bri.co.id" TargetMode="External"/><Relationship Id="rId163" Type="http://schemas.openxmlformats.org/officeDocument/2006/relationships/hyperlink" Target="mailto:chargebackops.acq@corp.bri.co.id" TargetMode="External"/><Relationship Id="rId219" Type="http://schemas.openxmlformats.org/officeDocument/2006/relationships/hyperlink" Target="mailto:chargebackops.acq@corp.bri.co.id" TargetMode="External"/><Relationship Id="rId370" Type="http://schemas.openxmlformats.org/officeDocument/2006/relationships/hyperlink" Target="../../../08.%20Merchant%20Support/Prosedur%20L1/24.%20ISSUE%20-%20SOP%20Refund%20CC%20VoA.pdf" TargetMode="External"/><Relationship Id="rId230" Type="http://schemas.openxmlformats.org/officeDocument/2006/relationships/hyperlink" Target="../../../08.%20Merchant%20Support/Prosedur%20L1/24.%20ISSUE%20-%20SOP%20Refund%20CC%20VoA.pdf" TargetMode="External"/><Relationship Id="rId25" Type="http://schemas.openxmlformats.org/officeDocument/2006/relationships/hyperlink" Target="mailto:keluhan_payment@bca.co.id" TargetMode="External"/><Relationship Id="rId67" Type="http://schemas.openxmlformats.org/officeDocument/2006/relationships/hyperlink" Target="mailto:kkd_ipm2@corp.bri.co.id" TargetMode="External"/><Relationship Id="rId272" Type="http://schemas.openxmlformats.org/officeDocument/2006/relationships/hyperlink" Target="../../../08.%20Merchant%20Support/Prosedur%20L1/24.%20ISSUE%20-%20SOP%20Refund%20CC%20VoA.pdf" TargetMode="External"/><Relationship Id="rId328" Type="http://schemas.openxmlformats.org/officeDocument/2006/relationships/hyperlink" Target="../../../08.%20Merchant%20Support/Prosedur%20L1/24.%20ISSUE%20-%20SOP%20Refund%20CC%20VoA.pdf" TargetMode="External"/><Relationship Id="rId132" Type="http://schemas.openxmlformats.org/officeDocument/2006/relationships/hyperlink" Target="mailto:chargebackops.acq@corp.bri.co.id" TargetMode="External"/><Relationship Id="rId174" Type="http://schemas.openxmlformats.org/officeDocument/2006/relationships/hyperlink" Target="../../../../08.%20Merchant%20Support/Prosedur%20L1/22.%20REFUND%20QR%20NOBU.docx" TargetMode="External"/><Relationship Id="rId241" Type="http://schemas.openxmlformats.org/officeDocument/2006/relationships/hyperlink" Target="mailto:keluhan_payment@bca.co.id" TargetMode="External"/><Relationship Id="rId15" Type="http://schemas.openxmlformats.org/officeDocument/2006/relationships/hyperlink" Target="../../../../08.%20Merchant%20Support/Prosedur%20L1/22.%20REFUND%20QR%20NOBU.docx" TargetMode="External"/><Relationship Id="rId36" Type="http://schemas.openxmlformats.org/officeDocument/2006/relationships/hyperlink" Target="mailto:kkd_ipm2@corp.bri.co.id" TargetMode="External"/><Relationship Id="rId57" Type="http://schemas.openxmlformats.org/officeDocument/2006/relationships/hyperlink" Target="mailto:kkd_ipm2@corp.bri.co.id" TargetMode="External"/><Relationship Id="rId262" Type="http://schemas.openxmlformats.org/officeDocument/2006/relationships/hyperlink" Target="mailto:keluhan_payment@bca.co.id" TargetMode="External"/><Relationship Id="rId283" Type="http://schemas.openxmlformats.org/officeDocument/2006/relationships/hyperlink" Target="../../../08.%20Merchant%20Support/Prosedur%20L1/24.%20ISSUE%20-%20SOP%20Refund%20CC%20VoA.pdf" TargetMode="External"/><Relationship Id="rId318" Type="http://schemas.openxmlformats.org/officeDocument/2006/relationships/hyperlink" Target="../../../08.%20Merchant%20Support/Prosedur%20L1/24.%20ISSUE%20-%20SOP%20Refund%20CC%20VoA.pdf" TargetMode="External"/><Relationship Id="rId339" Type="http://schemas.openxmlformats.org/officeDocument/2006/relationships/hyperlink" Target="../../../08.%20Merchant%20Support/Prosedur%20L1/24.%20ISSUE%20-%20SOP%20Refund%20CC%20VoA.pdf" TargetMode="External"/><Relationship Id="rId78" Type="http://schemas.openxmlformats.org/officeDocument/2006/relationships/hyperlink" Target="mailto:fahrialbaihaqi22@gmail.com" TargetMode="External"/><Relationship Id="rId99" Type="http://schemas.openxmlformats.org/officeDocument/2006/relationships/hyperlink" Target="../../../../08.%20Merchant%20Support/Prosedur%20L1/22.%20REFUND%20QR%20NOBU.docx" TargetMode="External"/><Relationship Id="rId101" Type="http://schemas.openxmlformats.org/officeDocument/2006/relationships/hyperlink" Target="mailto:chargebackops.acq@corp.bri.co.id" TargetMode="External"/><Relationship Id="rId122" Type="http://schemas.openxmlformats.org/officeDocument/2006/relationships/hyperlink" Target="mailto:kkd_ipm2@corp.bri.co.id" TargetMode="External"/><Relationship Id="rId143" Type="http://schemas.openxmlformats.org/officeDocument/2006/relationships/hyperlink" Target="mailto:keluhan_payment@bca.co.id" TargetMode="External"/><Relationship Id="rId164" Type="http://schemas.openxmlformats.org/officeDocument/2006/relationships/hyperlink" Target="../../../../08.%20Merchant%20Support/Prosedur%20L1/22.%20REFUND%20QR%20NOBU.docx" TargetMode="External"/><Relationship Id="rId185" Type="http://schemas.openxmlformats.org/officeDocument/2006/relationships/hyperlink" Target="../../../08.%20Merchant%20Support/Prosedur%20L1/24.%20ISSUE%20-%20SOP%20Refund%20CC%20VoA.pdf" TargetMode="External"/><Relationship Id="rId350" Type="http://schemas.openxmlformats.org/officeDocument/2006/relationships/hyperlink" Target="../../../08.%20Merchant%20Support/Prosedur%20L1/24.%20ISSUE%20-%20SOP%20Refund%20CC%20VoA.pdf" TargetMode="External"/><Relationship Id="rId371" Type="http://schemas.openxmlformats.org/officeDocument/2006/relationships/hyperlink" Target="../../../08.%20Merchant%20Support/Prosedur%20L1/24.%20ISSUE%20-%20SOP%20Refund%20CC%20VoA.pdf" TargetMode="External"/><Relationship Id="rId9" Type="http://schemas.openxmlformats.org/officeDocument/2006/relationships/hyperlink" Target="mailto:keluhan_payment@bca.co.id" TargetMode="External"/><Relationship Id="rId210" Type="http://schemas.openxmlformats.org/officeDocument/2006/relationships/hyperlink" Target="../../../08.%20Merchant%20Support/Prosedur%20L1/24.%20ISSUE%20-%20SOP%20Refund%20CC%20VoA.pdf" TargetMode="External"/><Relationship Id="rId26" Type="http://schemas.openxmlformats.org/officeDocument/2006/relationships/hyperlink" Target="mailto:keluhan_payment@bca.co.id" TargetMode="External"/><Relationship Id="rId231" Type="http://schemas.openxmlformats.org/officeDocument/2006/relationships/hyperlink" Target="mailto:anauliana32@gmail.com" TargetMode="External"/><Relationship Id="rId252" Type="http://schemas.openxmlformats.org/officeDocument/2006/relationships/hyperlink" Target="mailto:keluhan_payment@bca.co.id" TargetMode="External"/><Relationship Id="rId273" Type="http://schemas.openxmlformats.org/officeDocument/2006/relationships/hyperlink" Target="../../../08.%20Merchant%20Support/Prosedur%20L1/24.%20ISSUE%20-%20SOP%20Refund%20CC%20VoA.pdf" TargetMode="External"/><Relationship Id="rId294" Type="http://schemas.openxmlformats.org/officeDocument/2006/relationships/hyperlink" Target="mailto:keluhan_payment@bca.co.id" TargetMode="External"/><Relationship Id="rId308" Type="http://schemas.openxmlformats.org/officeDocument/2006/relationships/hyperlink" Target="../../../08.%20Merchant%20Support/Prosedur%20L1/24.%20ISSUE%20-%20SOP%20Refund%20CC%20VoA.pdf" TargetMode="External"/><Relationship Id="rId329" Type="http://schemas.openxmlformats.org/officeDocument/2006/relationships/hyperlink" Target="../../../08.%20Merchant%20Support/Prosedur%20L1/24.%20ISSUE%20-%20SOP%20Refund%20CC%20VoA.pdf" TargetMode="External"/><Relationship Id="rId47" Type="http://schemas.openxmlformats.org/officeDocument/2006/relationships/hyperlink" Target="mailto:kkd_ipm2@corp.bri.co.id" TargetMode="External"/><Relationship Id="rId68" Type="http://schemas.openxmlformats.org/officeDocument/2006/relationships/hyperlink" Target="mailto:kkd_ipm2@corp.bri.co.id" TargetMode="External"/><Relationship Id="rId89" Type="http://schemas.openxmlformats.org/officeDocument/2006/relationships/hyperlink" Target="mailto:chargebackops.acq@corp.bri.co.id" TargetMode="External"/><Relationship Id="rId112" Type="http://schemas.openxmlformats.org/officeDocument/2006/relationships/hyperlink" Target="../../../../08.%20Merchant%20Support/Prosedur%20L1/22.%20REFUND%20QR%20NOBU.docx" TargetMode="External"/><Relationship Id="rId133" Type="http://schemas.openxmlformats.org/officeDocument/2006/relationships/hyperlink" Target="mailto:keluhan_payment@bca.co.id" TargetMode="External"/><Relationship Id="rId154" Type="http://schemas.openxmlformats.org/officeDocument/2006/relationships/hyperlink" Target="mailto:keluhan_payment@bca.co.id" TargetMode="External"/><Relationship Id="rId175" Type="http://schemas.openxmlformats.org/officeDocument/2006/relationships/hyperlink" Target="mailto:kkd_ipm2@corp.bri.co.id" TargetMode="External"/><Relationship Id="rId340" Type="http://schemas.openxmlformats.org/officeDocument/2006/relationships/hyperlink" Target="../../../08.%20Merchant%20Support/Prosedur%20L1/24.%20ISSUE%20-%20SOP%20Refund%20CC%20VoA.pdf" TargetMode="External"/><Relationship Id="rId361" Type="http://schemas.openxmlformats.org/officeDocument/2006/relationships/hyperlink" Target="../../../08.%20Merchant%20Support/Prosedur%20L1/24.%20ISSUE%20-%20SOP%20Refund%20CC%20VoA.pdf" TargetMode="External"/><Relationship Id="rId196" Type="http://schemas.openxmlformats.org/officeDocument/2006/relationships/hyperlink" Target="mailto:kkd_ipm2@corp.bri.co.id" TargetMode="External"/><Relationship Id="rId200" Type="http://schemas.openxmlformats.org/officeDocument/2006/relationships/hyperlink" Target="../../../08.%20Merchant%20Support/Prosedur%20L1/24.%20ISSUE%20-%20SOP%20Refund%20CC%20VoA.pdf" TargetMode="External"/><Relationship Id="rId16" Type="http://schemas.openxmlformats.org/officeDocument/2006/relationships/hyperlink" Target="mailto:kkd_ipm2@corp.bri.co.id" TargetMode="External"/><Relationship Id="rId221" Type="http://schemas.openxmlformats.org/officeDocument/2006/relationships/hyperlink" Target="mailto:n.hellweg@web.de" TargetMode="External"/><Relationship Id="rId242" Type="http://schemas.openxmlformats.org/officeDocument/2006/relationships/hyperlink" Target="mailto:keluhan_payment@bca.co.id" TargetMode="External"/><Relationship Id="rId263" Type="http://schemas.openxmlformats.org/officeDocument/2006/relationships/hyperlink" Target="../../../../08.%20Merchant%20Support/Prosedur%20L1/22.%20REFUND%20QR%20NOBU.docx" TargetMode="External"/><Relationship Id="rId284" Type="http://schemas.openxmlformats.org/officeDocument/2006/relationships/hyperlink" Target="../../../08.%20Merchant%20Support/Prosedur%20L1/24.%20ISSUE%20-%20SOP%20Refund%20CC%20VoA.pdf" TargetMode="External"/><Relationship Id="rId319" Type="http://schemas.openxmlformats.org/officeDocument/2006/relationships/hyperlink" Target="../../../08.%20Merchant%20Support/Prosedur%20L1/24.%20ISSUE%20-%20SOP%20Refund%20CC%20VoA.pdf" TargetMode="External"/><Relationship Id="rId37" Type="http://schemas.openxmlformats.org/officeDocument/2006/relationships/hyperlink" Target="mailto:kkd_ipm2@corp.bri.co.id" TargetMode="External"/><Relationship Id="rId58" Type="http://schemas.openxmlformats.org/officeDocument/2006/relationships/hyperlink" Target="mailto:kkd_ipm2@corp.bri.co.id" TargetMode="External"/><Relationship Id="rId79" Type="http://schemas.openxmlformats.org/officeDocument/2006/relationships/hyperlink" Target="../../../../08.%20Merchant%20Support/Prosedur%20L1/22.%20REFUND%20QR%20NOBU.docx" TargetMode="External"/><Relationship Id="rId102" Type="http://schemas.openxmlformats.org/officeDocument/2006/relationships/hyperlink" Target="mailto:keluhan_payment@bca.co.id" TargetMode="External"/><Relationship Id="rId123" Type="http://schemas.openxmlformats.org/officeDocument/2006/relationships/hyperlink" Target="mailto:kkd_ipm2@corp.bri.co.id" TargetMode="External"/><Relationship Id="rId144" Type="http://schemas.openxmlformats.org/officeDocument/2006/relationships/hyperlink" Target="mailto:kkd_ipm2@corp.bri.co.id" TargetMode="External"/><Relationship Id="rId330" Type="http://schemas.openxmlformats.org/officeDocument/2006/relationships/hyperlink" Target="../../../08.%20Merchant%20Support/Prosedur%20L1/24.%20ISSUE%20-%20SOP%20Refund%20CC%20VoA.pdf" TargetMode="External"/><Relationship Id="rId90" Type="http://schemas.openxmlformats.org/officeDocument/2006/relationships/hyperlink" Target="../../../../08.%20Merchant%20Support/Prosedur%20L1/22.%20REFUND%20QR%20NOBU.docx" TargetMode="External"/><Relationship Id="rId165" Type="http://schemas.openxmlformats.org/officeDocument/2006/relationships/hyperlink" Target="mailto:keluhan_payment@bca.co.id" TargetMode="External"/><Relationship Id="rId186" Type="http://schemas.openxmlformats.org/officeDocument/2006/relationships/hyperlink" Target="mailto:mkiozuuytoauni@keio.jp" TargetMode="External"/><Relationship Id="rId351" Type="http://schemas.openxmlformats.org/officeDocument/2006/relationships/hyperlink" Target="../../../08.%20Merchant%20Support/Prosedur%20L1/24.%20ISSUE%20-%20SOP%20Refund%20CC%20VoA.pdf" TargetMode="External"/><Relationship Id="rId211" Type="http://schemas.openxmlformats.org/officeDocument/2006/relationships/hyperlink" Target="../../../08.%20Merchant%20Support/Prosedur%20L1/24.%20ISSUE%20-%20SOP%20Refund%20CC%20VoA.pdf" TargetMode="External"/><Relationship Id="rId232" Type="http://schemas.openxmlformats.org/officeDocument/2006/relationships/hyperlink" Target="mailto:chargebackops.acq@corp.bri.co.id" TargetMode="External"/><Relationship Id="rId253" Type="http://schemas.openxmlformats.org/officeDocument/2006/relationships/hyperlink" Target="mailto:keluhan_payment@bca.co.id" TargetMode="External"/><Relationship Id="rId274" Type="http://schemas.openxmlformats.org/officeDocument/2006/relationships/hyperlink" Target="../../../08.%20Merchant%20Support/Prosedur%20L1/24.%20ISSUE%20-%20SOP%20Refund%20CC%20VoA.pdf" TargetMode="External"/><Relationship Id="rId295" Type="http://schemas.openxmlformats.org/officeDocument/2006/relationships/hyperlink" Target="../../../08.%20Merchant%20Support/Prosedur%20L1/24.%20ISSUE%20-%20SOP%20Refund%20CC%20VoA.pdf" TargetMode="External"/><Relationship Id="rId309" Type="http://schemas.openxmlformats.org/officeDocument/2006/relationships/hyperlink" Target="../../../08.%20Merchant%20Support/Prosedur%20L1/24.%20ISSUE%20-%20SOP%20Refund%20CC%20VoA.pdf" TargetMode="External"/><Relationship Id="rId27" Type="http://schemas.openxmlformats.org/officeDocument/2006/relationships/hyperlink" Target="../../../../08.%20Merchant%20Support/Prosedur%20L1/22.%20REFUND%20QR%20NOBU.docx" TargetMode="External"/><Relationship Id="rId48" Type="http://schemas.openxmlformats.org/officeDocument/2006/relationships/hyperlink" Target="mailto:keluhan_payment@bca.co.id" TargetMode="External"/><Relationship Id="rId69" Type="http://schemas.openxmlformats.org/officeDocument/2006/relationships/hyperlink" Target="../../../../08.%20Merchant%20Support/Prosedur%20L1/22.%20REFUND%20QR%20NOBU.docx" TargetMode="External"/><Relationship Id="rId113" Type="http://schemas.openxmlformats.org/officeDocument/2006/relationships/hyperlink" Target="mailto:lukas.feglar@excaliburinternational.cz" TargetMode="External"/><Relationship Id="rId134" Type="http://schemas.openxmlformats.org/officeDocument/2006/relationships/hyperlink" Target="mailto:keluhan_payment@bca.co.id" TargetMode="External"/><Relationship Id="rId320" Type="http://schemas.openxmlformats.org/officeDocument/2006/relationships/hyperlink" Target="../../../08.%20Merchant%20Support/Prosedur%20L1/24.%20ISSUE%20-%20SOP%20Refund%20CC%20VoA.pdf" TargetMode="External"/><Relationship Id="rId80" Type="http://schemas.openxmlformats.org/officeDocument/2006/relationships/hyperlink" Target="../../../../08.%20Merchant%20Support/Prosedur%20L1/22.%20REFUND%20QR%20NOBU.docx" TargetMode="External"/><Relationship Id="rId155" Type="http://schemas.openxmlformats.org/officeDocument/2006/relationships/hyperlink" Target="mailto:keluhan_payment@bca.co.id" TargetMode="External"/><Relationship Id="rId176" Type="http://schemas.openxmlformats.org/officeDocument/2006/relationships/hyperlink" Target="mailto:kkd_ipm2@corp.bri.co.id" TargetMode="External"/><Relationship Id="rId197" Type="http://schemas.openxmlformats.org/officeDocument/2006/relationships/hyperlink" Target="mailto:jacobdeabreu7@icloud.com" TargetMode="External"/><Relationship Id="rId341" Type="http://schemas.openxmlformats.org/officeDocument/2006/relationships/hyperlink" Target="../../../08.%20Merchant%20Support/Prosedur%20L1/24.%20ISSUE%20-%20SOP%20Refund%20CC%20VoA.pdf" TargetMode="External"/><Relationship Id="rId362" Type="http://schemas.openxmlformats.org/officeDocument/2006/relationships/hyperlink" Target="../../../08.%20Merchant%20Support/Prosedur%20L1/24.%20ISSUE%20-%20SOP%20Refund%20CC%20VoA.pdf" TargetMode="External"/><Relationship Id="rId201" Type="http://schemas.openxmlformats.org/officeDocument/2006/relationships/hyperlink" Target="../../../../08.%20Merchant%20Support/Prosedur%20L1/22.%20REFUND%20QR%20NOBU.docx" TargetMode="External"/><Relationship Id="rId222" Type="http://schemas.openxmlformats.org/officeDocument/2006/relationships/hyperlink" Target="../../../08.%20Merchant%20Support/Prosedur%20L1/24.%20ISSUE%20-%20SOP%20Refund%20CC%20VoA.pdf" TargetMode="External"/><Relationship Id="rId243" Type="http://schemas.openxmlformats.org/officeDocument/2006/relationships/hyperlink" Target="mailto:s.ishiyama@denzai.group" TargetMode="External"/><Relationship Id="rId264" Type="http://schemas.openxmlformats.org/officeDocument/2006/relationships/hyperlink" Target="../../../../08.%20Merchant%20Support/Prosedur%20L1/22.%20REFUND%20QR%20NOBU.docx" TargetMode="External"/><Relationship Id="rId285" Type="http://schemas.openxmlformats.org/officeDocument/2006/relationships/hyperlink" Target="../../../08.%20Merchant%20Support/Prosedur%20L1/24.%20ISSUE%20-%20SOP%20Refund%20CC%20VoA.pdf" TargetMode="External"/><Relationship Id="rId17" Type="http://schemas.openxmlformats.org/officeDocument/2006/relationships/hyperlink" Target="mailto:keluhan_payment@bca.co.id" TargetMode="External"/><Relationship Id="rId38" Type="http://schemas.openxmlformats.org/officeDocument/2006/relationships/hyperlink" Target="../../../../08.%20Merchant%20Support/Prosedur%20L1/22.%20REFUND%20QR%20NOBU.docx" TargetMode="External"/><Relationship Id="rId59" Type="http://schemas.openxmlformats.org/officeDocument/2006/relationships/hyperlink" Target="mailto:kkd_ipm2@corp.bri.co.id" TargetMode="External"/><Relationship Id="rId103" Type="http://schemas.openxmlformats.org/officeDocument/2006/relationships/hyperlink" Target="mailto:jamaludinaproni1979@gmail.com" TargetMode="External"/><Relationship Id="rId124" Type="http://schemas.openxmlformats.org/officeDocument/2006/relationships/hyperlink" Target="mailto:kkd_ipm2@corp.bri.co.id" TargetMode="External"/><Relationship Id="rId310" Type="http://schemas.openxmlformats.org/officeDocument/2006/relationships/hyperlink" Target="../../../08.%20Merchant%20Support/Prosedur%20L1/24.%20ISSUE%20-%20SOP%20Refund%20CC%20VoA.pdf" TargetMode="External"/><Relationship Id="rId70" Type="http://schemas.openxmlformats.org/officeDocument/2006/relationships/hyperlink" Target="../../../../08.%20Merchant%20Support/Prosedur%20L1/22.%20REFUND%20QR%20NOBU.docx" TargetMode="External"/><Relationship Id="rId91" Type="http://schemas.openxmlformats.org/officeDocument/2006/relationships/hyperlink" Target="mailto:kkd_ipm2@corp.bri.co.id" TargetMode="External"/><Relationship Id="rId145" Type="http://schemas.openxmlformats.org/officeDocument/2006/relationships/hyperlink" Target="mailto:kkd_ipm2@corp.bri.co.id" TargetMode="External"/><Relationship Id="rId166" Type="http://schemas.openxmlformats.org/officeDocument/2006/relationships/hyperlink" Target="../../../../08.%20Merchant%20Support/Prosedur%20L1/22.%20REFUND%20QR%20NOBU.docx" TargetMode="External"/><Relationship Id="rId187" Type="http://schemas.openxmlformats.org/officeDocument/2006/relationships/hyperlink" Target="../../../08.%20Merchant%20Support/Prosedur%20L1/24.%20ISSUE%20-%20SOP%20Refund%20CC%20VoA.pdf" TargetMode="External"/><Relationship Id="rId331" Type="http://schemas.openxmlformats.org/officeDocument/2006/relationships/hyperlink" Target="../../../08.%20Merchant%20Support/Prosedur%20L1/24.%20ISSUE%20-%20SOP%20Refund%20CC%20VoA.pdf" TargetMode="External"/><Relationship Id="rId352" Type="http://schemas.openxmlformats.org/officeDocument/2006/relationships/hyperlink" Target="../../../08.%20Merchant%20Support/Prosedur%20L1/24.%20ISSUE%20-%20SOP%20Refund%20CC%20VoA.pdf" TargetMode="External"/><Relationship Id="rId1" Type="http://schemas.openxmlformats.org/officeDocument/2006/relationships/hyperlink" Target="../../../../08.%20Merchant%20Support/Prosedur%20L1/22.%20REFUND%20QR%20NOBU.docx" TargetMode="External"/><Relationship Id="rId212" Type="http://schemas.openxmlformats.org/officeDocument/2006/relationships/hyperlink" Target="../../../08.%20Merchant%20Support/Prosedur%20L1/24.%20ISSUE%20-%20SOP%20Refund%20CC%20VoA.pdf" TargetMode="External"/><Relationship Id="rId233" Type="http://schemas.openxmlformats.org/officeDocument/2006/relationships/hyperlink" Target="mailto:keluhan_payment@bca.co.id" TargetMode="External"/><Relationship Id="rId254" Type="http://schemas.openxmlformats.org/officeDocument/2006/relationships/hyperlink" Target="mailto:keluhan_payment@bca.co.id" TargetMode="External"/><Relationship Id="rId28" Type="http://schemas.openxmlformats.org/officeDocument/2006/relationships/hyperlink" Target="../../../../08.%20Merchant%20Support/Prosedur%20L1/22.%20REFUND%20QR%20NOBU.docx" TargetMode="External"/><Relationship Id="rId49" Type="http://schemas.openxmlformats.org/officeDocument/2006/relationships/hyperlink" Target="mailto:keluhan_payment@bca.co.id" TargetMode="External"/><Relationship Id="rId114" Type="http://schemas.openxmlformats.org/officeDocument/2006/relationships/hyperlink" Target="mailto:keluhan_payment@bca.co.id" TargetMode="External"/><Relationship Id="rId275" Type="http://schemas.openxmlformats.org/officeDocument/2006/relationships/hyperlink" Target="../../../08.%20Merchant%20Support/Prosedur%20L1/24.%20ISSUE%20-%20SOP%20Refund%20CC%20VoA.pdf" TargetMode="External"/><Relationship Id="rId296" Type="http://schemas.openxmlformats.org/officeDocument/2006/relationships/hyperlink" Target="../../../08.%20Merchant%20Support/Prosedur%20L1/24.%20ISSUE%20-%20SOP%20Refund%20CC%20VoA.pdf" TargetMode="External"/><Relationship Id="rId300" Type="http://schemas.openxmlformats.org/officeDocument/2006/relationships/hyperlink" Target="../../../08.%20Merchant%20Support/Prosedur%20L1/24.%20ISSUE%20-%20SOP%20Refund%20CC%20VoA.pdf" TargetMode="External"/><Relationship Id="rId60" Type="http://schemas.openxmlformats.org/officeDocument/2006/relationships/hyperlink" Target="mailto:keluhan_payment@bca.co.id" TargetMode="External"/><Relationship Id="rId81" Type="http://schemas.openxmlformats.org/officeDocument/2006/relationships/hyperlink" Target="mailto:chargebackops.acq@corp.bri.co.id" TargetMode="External"/><Relationship Id="rId135" Type="http://schemas.openxmlformats.org/officeDocument/2006/relationships/hyperlink" Target="mailto:keluhan_payment@bca.co.id" TargetMode="External"/><Relationship Id="rId156" Type="http://schemas.openxmlformats.org/officeDocument/2006/relationships/hyperlink" Target="../../../../08.%20Merchant%20Support/Prosedur%20L1/22.%20REFUND%20QR%20NOBU.docx" TargetMode="External"/><Relationship Id="rId177" Type="http://schemas.openxmlformats.org/officeDocument/2006/relationships/hyperlink" Target="mailto:keluhan_payment@bca.co.id" TargetMode="External"/><Relationship Id="rId198" Type="http://schemas.openxmlformats.org/officeDocument/2006/relationships/hyperlink" Target="../../../../08.%20Merchant%20Support/Prosedur%20L1/22.%20REFUND%20QR%20NOBU.docx" TargetMode="External"/><Relationship Id="rId321" Type="http://schemas.openxmlformats.org/officeDocument/2006/relationships/hyperlink" Target="../../../08.%20Merchant%20Support/Prosedur%20L1/24.%20ISSUE%20-%20SOP%20Refund%20CC%20VoA.pdf" TargetMode="External"/><Relationship Id="rId342" Type="http://schemas.openxmlformats.org/officeDocument/2006/relationships/hyperlink" Target="../../../08.%20Merchant%20Support/Prosedur%20L1/24.%20ISSUE%20-%20SOP%20Refund%20CC%20VoA.pdf" TargetMode="External"/><Relationship Id="rId363" Type="http://schemas.openxmlformats.org/officeDocument/2006/relationships/hyperlink" Target="../../../08.%20Merchant%20Support/Prosedur%20L1/24.%20ISSUE%20-%20SOP%20Refund%20CC%20VoA.pdf" TargetMode="External"/><Relationship Id="rId202" Type="http://schemas.openxmlformats.org/officeDocument/2006/relationships/hyperlink" Target="mailto:chargebackops.acq@corp.bri.co.id" TargetMode="External"/><Relationship Id="rId223" Type="http://schemas.openxmlformats.org/officeDocument/2006/relationships/hyperlink" Target="mailto:keluhan_payment@bca.co.id" TargetMode="External"/><Relationship Id="rId244" Type="http://schemas.openxmlformats.org/officeDocument/2006/relationships/hyperlink" Target="../../../../08.%20Merchant%20Support/Prosedur%20L1/22.%20REFUND%20QR%20NOBU.docx" TargetMode="External"/><Relationship Id="rId18" Type="http://schemas.openxmlformats.org/officeDocument/2006/relationships/hyperlink" Target="../../../../08.%20Merchant%20Support/Prosedur%20L1/22.%20REFUND%20QR%20NOBU.docx" TargetMode="External"/><Relationship Id="rId39" Type="http://schemas.openxmlformats.org/officeDocument/2006/relationships/hyperlink" Target="mailto:keluhan_payment@bca.co.id" TargetMode="External"/><Relationship Id="rId265" Type="http://schemas.openxmlformats.org/officeDocument/2006/relationships/hyperlink" Target="../../../08.%20Merchant%20Support/Prosedur%20L1/24.%20ISSUE%20-%20SOP%20Refund%20CC%20VoA.pdf" TargetMode="External"/><Relationship Id="rId286" Type="http://schemas.openxmlformats.org/officeDocument/2006/relationships/hyperlink" Target="../../../08.%20Merchant%20Support/Prosedur%20L1/24.%20ISSUE%20-%20SOP%20Refund%20CC%20VoA.pdf" TargetMode="External"/><Relationship Id="rId50" Type="http://schemas.openxmlformats.org/officeDocument/2006/relationships/hyperlink" Target="../../../../08.%20Merchant%20Support/Prosedur%20L1/22.%20REFUND%20QR%20NOBU.docx" TargetMode="External"/><Relationship Id="rId104" Type="http://schemas.openxmlformats.org/officeDocument/2006/relationships/hyperlink" Target="mailto:keluhan_payment@bca.co.id" TargetMode="External"/><Relationship Id="rId125" Type="http://schemas.openxmlformats.org/officeDocument/2006/relationships/hyperlink" Target="mailto:kkd_ipm2@corp.bri.co.id" TargetMode="External"/><Relationship Id="rId146" Type="http://schemas.openxmlformats.org/officeDocument/2006/relationships/hyperlink" Target="../../../../08.%20Merchant%20Support/Prosedur%20L1/22.%20REFUND%20QR%20NOBU.docx" TargetMode="External"/><Relationship Id="rId167" Type="http://schemas.openxmlformats.org/officeDocument/2006/relationships/hyperlink" Target="mailto:kkd_ipm2@corp.bri.co.id" TargetMode="External"/><Relationship Id="rId188" Type="http://schemas.openxmlformats.org/officeDocument/2006/relationships/hyperlink" Target="../../../08.%20Merchant%20Support/Prosedur%20L1/24.%20ISSUE%20-%20SOP%20Refund%20CC%20VoA.pdf" TargetMode="External"/><Relationship Id="rId311" Type="http://schemas.openxmlformats.org/officeDocument/2006/relationships/hyperlink" Target="../../../08.%20Merchant%20Support/Prosedur%20L1/24.%20ISSUE%20-%20SOP%20Refund%20CC%20VoA.pdf" TargetMode="External"/><Relationship Id="rId332" Type="http://schemas.openxmlformats.org/officeDocument/2006/relationships/hyperlink" Target="mailto:adela1570@naver.com" TargetMode="External"/><Relationship Id="rId353" Type="http://schemas.openxmlformats.org/officeDocument/2006/relationships/hyperlink" Target="../../../08.%20Merchant%20Support/Prosedur%20L1/24.%20ISSUE%20-%20SOP%20Refund%20CC%20VoA.pdf" TargetMode="External"/><Relationship Id="rId71" Type="http://schemas.openxmlformats.org/officeDocument/2006/relationships/hyperlink" Target="mailto:kkd_ipm2@corp.bri.co.id" TargetMode="External"/><Relationship Id="rId92" Type="http://schemas.openxmlformats.org/officeDocument/2006/relationships/hyperlink" Target="mailto:kkd_ipm2@corp.bri.co.id" TargetMode="External"/><Relationship Id="rId213" Type="http://schemas.openxmlformats.org/officeDocument/2006/relationships/hyperlink" Target="../../../08.%20Merchant%20Support/Prosedur%20L1/24.%20ISSUE%20-%20SOP%20Refund%20CC%20VoA.pdf" TargetMode="External"/><Relationship Id="rId234" Type="http://schemas.openxmlformats.org/officeDocument/2006/relationships/hyperlink" Target="mailto:keluhan_payment@bca.co.id" TargetMode="External"/><Relationship Id="rId2" Type="http://schemas.openxmlformats.org/officeDocument/2006/relationships/hyperlink" Target="../../../../08.%20Merchant%20Support/Prosedur%20L1/22.%20REFUND%20QR%20NOBU.docx" TargetMode="External"/><Relationship Id="rId29" Type="http://schemas.openxmlformats.org/officeDocument/2006/relationships/hyperlink" Target="mailto:kkd_ipm2@corp.bri.co.id" TargetMode="External"/><Relationship Id="rId255" Type="http://schemas.openxmlformats.org/officeDocument/2006/relationships/hyperlink" Target="../../../../08.%20Merchant%20Support/Prosedur%20L1/22.%20REFUND%20QR%20NOBU.docx" TargetMode="External"/><Relationship Id="rId276" Type="http://schemas.openxmlformats.org/officeDocument/2006/relationships/hyperlink" Target="../../../08.%20Merchant%20Support/Prosedur%20L1/24.%20ISSUE%20-%20SOP%20Refund%20CC%20VoA.pdf" TargetMode="External"/><Relationship Id="rId297" Type="http://schemas.openxmlformats.org/officeDocument/2006/relationships/hyperlink" Target="../../../08.%20Merchant%20Support/Prosedur%20L1/24.%20ISSUE%20-%20SOP%20Refund%20CC%20VoA.pdf" TargetMode="External"/><Relationship Id="rId40" Type="http://schemas.openxmlformats.org/officeDocument/2006/relationships/hyperlink" Target="../../../../08.%20Merchant%20Support/Prosedur%20L1/22.%20REFUND%20QR%20NOBU.docx" TargetMode="External"/><Relationship Id="rId115" Type="http://schemas.openxmlformats.org/officeDocument/2006/relationships/hyperlink" Target="../../../../08.%20Merchant%20Support/Prosedur%20L1/22.%20REFUND%20QR%20NOBU.docx" TargetMode="External"/><Relationship Id="rId136" Type="http://schemas.openxmlformats.org/officeDocument/2006/relationships/hyperlink" Target="../../../../08.%20Merchant%20Support/Prosedur%20L1/22.%20REFUND%20QR%20NOBU.docx" TargetMode="External"/><Relationship Id="rId157" Type="http://schemas.openxmlformats.org/officeDocument/2006/relationships/hyperlink" Target="mailto:keluhan_payment@bca.co.id" TargetMode="External"/><Relationship Id="rId178" Type="http://schemas.openxmlformats.org/officeDocument/2006/relationships/hyperlink" Target="../../../../08.%20Merchant%20Support/Prosedur%20L1/22.%20REFUND%20QR%20NOBU.docx" TargetMode="External"/><Relationship Id="rId301" Type="http://schemas.openxmlformats.org/officeDocument/2006/relationships/hyperlink" Target="../../../08.%20Merchant%20Support/Prosedur%20L1/24.%20ISSUE%20-%20SOP%20Refund%20CC%20VoA.pdf" TargetMode="External"/><Relationship Id="rId322" Type="http://schemas.openxmlformats.org/officeDocument/2006/relationships/hyperlink" Target="../../../08.%20Merchant%20Support/Prosedur%20L1/24.%20ISSUE%20-%20SOP%20Refund%20CC%20VoA.pdf" TargetMode="External"/><Relationship Id="rId343" Type="http://schemas.openxmlformats.org/officeDocument/2006/relationships/hyperlink" Target="../../../08.%20Merchant%20Support/Prosedur%20L1/24.%20ISSUE%20-%20SOP%20Refund%20CC%20VoA.pdf" TargetMode="External"/><Relationship Id="rId364" Type="http://schemas.openxmlformats.org/officeDocument/2006/relationships/hyperlink" Target="../../../08.%20Merchant%20Support/Prosedur%20L1/24.%20ISSUE%20-%20SOP%20Refund%20CC%20VoA.pdf" TargetMode="External"/><Relationship Id="rId61" Type="http://schemas.openxmlformats.org/officeDocument/2006/relationships/hyperlink" Target="../../../../08.%20Merchant%20Support/Prosedur%20L1/22.%20REFUND%20QR%20NOBU.docx" TargetMode="External"/><Relationship Id="rId82" Type="http://schemas.openxmlformats.org/officeDocument/2006/relationships/hyperlink" Target="mailto:keluhan_payment@bca.co.id" TargetMode="External"/><Relationship Id="rId199" Type="http://schemas.openxmlformats.org/officeDocument/2006/relationships/hyperlink" Target="mailto:keluhan_payment@bca.co.id" TargetMode="External"/><Relationship Id="rId203" Type="http://schemas.openxmlformats.org/officeDocument/2006/relationships/hyperlink" Target="../../../08.%20Merchant%20Support/Prosedur%20L1/24.%20ISSUE%20-%20SOP%20Refund%20CC%20VoA.pdf" TargetMode="External"/><Relationship Id="rId19" Type="http://schemas.openxmlformats.org/officeDocument/2006/relationships/hyperlink" Target="../../../../08.%20Merchant%20Support/Prosedur%20L1/22.%20REFUND%20QR%20NOBU.docx" TargetMode="External"/><Relationship Id="rId224" Type="http://schemas.openxmlformats.org/officeDocument/2006/relationships/hyperlink" Target="mailto:keluhan_payment@bca.co.id" TargetMode="External"/><Relationship Id="rId245" Type="http://schemas.openxmlformats.org/officeDocument/2006/relationships/hyperlink" Target="mailto:keluhan_payment@bca.co.id" TargetMode="External"/><Relationship Id="rId266" Type="http://schemas.openxmlformats.org/officeDocument/2006/relationships/hyperlink" Target="../../../08.%20Merchant%20Support/Prosedur%20L1/24.%20ISSUE%20-%20SOP%20Refund%20CC%20VoA.pdf" TargetMode="External"/><Relationship Id="rId287" Type="http://schemas.openxmlformats.org/officeDocument/2006/relationships/hyperlink" Target="../../../08.%20Merchant%20Support/Prosedur%20L1/24.%20ISSUE%20-%20SOP%20Refund%20CC%20VoA.pdf" TargetMode="External"/><Relationship Id="rId30" Type="http://schemas.openxmlformats.org/officeDocument/2006/relationships/hyperlink" Target="mailto:kkd_ipm2@corp.bri.co.id" TargetMode="External"/><Relationship Id="rId105" Type="http://schemas.openxmlformats.org/officeDocument/2006/relationships/hyperlink" Target="../../../../08.%20Merchant%20Support/Prosedur%20L1/22.%20REFUND%20QR%20NOBU.docx" TargetMode="External"/><Relationship Id="rId126" Type="http://schemas.openxmlformats.org/officeDocument/2006/relationships/hyperlink" Target="../../../../08.%20Merchant%20Support/Prosedur%20L1/22.%20REFUND%20QR%20NOBU.docx" TargetMode="External"/><Relationship Id="rId147" Type="http://schemas.openxmlformats.org/officeDocument/2006/relationships/hyperlink" Target="mailto:zxcvzyh@163.com" TargetMode="External"/><Relationship Id="rId168" Type="http://schemas.openxmlformats.org/officeDocument/2006/relationships/hyperlink" Target="mailto:kkd_ipm2@corp.bri.co.id" TargetMode="External"/><Relationship Id="rId312" Type="http://schemas.openxmlformats.org/officeDocument/2006/relationships/hyperlink" Target="../../../../08.%20Merchant%20Support/Prosedur%20L1/22.%20REFUND%20QR%20NOBU.docx" TargetMode="External"/><Relationship Id="rId333" Type="http://schemas.openxmlformats.org/officeDocument/2006/relationships/hyperlink" Target="../../../08.%20Merchant%20Support/Prosedur%20L1/24.%20ISSUE%20-%20SOP%20Refund%20CC%20VoA.pdf" TargetMode="External"/><Relationship Id="rId354" Type="http://schemas.openxmlformats.org/officeDocument/2006/relationships/hyperlink" Target="../../../08.%20Merchant%20Support/Prosedur%20L1/24.%20ISSUE%20-%20SOP%20Refund%20CC%20VoA.pdf" TargetMode="External"/><Relationship Id="rId51" Type="http://schemas.openxmlformats.org/officeDocument/2006/relationships/hyperlink" Target="../../../../08.%20Merchant%20Support/Prosedur%20L1/22.%20REFUND%20QR%20NOBU.docx" TargetMode="External"/><Relationship Id="rId72" Type="http://schemas.openxmlformats.org/officeDocument/2006/relationships/hyperlink" Target="mailto:kkd_ipm2@corp.bri.co.id" TargetMode="External"/><Relationship Id="rId93" Type="http://schemas.openxmlformats.org/officeDocument/2006/relationships/hyperlink" Target="mailto:keluhan_payment@bca.co.id" TargetMode="External"/><Relationship Id="rId189" Type="http://schemas.openxmlformats.org/officeDocument/2006/relationships/hyperlink" Target="../../../08.%20Merchant%20Support/Prosedur%20L1/24.%20ISSUE%20-%20SOP%20Refund%20CC%20VoA.pdf" TargetMode="External"/><Relationship Id="rId3" Type="http://schemas.openxmlformats.org/officeDocument/2006/relationships/hyperlink" Target="mailto:keluhan_payment@bca.co.id" TargetMode="External"/><Relationship Id="rId214" Type="http://schemas.openxmlformats.org/officeDocument/2006/relationships/hyperlink" Target="../../../08.%20Merchant%20Support/Prosedur%20L1/24.%20ISSUE%20-%20SOP%20Refund%20CC%20VoA.pdf" TargetMode="External"/><Relationship Id="rId235" Type="http://schemas.openxmlformats.org/officeDocument/2006/relationships/hyperlink" Target="mailto:keluhan_payment@bca.co.id" TargetMode="External"/><Relationship Id="rId256" Type="http://schemas.openxmlformats.org/officeDocument/2006/relationships/hyperlink" Target="mailto:keluhan_payment@bca.co.id" TargetMode="External"/><Relationship Id="rId277" Type="http://schemas.openxmlformats.org/officeDocument/2006/relationships/hyperlink" Target="../../../08.%20Merchant%20Support/Prosedur%20L1/24.%20ISSUE%20-%20SOP%20Refund%20CC%20VoA.pdf" TargetMode="External"/><Relationship Id="rId298" Type="http://schemas.openxmlformats.org/officeDocument/2006/relationships/hyperlink" Target="../../../08.%20Merchant%20Support/Prosedur%20L1/24.%20ISSUE%20-%20SOP%20Refund%20CC%20VoA.pdf" TargetMode="External"/><Relationship Id="rId116" Type="http://schemas.openxmlformats.org/officeDocument/2006/relationships/hyperlink" Target="mailto:keluhan_payment@bca.co.id" TargetMode="External"/><Relationship Id="rId137" Type="http://schemas.openxmlformats.org/officeDocument/2006/relationships/hyperlink" Target="mailto:keluhan_payment@bca.co.id" TargetMode="External"/><Relationship Id="rId158" Type="http://schemas.openxmlformats.org/officeDocument/2006/relationships/hyperlink" Target="../../../../08.%20Merchant%20Support/Prosedur%20L1/22.%20REFUND%20QR%20NOBU.docx" TargetMode="External"/><Relationship Id="rId302" Type="http://schemas.openxmlformats.org/officeDocument/2006/relationships/hyperlink" Target="../../../08.%20Merchant%20Support/Prosedur%20L1/24.%20ISSUE%20-%20SOP%20Refund%20CC%20VoA.pdf" TargetMode="External"/><Relationship Id="rId323" Type="http://schemas.openxmlformats.org/officeDocument/2006/relationships/hyperlink" Target="../../../../08.%20Merchant%20Support/Prosedur%20L1/22.%20REFUND%20QR%20NOBU.docx" TargetMode="External"/><Relationship Id="rId344" Type="http://schemas.openxmlformats.org/officeDocument/2006/relationships/hyperlink" Target="../../../08.%20Merchant%20Support/Prosedur%20L1/24.%20ISSUE%20-%20SOP%20Refund%20CC%20VoA.pdf" TargetMode="External"/><Relationship Id="rId20" Type="http://schemas.openxmlformats.org/officeDocument/2006/relationships/hyperlink" Target="mailto:keluhan_payment@bca.co.id" TargetMode="External"/><Relationship Id="rId41" Type="http://schemas.openxmlformats.org/officeDocument/2006/relationships/hyperlink" Target="mailto:kkd_ipm2@corp.bri.co.id" TargetMode="External"/><Relationship Id="rId62" Type="http://schemas.openxmlformats.org/officeDocument/2006/relationships/hyperlink" Target="mailto:kkd_ipm2@corp.bri.co.id" TargetMode="External"/><Relationship Id="rId83" Type="http://schemas.openxmlformats.org/officeDocument/2006/relationships/hyperlink" Target="mailto:keluhan_payment@bca.co.id" TargetMode="External"/><Relationship Id="rId179" Type="http://schemas.openxmlformats.org/officeDocument/2006/relationships/hyperlink" Target="mailto:chargebackops.acq@corp.bri.co.id" TargetMode="External"/><Relationship Id="rId365" Type="http://schemas.openxmlformats.org/officeDocument/2006/relationships/hyperlink" Target="../../../08.%20Merchant%20Support/Prosedur%20L1/24.%20ISSUE%20-%20SOP%20Refund%20CC%20VoA.pdf" TargetMode="External"/><Relationship Id="rId190" Type="http://schemas.openxmlformats.org/officeDocument/2006/relationships/hyperlink" Target="../../../08.%20Merchant%20Support/Prosedur%20L1/24.%20ISSUE%20-%20SOP%20Refund%20CC%20VoA.pdf" TargetMode="External"/><Relationship Id="rId204" Type="http://schemas.openxmlformats.org/officeDocument/2006/relationships/hyperlink" Target="../../../../08.%20Merchant%20Support/Prosedur%20L1/22.%20REFUND%20QR%20NOBU.docx" TargetMode="External"/><Relationship Id="rId225" Type="http://schemas.openxmlformats.org/officeDocument/2006/relationships/hyperlink" Target="../../../08.%20Merchant%20Support/Prosedur%20L1/24.%20ISSUE%20-%20SOP%20Refund%20CC%20VoA.pdf" TargetMode="External"/><Relationship Id="rId246" Type="http://schemas.openxmlformats.org/officeDocument/2006/relationships/hyperlink" Target="../../../../08.%20Merchant%20Support/Prosedur%20L1/22.%20REFUND%20QR%20NOBU.docx" TargetMode="External"/><Relationship Id="rId267" Type="http://schemas.openxmlformats.org/officeDocument/2006/relationships/hyperlink" Target="../../../08.%20Merchant%20Support/Prosedur%20L1/24.%20ISSUE%20-%20SOP%20Refund%20CC%20VoA.pdf" TargetMode="External"/><Relationship Id="rId288" Type="http://schemas.openxmlformats.org/officeDocument/2006/relationships/hyperlink" Target="../../../08.%20Merchant%20Support/Prosedur%20L1/24.%20ISSUE%20-%20SOP%20Refund%20CC%20VoA.pdf" TargetMode="External"/><Relationship Id="rId106" Type="http://schemas.openxmlformats.org/officeDocument/2006/relationships/hyperlink" Target="mailto:kkd_ipm2@corp.bri.co.id" TargetMode="External"/><Relationship Id="rId127" Type="http://schemas.openxmlformats.org/officeDocument/2006/relationships/hyperlink" Target="mailto:chargebackops.acq@corp.bri.co.id" TargetMode="External"/><Relationship Id="rId313" Type="http://schemas.openxmlformats.org/officeDocument/2006/relationships/hyperlink" Target="../../../08.%20Merchant%20Support/Prosedur%20L1/24.%20ISSUE%20-%20SOP%20Refund%20CC%20VoA.pdf" TargetMode="External"/><Relationship Id="rId10" Type="http://schemas.openxmlformats.org/officeDocument/2006/relationships/hyperlink" Target="../../../../08.%20Merchant%20Support/Prosedur%20L1/22.%20REFUND%20QR%20NOBU.docx" TargetMode="External"/><Relationship Id="rId31" Type="http://schemas.openxmlformats.org/officeDocument/2006/relationships/hyperlink" Target="mailto:keluhan_payment@bca.co.id" TargetMode="External"/><Relationship Id="rId52" Type="http://schemas.openxmlformats.org/officeDocument/2006/relationships/hyperlink" Target="mailto:kkd_ipm2@corp.bri.co.id" TargetMode="External"/><Relationship Id="rId73" Type="http://schemas.openxmlformats.org/officeDocument/2006/relationships/hyperlink" Target="../../../../08.%20Merchant%20Support/Prosedur%20L1/22.%20REFUND%20QR%20NOBU.docx" TargetMode="External"/><Relationship Id="rId94" Type="http://schemas.openxmlformats.org/officeDocument/2006/relationships/hyperlink" Target="../../../../08.%20Merchant%20Support/Prosedur%20L1/22.%20REFUND%20QR%20NOBU.docx" TargetMode="External"/><Relationship Id="rId148" Type="http://schemas.openxmlformats.org/officeDocument/2006/relationships/hyperlink" Target="mailto:keluhan_payment@bca.co.id" TargetMode="External"/><Relationship Id="rId169" Type="http://schemas.openxmlformats.org/officeDocument/2006/relationships/hyperlink" Target="mailto:kkd_ipm2@corp.bri.co.id" TargetMode="External"/><Relationship Id="rId334" Type="http://schemas.openxmlformats.org/officeDocument/2006/relationships/hyperlink" Target="../../../08.%20Merchant%20Support/Prosedur%20L1/24.%20ISSUE%20-%20SOP%20Refund%20CC%20VoA.pdf" TargetMode="External"/><Relationship Id="rId355" Type="http://schemas.openxmlformats.org/officeDocument/2006/relationships/hyperlink" Target="../../../08.%20Merchant%20Support/Prosedur%20L1/24.%20ISSUE%20-%20SOP%20Refund%20CC%20VoA.pdf" TargetMode="External"/><Relationship Id="rId4" Type="http://schemas.openxmlformats.org/officeDocument/2006/relationships/hyperlink" Target="../../../../08.%20Merchant%20Support/Prosedur%20L1/22.%20REFUND%20QR%20NOBU.docx" TargetMode="External"/><Relationship Id="rId180" Type="http://schemas.openxmlformats.org/officeDocument/2006/relationships/hyperlink" Target="mailto:keluhan_payment@bca.co.id" TargetMode="External"/><Relationship Id="rId215" Type="http://schemas.openxmlformats.org/officeDocument/2006/relationships/hyperlink" Target="../../../08.%20Merchant%20Support/Prosedur%20L1/24.%20ISSUE%20-%20SOP%20Refund%20CC%20VoA.pdf" TargetMode="External"/><Relationship Id="rId236" Type="http://schemas.openxmlformats.org/officeDocument/2006/relationships/hyperlink" Target="mailto:keluhan_payment@bca.co.id" TargetMode="External"/><Relationship Id="rId257" Type="http://schemas.openxmlformats.org/officeDocument/2006/relationships/hyperlink" Target="../../../../08.%20Merchant%20Support/Prosedur%20L1/22.%20REFUND%20QR%20NOBU.docx" TargetMode="External"/><Relationship Id="rId278" Type="http://schemas.openxmlformats.org/officeDocument/2006/relationships/hyperlink" Target="../../../08.%20Merchant%20Support/Prosedur%20L1/24.%20ISSUE%20-%20SOP%20Refund%20CC%20VoA.pdf" TargetMode="External"/><Relationship Id="rId303" Type="http://schemas.openxmlformats.org/officeDocument/2006/relationships/hyperlink" Target="../../../08.%20Merchant%20Support/Prosedur%20L1/24.%20ISSUE%20-%20SOP%20Refund%20CC%20VoA.pdf" TargetMode="External"/><Relationship Id="rId42" Type="http://schemas.openxmlformats.org/officeDocument/2006/relationships/hyperlink" Target="mailto:kkd_ipm2@corp.bri.co.id" TargetMode="External"/><Relationship Id="rId84" Type="http://schemas.openxmlformats.org/officeDocument/2006/relationships/hyperlink" Target="../../../../08.%20Merchant%20Support/Prosedur%20L1/22.%20REFUND%20QR%20NOBU.docx" TargetMode="External"/><Relationship Id="rId138" Type="http://schemas.openxmlformats.org/officeDocument/2006/relationships/hyperlink" Target="mailto:chargebackops.acq@corp.bri.co.id" TargetMode="External"/><Relationship Id="rId345" Type="http://schemas.openxmlformats.org/officeDocument/2006/relationships/hyperlink" Target="../../../08.%20Merchant%20Support/Prosedur%20L1/24.%20ISSUE%20-%20SOP%20Refund%20CC%20VoA.pdf" TargetMode="External"/><Relationship Id="rId191" Type="http://schemas.openxmlformats.org/officeDocument/2006/relationships/hyperlink" Target="../../../08.%20Merchant%20Support/Prosedur%20L1/24.%20ISSUE%20-%20SOP%20Refund%20CC%20VoA.pdf" TargetMode="External"/><Relationship Id="rId205" Type="http://schemas.openxmlformats.org/officeDocument/2006/relationships/hyperlink" Target="../../../08.%20Merchant%20Support/Prosedur%20L1/24.%20ISSUE%20-%20SOP%20Refund%20CC%20VoA.pdf" TargetMode="External"/><Relationship Id="rId247" Type="http://schemas.openxmlformats.org/officeDocument/2006/relationships/hyperlink" Target="mailto:keluhan_payment@bca.co.id" TargetMode="External"/><Relationship Id="rId107" Type="http://schemas.openxmlformats.org/officeDocument/2006/relationships/hyperlink" Target="mailto:keluhan_payment@bca.co.id" TargetMode="External"/><Relationship Id="rId289" Type="http://schemas.openxmlformats.org/officeDocument/2006/relationships/hyperlink" Target="../../../08.%20Merchant%20Support/Prosedur%20L1/24.%20ISSUE%20-%20SOP%20Refund%20CC%20VoA.pdf" TargetMode="External"/><Relationship Id="rId11" Type="http://schemas.openxmlformats.org/officeDocument/2006/relationships/hyperlink" Target="mailto:olivialihongyao@gmail.com" TargetMode="External"/><Relationship Id="rId53" Type="http://schemas.openxmlformats.org/officeDocument/2006/relationships/hyperlink" Target="mailto:kkd_ipm2@corp.bri.co.id" TargetMode="External"/><Relationship Id="rId149" Type="http://schemas.openxmlformats.org/officeDocument/2006/relationships/hyperlink" Target="mailto:keluhan_payment@bca.co.id" TargetMode="External"/><Relationship Id="rId314" Type="http://schemas.openxmlformats.org/officeDocument/2006/relationships/hyperlink" Target="../../../08.%20Merchant%20Support/Prosedur%20L1/24.%20ISSUE%20-%20SOP%20Refund%20CC%20VoA.pdf" TargetMode="External"/><Relationship Id="rId356" Type="http://schemas.openxmlformats.org/officeDocument/2006/relationships/hyperlink" Target="../../../08.%20Merchant%20Support/Prosedur%20L1/24.%20ISSUE%20-%20SOP%20Refund%20CC%20VoA.pdf" TargetMode="External"/><Relationship Id="rId95" Type="http://schemas.openxmlformats.org/officeDocument/2006/relationships/hyperlink" Target="mailto:keluhan_payment@bca.co.id" TargetMode="External"/><Relationship Id="rId160" Type="http://schemas.openxmlformats.org/officeDocument/2006/relationships/hyperlink" Target="mailto:chargebackops.acq@corp.bri.co.id" TargetMode="External"/><Relationship Id="rId216" Type="http://schemas.openxmlformats.org/officeDocument/2006/relationships/hyperlink" Target="../../../08.%20Merchant%20Support/Prosedur%20L1/24.%20ISSUE%20-%20SOP%20Refund%20CC%20VoA.pdf" TargetMode="External"/><Relationship Id="rId258" Type="http://schemas.openxmlformats.org/officeDocument/2006/relationships/hyperlink" Target="mailto:keluhan_payment@bca.co.id" TargetMode="External"/><Relationship Id="rId22" Type="http://schemas.openxmlformats.org/officeDocument/2006/relationships/hyperlink" Target="../../../../08.%20Merchant%20Support/Prosedur%20L1/22.%20REFUND%20QR%20NOBU.docx" TargetMode="External"/><Relationship Id="rId64" Type="http://schemas.openxmlformats.org/officeDocument/2006/relationships/hyperlink" Target="mailto:keluhan_payment@bca.co.id" TargetMode="External"/><Relationship Id="rId118" Type="http://schemas.openxmlformats.org/officeDocument/2006/relationships/hyperlink" Target="mailto:keluhan_payment@bca.co.id" TargetMode="External"/><Relationship Id="rId325" Type="http://schemas.openxmlformats.org/officeDocument/2006/relationships/hyperlink" Target="../../../08.%20Merchant%20Support/Prosedur%20L1/24.%20ISSUE%20-%20SOP%20Refund%20CC%20VoA.pdf" TargetMode="External"/><Relationship Id="rId367" Type="http://schemas.openxmlformats.org/officeDocument/2006/relationships/hyperlink" Target="../../../08.%20Merchant%20Support/Prosedur%20L1/24.%20ISSUE%20-%20SOP%20Refund%20CC%20VoA.pdf" TargetMode="External"/><Relationship Id="rId171" Type="http://schemas.openxmlformats.org/officeDocument/2006/relationships/hyperlink" Target="mailto:and062025@gmail.com" TargetMode="External"/><Relationship Id="rId227" Type="http://schemas.openxmlformats.org/officeDocument/2006/relationships/hyperlink" Target="../../../08.%20Merchant%20Support/Prosedur%20L1/24.%20ISSUE%20-%20SOP%20Refund%20CC%20VoA.pdf" TargetMode="External"/><Relationship Id="rId269" Type="http://schemas.openxmlformats.org/officeDocument/2006/relationships/hyperlink" Target="../../../08.%20Merchant%20Support/Prosedur%20L1/24.%20ISSUE%20-%20SOP%20Refund%20CC%20VoA.pdf" TargetMode="External"/><Relationship Id="rId33" Type="http://schemas.openxmlformats.org/officeDocument/2006/relationships/hyperlink" Target="../../../../08.%20Merchant%20Support/Prosedur%20L1/22.%20REFUND%20QR%20NOBU.docx" TargetMode="External"/><Relationship Id="rId129" Type="http://schemas.openxmlformats.org/officeDocument/2006/relationships/hyperlink" Target="mailto:keluhan_payment@bca.co.id" TargetMode="External"/><Relationship Id="rId280" Type="http://schemas.openxmlformats.org/officeDocument/2006/relationships/hyperlink" Target="../../../08.%20Merchant%20Support/Prosedur%20L1/24.%20ISSUE%20-%20SOP%20Refund%20CC%20VoA.pdf" TargetMode="External"/><Relationship Id="rId336" Type="http://schemas.openxmlformats.org/officeDocument/2006/relationships/hyperlink" Target="../../../08.%20Merchant%20Support/Prosedur%20L1/24.%20ISSUE%20-%20SOP%20Refund%20CC%20VoA.pdf" TargetMode="External"/><Relationship Id="rId75" Type="http://schemas.openxmlformats.org/officeDocument/2006/relationships/hyperlink" Target="mailto:keluhan_payment@bca.co.id" TargetMode="External"/><Relationship Id="rId140" Type="http://schemas.openxmlformats.org/officeDocument/2006/relationships/hyperlink" Target="../../../../08.%20Merchant%20Support/Prosedur%20L1/22.%20REFUND%20QR%20NOBU.docx" TargetMode="External"/><Relationship Id="rId182" Type="http://schemas.openxmlformats.org/officeDocument/2006/relationships/hyperlink" Target="../../../08.%20Merchant%20Support/Prosedur%20L1/24.%20ISSUE%20-%20SOP%20Refund%20CC%20VoA.pdf" TargetMode="External"/><Relationship Id="rId6" Type="http://schemas.openxmlformats.org/officeDocument/2006/relationships/hyperlink" Target="../../../../08.%20Merchant%20Support/Prosedur%20L1/22.%20REFUND%20QR%20NOBU.docx" TargetMode="External"/><Relationship Id="rId238" Type="http://schemas.openxmlformats.org/officeDocument/2006/relationships/hyperlink" Target="../../../../08.%20Merchant%20Support/Prosedur%20L1/22.%20REFUND%20QR%20NOBU.docx" TargetMode="External"/><Relationship Id="rId291" Type="http://schemas.openxmlformats.org/officeDocument/2006/relationships/hyperlink" Target="mailto:keluhan_payment@bca.co.id" TargetMode="External"/><Relationship Id="rId305" Type="http://schemas.openxmlformats.org/officeDocument/2006/relationships/hyperlink" Target="../../../../08.%20Merchant%20Support/Prosedur%20L1/22.%20REFUND%20QR%20NOBU.docx" TargetMode="External"/><Relationship Id="rId347" Type="http://schemas.openxmlformats.org/officeDocument/2006/relationships/hyperlink" Target="../../../08.%20Merchant%20Support/Prosedur%20L1/24.%20ISSUE%20-%20SOP%20Refund%20CC%20VoA.pdf" TargetMode="External"/><Relationship Id="rId44" Type="http://schemas.openxmlformats.org/officeDocument/2006/relationships/hyperlink" Target="mailto:metallic001@163.com" TargetMode="External"/><Relationship Id="rId86" Type="http://schemas.openxmlformats.org/officeDocument/2006/relationships/hyperlink" Target="mailto:keluhan_payment@bca.co.id" TargetMode="External"/><Relationship Id="rId151" Type="http://schemas.openxmlformats.org/officeDocument/2006/relationships/hyperlink" Target="../../../../08.%20Merchant%20Support/Prosedur%20L1/22.%20REFUND%20QR%20NOBU.docx" TargetMode="External"/><Relationship Id="rId193" Type="http://schemas.openxmlformats.org/officeDocument/2006/relationships/hyperlink" Target="../../../08.%20Merchant%20Support/Prosedur%20L1/24.%20ISSUE%20-%20SOP%20Refund%20CC%20VoA.pdf" TargetMode="External"/><Relationship Id="rId207" Type="http://schemas.openxmlformats.org/officeDocument/2006/relationships/hyperlink" Target="mailto:kkd_ipm2@corp.bri.co.id" TargetMode="External"/><Relationship Id="rId249" Type="http://schemas.openxmlformats.org/officeDocument/2006/relationships/hyperlink" Target="mailto:keluhan_payment@bca.co.id" TargetMode="External"/><Relationship Id="rId13" Type="http://schemas.openxmlformats.org/officeDocument/2006/relationships/hyperlink" Target="mailto:xieruiqing79@gmail.com" TargetMode="External"/><Relationship Id="rId109" Type="http://schemas.openxmlformats.org/officeDocument/2006/relationships/hyperlink" Target="mailto:keluhan_payment@bca.co.id" TargetMode="External"/><Relationship Id="rId260" Type="http://schemas.openxmlformats.org/officeDocument/2006/relationships/hyperlink" Target="mailto:keluhan_payment@bca.co.id" TargetMode="External"/><Relationship Id="rId316" Type="http://schemas.openxmlformats.org/officeDocument/2006/relationships/hyperlink" Target="../../../08.%20Merchant%20Support/Prosedur%20L1/24.%20ISSUE%20-%20SOP%20Refund%20CC%20VoA.pdf" TargetMode="External"/><Relationship Id="rId55" Type="http://schemas.openxmlformats.org/officeDocument/2006/relationships/hyperlink" Target="../../../../08.%20Merchant%20Support/Prosedur%20L1/22.%20REFUND%20QR%20NOBU.docx" TargetMode="External"/><Relationship Id="rId97" Type="http://schemas.openxmlformats.org/officeDocument/2006/relationships/hyperlink" Target="mailto:chargebackops.acq@corp.bri.co.id" TargetMode="External"/><Relationship Id="rId120" Type="http://schemas.openxmlformats.org/officeDocument/2006/relationships/hyperlink" Target="mailto:kkd_ipm2@corp.bri.co.id" TargetMode="External"/><Relationship Id="rId358" Type="http://schemas.openxmlformats.org/officeDocument/2006/relationships/hyperlink" Target="../../../08.%20Merchant%20Support/Prosedur%20L1/24.%20ISSUE%20-%20SOP%20Refund%20CC%20VoA.pdf" TargetMode="External"/><Relationship Id="rId162" Type="http://schemas.openxmlformats.org/officeDocument/2006/relationships/hyperlink" Target="../../../../08.%20Merchant%20Support/Prosedur%20L1/22.%20REFUND%20QR%20NOBU.docx" TargetMode="External"/><Relationship Id="rId218" Type="http://schemas.openxmlformats.org/officeDocument/2006/relationships/hyperlink" Target="mailto:bernfulanda@gmail.com" TargetMode="External"/><Relationship Id="rId271" Type="http://schemas.openxmlformats.org/officeDocument/2006/relationships/hyperlink" Target="../../../08.%20Merchant%20Support/Prosedur%20L1/24.%20ISSUE%20-%20SOP%20Refund%20CC%20VoA.pdf" TargetMode="External"/><Relationship Id="rId24" Type="http://schemas.openxmlformats.org/officeDocument/2006/relationships/hyperlink" Target="mailto:kkd_ipm2@corp.bri.co.id" TargetMode="External"/><Relationship Id="rId66" Type="http://schemas.openxmlformats.org/officeDocument/2006/relationships/hyperlink" Target="mailto:kkd_ipm2@corp.bri.co.id" TargetMode="External"/><Relationship Id="rId131" Type="http://schemas.openxmlformats.org/officeDocument/2006/relationships/hyperlink" Target="../../../../08.%20Merchant%20Support/Prosedur%20L1/22.%20REFUND%20QR%20NOBU.docx" TargetMode="External"/><Relationship Id="rId327" Type="http://schemas.openxmlformats.org/officeDocument/2006/relationships/hyperlink" Target="../../../08.%20Merchant%20Support/Prosedur%20L1/24.%20ISSUE%20-%20SOP%20Refund%20CC%20VoA.pdf" TargetMode="External"/><Relationship Id="rId369" Type="http://schemas.openxmlformats.org/officeDocument/2006/relationships/hyperlink" Target="../../../08.%20Merchant%20Support/Prosedur%20L1/24.%20ISSUE%20-%20SOP%20Refund%20CC%20VoA.pdf" TargetMode="External"/><Relationship Id="rId173" Type="http://schemas.openxmlformats.org/officeDocument/2006/relationships/hyperlink" Target="mailto:keluhan_payment@bca.co.id" TargetMode="External"/><Relationship Id="rId229" Type="http://schemas.openxmlformats.org/officeDocument/2006/relationships/hyperlink" Target="../../../08.%20Merchant%20Support/Prosedur%20L1/24.%20ISSUE%20-%20SOP%20Refund%20CC%20VoA.pdf" TargetMode="External"/><Relationship Id="rId240" Type="http://schemas.openxmlformats.org/officeDocument/2006/relationships/hyperlink" Target="../../../../08.%20Merchant%20Support/Prosedur%20L1/22.%20REFUND%20QR%20NOBU.docx" TargetMode="External"/><Relationship Id="rId35" Type="http://schemas.openxmlformats.org/officeDocument/2006/relationships/hyperlink" Target="mailto:keluhan_payment@bca.co.id" TargetMode="External"/><Relationship Id="rId77" Type="http://schemas.openxmlformats.org/officeDocument/2006/relationships/hyperlink" Target="../../../../08.%20Merchant%20Support/Prosedur%20L1/22.%20REFUND%20QR%20NOBU.docx" TargetMode="External"/><Relationship Id="rId100" Type="http://schemas.openxmlformats.org/officeDocument/2006/relationships/hyperlink" Target="../../../../08.%20Merchant%20Support/Prosedur%20L1/22.%20REFUND%20QR%20NOBU.docx" TargetMode="External"/><Relationship Id="rId282" Type="http://schemas.openxmlformats.org/officeDocument/2006/relationships/hyperlink" Target="../../../08.%20Merchant%20Support/Prosedur%20L1/24.%20ISSUE%20-%20SOP%20Refund%20CC%20VoA.pdf" TargetMode="External"/><Relationship Id="rId338" Type="http://schemas.openxmlformats.org/officeDocument/2006/relationships/hyperlink" Target="mailto:shinahahaha@gmail.com" TargetMode="External"/><Relationship Id="rId8" Type="http://schemas.openxmlformats.org/officeDocument/2006/relationships/hyperlink" Target="mailto:keluhan_payment@bca.co.id" TargetMode="External"/><Relationship Id="rId142" Type="http://schemas.openxmlformats.org/officeDocument/2006/relationships/hyperlink" Target="../../../../08.%20Merchant%20Support/Prosedur%20L1/22.%20REFUND%20QR%20NOBU.docx" TargetMode="External"/><Relationship Id="rId184" Type="http://schemas.openxmlformats.org/officeDocument/2006/relationships/hyperlink" Target="mailto:chando0728@yahoo.co.jp" TargetMode="External"/><Relationship Id="rId251" Type="http://schemas.openxmlformats.org/officeDocument/2006/relationships/hyperlink" Target="mailto:keluhan_payment@bca.co.id" TargetMode="External"/><Relationship Id="rId46" Type="http://schemas.openxmlformats.org/officeDocument/2006/relationships/hyperlink" Target="../../../../08.%20Merchant%20Support/Prosedur%20L1/22.%20REFUND%20QR%20NOBU.docx" TargetMode="External"/><Relationship Id="rId293" Type="http://schemas.openxmlformats.org/officeDocument/2006/relationships/hyperlink" Target="mailto:keluhan_payment@bca.co.id" TargetMode="External"/><Relationship Id="rId307" Type="http://schemas.openxmlformats.org/officeDocument/2006/relationships/hyperlink" Target="../../../08.%20Merchant%20Support/Prosedur%20L1/24.%20ISSUE%20-%20SOP%20Refund%20CC%20VoA.pdf" TargetMode="External"/><Relationship Id="rId349" Type="http://schemas.openxmlformats.org/officeDocument/2006/relationships/hyperlink" Target="../../../08.%20Merchant%20Support/Prosedur%20L1/24.%20ISSUE%20-%20SOP%20Refund%20CC%20VoA.pdf" TargetMode="External"/><Relationship Id="rId88" Type="http://schemas.openxmlformats.org/officeDocument/2006/relationships/hyperlink" Target="mailto:keluhan_payment@bca.co.id" TargetMode="External"/><Relationship Id="rId111" Type="http://schemas.openxmlformats.org/officeDocument/2006/relationships/hyperlink" Target="mailto:kkd_ipm2@corp.bri.co.id" TargetMode="External"/><Relationship Id="rId153" Type="http://schemas.openxmlformats.org/officeDocument/2006/relationships/hyperlink" Target="mailto:keluhan_payment@bca.co.id" TargetMode="External"/><Relationship Id="rId195" Type="http://schemas.openxmlformats.org/officeDocument/2006/relationships/hyperlink" Target="../../../../08.%20Merchant%20Support/Prosedur%20L1/22.%20REFUND%20QR%20NOBU.docx" TargetMode="External"/><Relationship Id="rId209" Type="http://schemas.openxmlformats.org/officeDocument/2006/relationships/hyperlink" Target="mailto:chargebackops.acq@corp.bri.co.id" TargetMode="External"/><Relationship Id="rId360" Type="http://schemas.openxmlformats.org/officeDocument/2006/relationships/hyperlink" Target="../../../08.%20Merchant%20Support/Prosedur%20L1/24.%20ISSUE%20-%20SOP%20Refund%20CC%20VoA.pdf" TargetMode="External"/><Relationship Id="rId220" Type="http://schemas.openxmlformats.org/officeDocument/2006/relationships/hyperlink" Target="../../../08.%20Merchant%20Support/Prosedur%20L1/24.%20ISSUE%20-%20SOP%20Refund%20CC%20VoA.pdf"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bayar2.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L62"/>
  <sheetViews>
    <sheetView showGridLines="0" zoomScale="115" zoomScaleNormal="115" workbookViewId="0">
      <pane xSplit="1" ySplit="5" topLeftCell="C6" activePane="bottomRight" state="frozen"/>
      <selection pane="topRight"/>
      <selection pane="bottomLeft"/>
      <selection pane="bottomRight" activeCell="A10" sqref="A6:A11"/>
      <pivotSelection showHeader="1" activeRow="9" click="1" r:id="rId1">
        <pivotArea dataOnly="0" labelOnly="1" outline="0" fieldPosition="0">
          <references count="1">
            <reference field="7" count="0"/>
          </references>
        </pivotArea>
      </pivotSelection>
    </sheetView>
  </sheetViews>
  <sheetFormatPr defaultColWidth="9" defaultRowHeight="14.4" x14ac:dyDescent="0.25"/>
  <cols>
    <col min="1" max="1" width="33.21875" style="109" bestFit="1" customWidth="1"/>
    <col min="2" max="3" width="15.6640625" bestFit="1" customWidth="1"/>
    <col min="4" max="6" width="15.6640625" style="110" bestFit="1" customWidth="1"/>
    <col min="7" max="37" width="15.6640625" bestFit="1" customWidth="1"/>
    <col min="38" max="38" width="13.77734375" bestFit="1" customWidth="1"/>
    <col min="39" max="44" width="12.5546875" customWidth="1"/>
    <col min="45" max="45" width="10.5546875" customWidth="1"/>
  </cols>
  <sheetData>
    <row r="3" spans="1:38" ht="12.6" customHeight="1" x14ac:dyDescent="0.25">
      <c r="A3" s="132" t="s">
        <v>0</v>
      </c>
      <c r="B3" s="131" t="s">
        <v>1</v>
      </c>
      <c r="C3" s="131" t="s">
        <v>2</v>
      </c>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row>
    <row r="4" spans="1:38" x14ac:dyDescent="0.25">
      <c r="B4" s="111">
        <v>46027</v>
      </c>
      <c r="C4" s="111">
        <v>46029</v>
      </c>
      <c r="D4" s="111">
        <v>46037</v>
      </c>
      <c r="E4" s="111">
        <v>46044</v>
      </c>
      <c r="F4" s="111">
        <v>46051</v>
      </c>
      <c r="G4" s="111">
        <v>46063</v>
      </c>
      <c r="H4" s="111">
        <v>46073</v>
      </c>
      <c r="I4" s="111">
        <v>46076</v>
      </c>
      <c r="J4" s="111">
        <v>46077</v>
      </c>
      <c r="K4" s="111">
        <v>46078</v>
      </c>
      <c r="L4" s="111">
        <v>46083</v>
      </c>
      <c r="M4" s="111">
        <v>46084</v>
      </c>
      <c r="N4" s="111">
        <v>46085</v>
      </c>
      <c r="O4" s="111">
        <v>46087</v>
      </c>
      <c r="P4" s="111">
        <v>46088</v>
      </c>
      <c r="Q4" s="111">
        <v>46095</v>
      </c>
      <c r="R4" s="111">
        <v>46098</v>
      </c>
      <c r="S4" s="111">
        <v>46107</v>
      </c>
      <c r="T4" s="111">
        <v>46108</v>
      </c>
      <c r="V4" s="111">
        <v>46111</v>
      </c>
      <c r="W4" s="111">
        <v>46112</v>
      </c>
      <c r="X4" s="111">
        <v>46113</v>
      </c>
      <c r="Y4" s="111">
        <v>46114</v>
      </c>
      <c r="Z4" s="111">
        <v>46118</v>
      </c>
      <c r="AA4" s="111">
        <v>46119</v>
      </c>
      <c r="AC4" s="111">
        <v>46126</v>
      </c>
      <c r="AE4" s="111">
        <v>46128</v>
      </c>
      <c r="AF4" s="111">
        <v>46129</v>
      </c>
      <c r="AH4" s="111">
        <v>46132</v>
      </c>
      <c r="AJ4" s="111">
        <v>46134</v>
      </c>
      <c r="AL4" s="117" t="s">
        <v>3</v>
      </c>
    </row>
    <row r="5" spans="1:38" x14ac:dyDescent="0.25">
      <c r="A5" s="131" t="s">
        <v>4</v>
      </c>
      <c r="B5" s="110" t="s">
        <v>5</v>
      </c>
      <c r="C5" s="110" t="s">
        <v>5</v>
      </c>
      <c r="D5" s="110" t="s">
        <v>5</v>
      </c>
      <c r="E5" s="110" t="s">
        <v>5</v>
      </c>
      <c r="F5" s="110" t="s">
        <v>5</v>
      </c>
      <c r="G5" s="110" t="s">
        <v>5</v>
      </c>
      <c r="H5" s="110" t="s">
        <v>5</v>
      </c>
      <c r="I5" s="110" t="s">
        <v>5</v>
      </c>
      <c r="J5" s="110" t="s">
        <v>5</v>
      </c>
      <c r="K5" s="110" t="s">
        <v>5</v>
      </c>
      <c r="L5" s="110" t="s">
        <v>5</v>
      </c>
      <c r="M5" s="110" t="s">
        <v>5</v>
      </c>
      <c r="N5" s="110" t="s">
        <v>5</v>
      </c>
      <c r="O5" s="110" t="s">
        <v>5</v>
      </c>
      <c r="P5" s="110" t="s">
        <v>5</v>
      </c>
      <c r="Q5" s="110" t="s">
        <v>5</v>
      </c>
      <c r="R5" s="110" t="s">
        <v>5</v>
      </c>
      <c r="S5" s="110" t="s">
        <v>5</v>
      </c>
      <c r="T5" s="110" t="s">
        <v>5</v>
      </c>
      <c r="U5" s="113" t="s">
        <v>6</v>
      </c>
      <c r="V5" s="110" t="s">
        <v>5</v>
      </c>
      <c r="W5" s="110" t="s">
        <v>5</v>
      </c>
      <c r="X5" s="110" t="s">
        <v>5</v>
      </c>
      <c r="Y5" s="110" t="s">
        <v>5</v>
      </c>
      <c r="Z5" s="110" t="s">
        <v>5</v>
      </c>
      <c r="AA5" s="110" t="s">
        <v>5</v>
      </c>
      <c r="AB5" s="113" t="s">
        <v>6</v>
      </c>
      <c r="AC5" s="110" t="s">
        <v>5</v>
      </c>
      <c r="AD5" s="113" t="s">
        <v>6</v>
      </c>
      <c r="AE5" s="110" t="s">
        <v>5</v>
      </c>
      <c r="AF5" s="110" t="s">
        <v>5</v>
      </c>
      <c r="AG5" s="113" t="s">
        <v>6</v>
      </c>
      <c r="AH5" s="110" t="s">
        <v>5</v>
      </c>
      <c r="AI5" s="113" t="s">
        <v>6</v>
      </c>
      <c r="AJ5" s="110" t="s">
        <v>5</v>
      </c>
      <c r="AK5" s="113" t="s">
        <v>6</v>
      </c>
      <c r="AL5" s="110"/>
    </row>
    <row r="6" spans="1:38" x14ac:dyDescent="0.25">
      <c r="A6" t="s">
        <v>7</v>
      </c>
      <c r="B6" s="110">
        <v>4</v>
      </c>
      <c r="C6" s="110">
        <v>2</v>
      </c>
      <c r="D6" s="110">
        <v>6</v>
      </c>
      <c r="E6" s="110">
        <v>7</v>
      </c>
      <c r="F6" s="110">
        <v>4</v>
      </c>
      <c r="G6" s="110">
        <v>11</v>
      </c>
      <c r="H6" s="110">
        <v>9</v>
      </c>
      <c r="I6" s="110"/>
      <c r="J6" s="110">
        <v>3</v>
      </c>
      <c r="K6" s="110"/>
      <c r="L6" s="110">
        <v>7</v>
      </c>
      <c r="M6" s="110">
        <v>2</v>
      </c>
      <c r="N6" s="110"/>
      <c r="O6" s="110">
        <v>1</v>
      </c>
      <c r="P6" s="110">
        <v>2</v>
      </c>
      <c r="Q6" s="110">
        <v>5</v>
      </c>
      <c r="R6" s="110">
        <v>3</v>
      </c>
      <c r="S6" s="110">
        <v>9</v>
      </c>
      <c r="T6" s="110">
        <v>3</v>
      </c>
      <c r="U6" s="110">
        <v>1</v>
      </c>
      <c r="V6" s="110"/>
      <c r="W6" s="110"/>
      <c r="X6" s="110">
        <v>2</v>
      </c>
      <c r="Y6" s="110">
        <v>2</v>
      </c>
      <c r="Z6" s="110">
        <v>2</v>
      </c>
      <c r="AA6" s="110">
        <v>12</v>
      </c>
      <c r="AB6" s="110">
        <v>3</v>
      </c>
      <c r="AC6" s="110">
        <v>8</v>
      </c>
      <c r="AD6" s="110">
        <v>2</v>
      </c>
      <c r="AE6" s="110">
        <v>4</v>
      </c>
      <c r="AF6" s="110">
        <v>2</v>
      </c>
      <c r="AG6" s="110">
        <v>1</v>
      </c>
      <c r="AH6" s="110">
        <v>2</v>
      </c>
      <c r="AI6" s="110">
        <v>1</v>
      </c>
      <c r="AJ6" s="110"/>
      <c r="AK6" s="110">
        <v>1</v>
      </c>
      <c r="AL6" s="110">
        <v>121</v>
      </c>
    </row>
    <row r="7" spans="1:38" x14ac:dyDescent="0.25">
      <c r="A7" t="s">
        <v>8</v>
      </c>
      <c r="B7" s="110">
        <v>3</v>
      </c>
      <c r="C7" s="110">
        <v>15</v>
      </c>
      <c r="D7" s="110">
        <v>19</v>
      </c>
      <c r="E7" s="110">
        <v>44</v>
      </c>
      <c r="F7" s="110">
        <v>38</v>
      </c>
      <c r="G7" s="110">
        <v>49</v>
      </c>
      <c r="H7" s="110">
        <v>89</v>
      </c>
      <c r="I7" s="110">
        <v>5</v>
      </c>
      <c r="J7" s="110">
        <v>5</v>
      </c>
      <c r="K7" s="110"/>
      <c r="L7" s="110">
        <v>16</v>
      </c>
      <c r="M7" s="110">
        <v>1</v>
      </c>
      <c r="N7" s="110">
        <v>9</v>
      </c>
      <c r="O7" s="110">
        <v>9</v>
      </c>
      <c r="P7" s="110">
        <v>2</v>
      </c>
      <c r="Q7" s="110">
        <v>45</v>
      </c>
      <c r="R7" s="110">
        <v>34</v>
      </c>
      <c r="S7" s="110">
        <v>52</v>
      </c>
      <c r="T7" s="110">
        <v>6</v>
      </c>
      <c r="U7" s="110"/>
      <c r="V7" s="110">
        <v>6</v>
      </c>
      <c r="W7" s="110">
        <v>1</v>
      </c>
      <c r="X7" s="110">
        <v>11</v>
      </c>
      <c r="Y7" s="110">
        <v>1</v>
      </c>
      <c r="Z7" s="110">
        <v>10</v>
      </c>
      <c r="AA7" s="110">
        <v>3</v>
      </c>
      <c r="AB7" s="110"/>
      <c r="AC7" s="110">
        <v>23</v>
      </c>
      <c r="AD7" s="110"/>
      <c r="AE7" s="110">
        <v>1</v>
      </c>
      <c r="AF7" s="110">
        <v>1</v>
      </c>
      <c r="AG7" s="110"/>
      <c r="AH7" s="110">
        <v>37</v>
      </c>
      <c r="AI7" s="110"/>
      <c r="AJ7" s="110"/>
      <c r="AK7" s="110"/>
      <c r="AL7" s="110">
        <v>535</v>
      </c>
    </row>
    <row r="8" spans="1:38" x14ac:dyDescent="0.25">
      <c r="A8" t="s">
        <v>9</v>
      </c>
      <c r="B8" s="110"/>
      <c r="C8" s="110">
        <v>5</v>
      </c>
      <c r="D8" s="110">
        <v>8</v>
      </c>
      <c r="E8" s="110">
        <v>11</v>
      </c>
      <c r="F8" s="110">
        <v>7</v>
      </c>
      <c r="G8" s="110">
        <v>15</v>
      </c>
      <c r="H8" s="110">
        <v>14</v>
      </c>
      <c r="I8" s="110"/>
      <c r="J8" s="110"/>
      <c r="K8" s="110">
        <v>3</v>
      </c>
      <c r="L8" s="110">
        <v>4</v>
      </c>
      <c r="M8" s="110">
        <v>2</v>
      </c>
      <c r="N8" s="110"/>
      <c r="O8" s="110">
        <v>3</v>
      </c>
      <c r="P8" s="110">
        <v>2</v>
      </c>
      <c r="Q8" s="110">
        <v>7</v>
      </c>
      <c r="R8" s="110">
        <v>2</v>
      </c>
      <c r="S8" s="110">
        <v>3</v>
      </c>
      <c r="T8" s="110">
        <v>3</v>
      </c>
      <c r="U8" s="110"/>
      <c r="V8" s="110">
        <v>1</v>
      </c>
      <c r="W8" s="110">
        <v>2</v>
      </c>
      <c r="X8" s="110">
        <v>1</v>
      </c>
      <c r="Y8" s="110">
        <v>4</v>
      </c>
      <c r="Z8" s="110">
        <v>2</v>
      </c>
      <c r="AA8" s="110">
        <v>9</v>
      </c>
      <c r="AB8" s="110"/>
      <c r="AC8" s="110">
        <v>3</v>
      </c>
      <c r="AD8" s="110"/>
      <c r="AE8" s="110">
        <v>3</v>
      </c>
      <c r="AF8" s="110">
        <v>2</v>
      </c>
      <c r="AG8" s="110"/>
      <c r="AH8" s="110">
        <v>2</v>
      </c>
      <c r="AI8" s="110">
        <v>4</v>
      </c>
      <c r="AJ8" s="110">
        <v>1</v>
      </c>
      <c r="AK8" s="110"/>
      <c r="AL8" s="110">
        <v>123</v>
      </c>
    </row>
    <row r="9" spans="1:38" x14ac:dyDescent="0.25">
      <c r="A9" t="s">
        <v>10</v>
      </c>
      <c r="B9" s="110">
        <v>3</v>
      </c>
      <c r="C9" s="110">
        <v>2</v>
      </c>
      <c r="D9" s="110">
        <v>7</v>
      </c>
      <c r="E9" s="110">
        <v>5</v>
      </c>
      <c r="F9" s="110">
        <v>5</v>
      </c>
      <c r="G9" s="110">
        <v>8</v>
      </c>
      <c r="H9" s="110">
        <v>7</v>
      </c>
      <c r="I9" s="110">
        <v>1</v>
      </c>
      <c r="J9" s="110">
        <v>1</v>
      </c>
      <c r="K9" s="110"/>
      <c r="L9" s="110">
        <v>5</v>
      </c>
      <c r="M9" s="110">
        <v>1</v>
      </c>
      <c r="N9" s="110">
        <v>1</v>
      </c>
      <c r="O9" s="110">
        <v>2</v>
      </c>
      <c r="P9" s="110">
        <v>3</v>
      </c>
      <c r="Q9" s="110">
        <v>3</v>
      </c>
      <c r="R9" s="110">
        <v>3</v>
      </c>
      <c r="S9" s="110">
        <v>16</v>
      </c>
      <c r="T9" s="110">
        <v>4</v>
      </c>
      <c r="U9" s="110"/>
      <c r="V9" s="110">
        <v>12</v>
      </c>
      <c r="W9" s="110">
        <v>1</v>
      </c>
      <c r="X9" s="110">
        <v>2</v>
      </c>
      <c r="Y9" s="110">
        <v>3</v>
      </c>
      <c r="Z9" s="110">
        <v>8</v>
      </c>
      <c r="AA9" s="110">
        <v>15</v>
      </c>
      <c r="AB9" s="110">
        <v>1</v>
      </c>
      <c r="AC9" s="110">
        <v>2</v>
      </c>
      <c r="AD9" s="110"/>
      <c r="AE9" s="110">
        <v>4</v>
      </c>
      <c r="AF9" s="110">
        <v>6</v>
      </c>
      <c r="AG9" s="110"/>
      <c r="AH9" s="110">
        <v>18</v>
      </c>
      <c r="AI9" s="110">
        <v>1</v>
      </c>
      <c r="AJ9" s="110">
        <v>3</v>
      </c>
      <c r="AK9" s="110">
        <v>2</v>
      </c>
      <c r="AL9" s="110">
        <v>155</v>
      </c>
    </row>
    <row r="10" spans="1:38" x14ac:dyDescent="0.25">
      <c r="A10" t="s">
        <v>11</v>
      </c>
      <c r="B10" s="110">
        <v>1</v>
      </c>
      <c r="C10" s="110">
        <v>1</v>
      </c>
      <c r="D10" s="110">
        <v>4</v>
      </c>
      <c r="E10" s="110">
        <v>2</v>
      </c>
      <c r="F10" s="110">
        <v>1</v>
      </c>
      <c r="G10" s="110">
        <v>1</v>
      </c>
      <c r="H10" s="110">
        <v>1</v>
      </c>
      <c r="I10" s="110"/>
      <c r="J10" s="110">
        <v>1</v>
      </c>
      <c r="K10" s="110">
        <v>2</v>
      </c>
      <c r="L10" s="110">
        <v>3</v>
      </c>
      <c r="M10" s="110"/>
      <c r="N10" s="110"/>
      <c r="O10" s="110"/>
      <c r="P10" s="110"/>
      <c r="Q10" s="110"/>
      <c r="R10" s="110">
        <v>1</v>
      </c>
      <c r="S10" s="110">
        <v>2</v>
      </c>
      <c r="T10" s="110"/>
      <c r="U10" s="110"/>
      <c r="V10" s="110">
        <v>1</v>
      </c>
      <c r="W10" s="110">
        <v>1</v>
      </c>
      <c r="X10" s="110"/>
      <c r="Y10" s="110">
        <v>1</v>
      </c>
      <c r="Z10" s="110">
        <v>1</v>
      </c>
      <c r="AA10" s="110">
        <v>1</v>
      </c>
      <c r="AB10" s="110"/>
      <c r="AC10" s="110">
        <v>1</v>
      </c>
      <c r="AD10" s="110"/>
      <c r="AE10" s="110">
        <v>1</v>
      </c>
      <c r="AF10" s="110"/>
      <c r="AG10" s="110"/>
      <c r="AH10" s="110">
        <v>3</v>
      </c>
      <c r="AI10" s="110"/>
      <c r="AJ10" s="110">
        <v>1</v>
      </c>
      <c r="AK10" s="110"/>
      <c r="AL10" s="110">
        <v>31</v>
      </c>
    </row>
    <row r="11" spans="1:38" x14ac:dyDescent="0.25">
      <c r="A11" t="s">
        <v>12</v>
      </c>
      <c r="B11" s="110"/>
      <c r="C11" s="110"/>
      <c r="G11" s="110"/>
      <c r="H11" s="110">
        <v>1</v>
      </c>
      <c r="I11" s="110"/>
      <c r="J11" s="110"/>
      <c r="K11" s="110"/>
      <c r="L11" s="110"/>
      <c r="M11" s="110"/>
      <c r="N11" s="110"/>
      <c r="O11" s="110"/>
      <c r="P11" s="110">
        <v>1</v>
      </c>
      <c r="Q11" s="110"/>
      <c r="R11" s="110"/>
      <c r="S11" s="110"/>
      <c r="T11" s="110"/>
      <c r="U11" s="110"/>
      <c r="V11" s="110"/>
      <c r="W11" s="110"/>
      <c r="X11" s="110"/>
      <c r="Y11" s="110"/>
      <c r="Z11" s="110"/>
      <c r="AA11" s="110"/>
      <c r="AB11" s="110"/>
      <c r="AC11" s="110"/>
      <c r="AD11" s="110"/>
      <c r="AE11" s="110"/>
      <c r="AF11" s="110"/>
      <c r="AG11" s="110"/>
      <c r="AH11" s="110"/>
      <c r="AI11" s="110"/>
      <c r="AJ11" s="110"/>
      <c r="AK11" s="110"/>
      <c r="AL11" s="110">
        <v>2</v>
      </c>
    </row>
    <row r="12" spans="1:38" ht="15" x14ac:dyDescent="0.3">
      <c r="A12" s="112" t="s">
        <v>3</v>
      </c>
      <c r="B12" s="133">
        <v>11</v>
      </c>
      <c r="C12" s="133">
        <v>25</v>
      </c>
      <c r="D12" s="133">
        <v>44</v>
      </c>
      <c r="E12" s="133">
        <v>69</v>
      </c>
      <c r="F12" s="133">
        <v>55</v>
      </c>
      <c r="G12" s="133">
        <v>84</v>
      </c>
      <c r="H12" s="133">
        <v>121</v>
      </c>
      <c r="I12" s="133">
        <v>6</v>
      </c>
      <c r="J12" s="133">
        <v>10</v>
      </c>
      <c r="K12" s="133">
        <v>5</v>
      </c>
      <c r="L12" s="133">
        <v>35</v>
      </c>
      <c r="M12" s="133">
        <v>6</v>
      </c>
      <c r="N12" s="133">
        <v>10</v>
      </c>
      <c r="O12" s="133">
        <v>15</v>
      </c>
      <c r="P12" s="133">
        <v>10</v>
      </c>
      <c r="Q12" s="133">
        <v>60</v>
      </c>
      <c r="R12" s="133">
        <v>43</v>
      </c>
      <c r="S12" s="133">
        <v>82</v>
      </c>
      <c r="T12" s="133">
        <v>16</v>
      </c>
      <c r="U12" s="133">
        <v>1</v>
      </c>
      <c r="V12" s="133">
        <v>20</v>
      </c>
      <c r="W12" s="133">
        <v>5</v>
      </c>
      <c r="X12" s="133">
        <v>16</v>
      </c>
      <c r="Y12" s="133">
        <v>11</v>
      </c>
      <c r="Z12" s="133">
        <v>23</v>
      </c>
      <c r="AA12" s="133">
        <v>40</v>
      </c>
      <c r="AB12" s="133">
        <v>4</v>
      </c>
      <c r="AC12" s="133">
        <v>37</v>
      </c>
      <c r="AD12" s="133">
        <v>2</v>
      </c>
      <c r="AE12" s="133">
        <v>13</v>
      </c>
      <c r="AF12" s="133">
        <v>11</v>
      </c>
      <c r="AG12" s="133">
        <v>1</v>
      </c>
      <c r="AH12" s="133">
        <v>62</v>
      </c>
      <c r="AI12" s="133">
        <v>6</v>
      </c>
      <c r="AJ12" s="133">
        <v>5</v>
      </c>
      <c r="AK12" s="133">
        <v>3</v>
      </c>
      <c r="AL12" s="133">
        <v>967</v>
      </c>
    </row>
    <row r="13" spans="1:38" x14ac:dyDescent="0.25">
      <c r="A13"/>
      <c r="D13"/>
      <c r="E13"/>
      <c r="F13"/>
    </row>
    <row r="14" spans="1:38" x14ac:dyDescent="0.25">
      <c r="A14"/>
      <c r="D14"/>
      <c r="E14"/>
      <c r="F14"/>
    </row>
    <row r="15" spans="1:38" x14ac:dyDescent="0.25">
      <c r="A15"/>
      <c r="D15"/>
      <c r="E15"/>
      <c r="F15"/>
    </row>
    <row r="16" spans="1:38" x14ac:dyDescent="0.25">
      <c r="A16"/>
      <c r="D16"/>
      <c r="E16"/>
      <c r="F16"/>
    </row>
    <row r="17" spans="1:28" x14ac:dyDescent="0.25">
      <c r="A17"/>
      <c r="D17"/>
      <c r="E17"/>
      <c r="F17"/>
    </row>
    <row r="18" spans="1:28" x14ac:dyDescent="0.25">
      <c r="A18"/>
      <c r="D18"/>
      <c r="E18"/>
      <c r="F18"/>
    </row>
    <row r="19" spans="1:28" x14ac:dyDescent="0.25">
      <c r="A19"/>
      <c r="D19"/>
      <c r="E19"/>
      <c r="F19"/>
    </row>
    <row r="20" spans="1:28" x14ac:dyDescent="0.25">
      <c r="A20"/>
      <c r="D20"/>
      <c r="E20"/>
      <c r="F20"/>
      <c r="AA20" t="s">
        <v>13</v>
      </c>
      <c r="AB20" s="118" t="s">
        <v>14</v>
      </c>
    </row>
    <row r="21" spans="1:28" x14ac:dyDescent="0.25">
      <c r="A21"/>
      <c r="D21"/>
      <c r="E21"/>
      <c r="F21"/>
      <c r="AA21" t="s">
        <v>13</v>
      </c>
      <c r="AB21" t="s">
        <v>13</v>
      </c>
    </row>
    <row r="22" spans="1:28" x14ac:dyDescent="0.25">
      <c r="A22"/>
      <c r="D22"/>
      <c r="E22"/>
      <c r="F22"/>
    </row>
    <row r="23" spans="1:28" x14ac:dyDescent="0.25">
      <c r="A23"/>
      <c r="D23"/>
      <c r="E23"/>
      <c r="F23"/>
    </row>
    <row r="24" spans="1:28" x14ac:dyDescent="0.25">
      <c r="A24"/>
      <c r="D24"/>
      <c r="E24"/>
      <c r="F24"/>
    </row>
    <row r="25" spans="1:28" x14ac:dyDescent="0.25">
      <c r="A25"/>
      <c r="D25"/>
      <c r="E25"/>
      <c r="F25"/>
    </row>
    <row r="26" spans="1:28" x14ac:dyDescent="0.25">
      <c r="A26"/>
      <c r="D26"/>
      <c r="E26"/>
      <c r="F26"/>
    </row>
    <row r="27" spans="1:28" x14ac:dyDescent="0.25">
      <c r="A27"/>
      <c r="D27"/>
      <c r="E27"/>
      <c r="F27"/>
    </row>
    <row r="28" spans="1:28" x14ac:dyDescent="0.25">
      <c r="A28"/>
      <c r="D28"/>
      <c r="E28"/>
      <c r="F28"/>
    </row>
    <row r="29" spans="1:28" x14ac:dyDescent="0.25">
      <c r="A29"/>
      <c r="D29"/>
      <c r="E29"/>
      <c r="F29"/>
    </row>
    <row r="30" spans="1:28" x14ac:dyDescent="0.25">
      <c r="A30"/>
      <c r="D30"/>
      <c r="E30"/>
      <c r="F30"/>
    </row>
    <row r="31" spans="1:28" x14ac:dyDescent="0.25">
      <c r="A31"/>
      <c r="D31"/>
      <c r="E31"/>
      <c r="F31"/>
    </row>
    <row r="32" spans="1:28" x14ac:dyDescent="0.25">
      <c r="A32"/>
      <c r="D32"/>
      <c r="E32"/>
      <c r="F32"/>
    </row>
    <row r="33" spans="10:13" customFormat="1" x14ac:dyDescent="0.25"/>
    <row r="34" spans="10:13" customFormat="1" x14ac:dyDescent="0.25"/>
    <row r="35" spans="10:13" customFormat="1" x14ac:dyDescent="0.25"/>
    <row r="36" spans="10:13" customFormat="1" x14ac:dyDescent="0.25">
      <c r="J36" s="114" t="s">
        <v>15</v>
      </c>
      <c r="K36" s="114" t="s">
        <v>16</v>
      </c>
      <c r="L36" s="114" t="s">
        <v>17</v>
      </c>
      <c r="M36" s="114" t="s">
        <v>18</v>
      </c>
    </row>
    <row r="37" spans="10:13" customFormat="1" x14ac:dyDescent="0.25">
      <c r="J37" s="115">
        <v>1</v>
      </c>
      <c r="K37" s="116" t="s">
        <v>19</v>
      </c>
      <c r="L37" s="116" t="s">
        <v>19</v>
      </c>
      <c r="M37" s="115" t="s">
        <v>20</v>
      </c>
    </row>
    <row r="38" spans="10:13" customFormat="1" x14ac:dyDescent="0.25">
      <c r="J38" s="115">
        <v>2</v>
      </c>
      <c r="K38" s="115" t="s">
        <v>20</v>
      </c>
      <c r="L38" s="116" t="s">
        <v>19</v>
      </c>
      <c r="M38" s="115" t="s">
        <v>21</v>
      </c>
    </row>
    <row r="39" spans="10:13" customFormat="1" x14ac:dyDescent="0.25">
      <c r="J39" s="115">
        <v>3</v>
      </c>
      <c r="K39" s="115" t="s">
        <v>20</v>
      </c>
      <c r="L39" s="115" t="s">
        <v>20</v>
      </c>
      <c r="M39" s="115" t="s">
        <v>20</v>
      </c>
    </row>
    <row r="40" spans="10:13" customFormat="1" x14ac:dyDescent="0.25">
      <c r="J40" s="115">
        <v>4</v>
      </c>
      <c r="K40" s="116" t="s">
        <v>19</v>
      </c>
      <c r="L40" s="115" t="s">
        <v>20</v>
      </c>
      <c r="M40" s="115" t="s">
        <v>20</v>
      </c>
    </row>
    <row r="41" spans="10:13" customFormat="1" x14ac:dyDescent="0.25"/>
    <row r="42" spans="10:13" customFormat="1" x14ac:dyDescent="0.25"/>
    <row r="43" spans="10:13" customFormat="1" x14ac:dyDescent="0.25"/>
    <row r="44" spans="10:13" customFormat="1" x14ac:dyDescent="0.25"/>
    <row r="45" spans="10:13" customFormat="1" x14ac:dyDescent="0.25"/>
    <row r="46" spans="10:13" customFormat="1" x14ac:dyDescent="0.25"/>
    <row r="47" spans="10:13" customFormat="1" x14ac:dyDescent="0.25"/>
    <row r="48" spans="10:13"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64"/>
  <sheetViews>
    <sheetView showGridLines="0" tabSelected="1" zoomScale="70" zoomScaleNormal="70" workbookViewId="0">
      <pane ySplit="1" topLeftCell="A1061" activePane="bottomLeft" state="frozen"/>
      <selection pane="bottomLeft" activeCell="J1062" sqref="J1062"/>
    </sheetView>
  </sheetViews>
  <sheetFormatPr defaultColWidth="12.6640625" defaultRowHeight="15" customHeight="1" x14ac:dyDescent="0.25"/>
  <cols>
    <col min="1" max="1" width="11.44140625" style="102" customWidth="1"/>
    <col min="2" max="2" width="20.109375" style="103" customWidth="1"/>
    <col min="3" max="3" width="6.44140625" style="102" customWidth="1"/>
    <col min="4" max="4" width="10.33203125" style="104" customWidth="1"/>
    <col min="5" max="5" width="8.21875" style="102" customWidth="1"/>
    <col min="6" max="6" width="7.77734375" style="102" customWidth="1"/>
    <col min="7" max="7" width="7.33203125" style="102" customWidth="1"/>
    <col min="8" max="8" width="10.33203125" style="102" customWidth="1"/>
    <col min="9" max="9" width="18.5546875" style="102" customWidth="1"/>
    <col min="10" max="10" width="48.33203125" style="102" customWidth="1"/>
    <col min="11" max="11" width="7.6640625" style="102" customWidth="1"/>
    <col min="12" max="12" width="8.88671875" style="102" hidden="1" customWidth="1"/>
    <col min="13" max="13" width="6.21875" style="102" customWidth="1"/>
    <col min="14" max="14" width="34.44140625" style="102" customWidth="1"/>
    <col min="15" max="15" width="8.6640625" style="102" customWidth="1"/>
    <col min="16" max="16" width="52.44140625" style="102" customWidth="1"/>
    <col min="17" max="17" width="19.77734375" style="105" customWidth="1"/>
    <col min="18" max="18" width="12.77734375" style="102" customWidth="1"/>
    <col min="19" max="26" width="8.88671875" style="102" customWidth="1"/>
    <col min="27" max="16384" width="12.6640625" style="102"/>
  </cols>
  <sheetData>
    <row r="1" spans="1:19" ht="36.6" customHeight="1" x14ac:dyDescent="0.25">
      <c r="A1" s="134" t="s">
        <v>22</v>
      </c>
      <c r="B1" s="135" t="s">
        <v>23</v>
      </c>
      <c r="C1" s="134" t="s">
        <v>24</v>
      </c>
      <c r="D1" s="136" t="s">
        <v>25</v>
      </c>
      <c r="E1" s="137" t="s">
        <v>26</v>
      </c>
      <c r="F1" s="138" t="s">
        <v>27</v>
      </c>
      <c r="G1" s="138" t="s">
        <v>16</v>
      </c>
      <c r="H1" s="138" t="s">
        <v>4</v>
      </c>
      <c r="I1" s="138" t="s">
        <v>28</v>
      </c>
      <c r="J1" s="138" t="s">
        <v>29</v>
      </c>
      <c r="K1" s="138" t="s">
        <v>30</v>
      </c>
      <c r="L1" s="139" t="s">
        <v>31</v>
      </c>
      <c r="M1" s="139" t="s">
        <v>2</v>
      </c>
      <c r="N1" s="140" t="s">
        <v>32</v>
      </c>
      <c r="O1" s="140" t="s">
        <v>33</v>
      </c>
      <c r="P1" s="140" t="s">
        <v>34</v>
      </c>
      <c r="Q1" s="141" t="s">
        <v>35</v>
      </c>
      <c r="R1" s="142" t="s">
        <v>36</v>
      </c>
      <c r="S1" s="192"/>
    </row>
    <row r="2" spans="1:19" ht="66.599999999999994" customHeight="1" x14ac:dyDescent="0.25">
      <c r="A2" s="192" t="str">
        <f t="shared" ref="A2:A9" si="0">"INC"&amp;TEXT(B2,"yyyymmdd")&amp;TEXT(ROW(A2)-1,"000")</f>
        <v>INC20260101001</v>
      </c>
      <c r="B2" s="199">
        <v>46023.423611111102</v>
      </c>
      <c r="C2" s="192" t="s">
        <v>37</v>
      </c>
      <c r="D2" s="194" t="s">
        <v>38</v>
      </c>
      <c r="E2" s="192" t="s">
        <v>39</v>
      </c>
      <c r="F2" s="192" t="s">
        <v>40</v>
      </c>
      <c r="G2" s="192" t="s">
        <v>41</v>
      </c>
      <c r="H2" s="192" t="s">
        <v>42</v>
      </c>
      <c r="I2" s="192" t="s">
        <v>43</v>
      </c>
      <c r="J2" s="195" t="s">
        <v>1702</v>
      </c>
      <c r="K2" s="192" t="s">
        <v>44</v>
      </c>
      <c r="L2" s="192" t="s">
        <v>45</v>
      </c>
      <c r="M2" s="143" t="s">
        <v>5</v>
      </c>
      <c r="N2" s="192" t="s">
        <v>46</v>
      </c>
      <c r="O2" s="192"/>
      <c r="P2" s="144" t="s">
        <v>47</v>
      </c>
      <c r="Q2" s="145">
        <v>46024</v>
      </c>
      <c r="R2" s="145">
        <v>46027</v>
      </c>
      <c r="S2" s="192"/>
    </row>
    <row r="3" spans="1:19" ht="81.599999999999994" customHeight="1" x14ac:dyDescent="0.25">
      <c r="A3" s="192" t="str">
        <f t="shared" si="0"/>
        <v>INC20260102002</v>
      </c>
      <c r="B3" s="199">
        <v>46024.363194444399</v>
      </c>
      <c r="C3" s="192" t="s">
        <v>37</v>
      </c>
      <c r="D3" s="194" t="s">
        <v>38</v>
      </c>
      <c r="E3" s="192" t="s">
        <v>39</v>
      </c>
      <c r="F3" s="192" t="s">
        <v>40</v>
      </c>
      <c r="G3" s="192" t="s">
        <v>41</v>
      </c>
      <c r="H3" s="192" t="s">
        <v>42</v>
      </c>
      <c r="I3" s="192" t="s">
        <v>43</v>
      </c>
      <c r="J3" s="195" t="s">
        <v>1703</v>
      </c>
      <c r="K3" s="192" t="s">
        <v>44</v>
      </c>
      <c r="L3" s="192" t="s">
        <v>45</v>
      </c>
      <c r="M3" s="143" t="s">
        <v>5</v>
      </c>
      <c r="N3" s="198" t="s">
        <v>48</v>
      </c>
      <c r="O3" s="192"/>
      <c r="P3" s="144" t="s">
        <v>47</v>
      </c>
      <c r="Q3" s="145">
        <v>46024</v>
      </c>
      <c r="R3" s="145">
        <v>46027</v>
      </c>
      <c r="S3" s="192"/>
    </row>
    <row r="4" spans="1:19" ht="90" customHeight="1" x14ac:dyDescent="0.25">
      <c r="A4" s="192" t="str">
        <f t="shared" si="0"/>
        <v>INC20260102003</v>
      </c>
      <c r="B4" s="199">
        <v>46024.672916666699</v>
      </c>
      <c r="C4" s="192" t="s">
        <v>37</v>
      </c>
      <c r="D4" s="194" t="s">
        <v>49</v>
      </c>
      <c r="E4" s="192" t="s">
        <v>50</v>
      </c>
      <c r="F4" s="192" t="s">
        <v>40</v>
      </c>
      <c r="G4" s="192" t="s">
        <v>51</v>
      </c>
      <c r="H4" s="192" t="s">
        <v>52</v>
      </c>
      <c r="I4" s="192" t="s">
        <v>53</v>
      </c>
      <c r="J4" s="195" t="s">
        <v>1704</v>
      </c>
      <c r="K4" s="192" t="s">
        <v>54</v>
      </c>
      <c r="L4" s="192" t="s">
        <v>55</v>
      </c>
      <c r="M4" s="146" t="s">
        <v>5</v>
      </c>
      <c r="N4" s="192" t="s">
        <v>56</v>
      </c>
      <c r="O4" s="192"/>
      <c r="P4" s="192"/>
      <c r="Q4" s="145">
        <v>46024</v>
      </c>
      <c r="R4" s="145">
        <v>46027</v>
      </c>
      <c r="S4" s="192"/>
    </row>
    <row r="5" spans="1:19" ht="66" customHeight="1" x14ac:dyDescent="0.25">
      <c r="A5" s="192" t="str">
        <f t="shared" si="0"/>
        <v>INC20260102004</v>
      </c>
      <c r="B5" s="199">
        <v>46024.697916666701</v>
      </c>
      <c r="C5" s="192" t="s">
        <v>37</v>
      </c>
      <c r="D5" s="194" t="s">
        <v>57</v>
      </c>
      <c r="E5" s="192" t="s">
        <v>58</v>
      </c>
      <c r="F5" s="192" t="s">
        <v>59</v>
      </c>
      <c r="G5" s="192" t="s">
        <v>60</v>
      </c>
      <c r="H5" s="192" t="s">
        <v>61</v>
      </c>
      <c r="I5" s="192" t="s">
        <v>62</v>
      </c>
      <c r="J5" s="121" t="s">
        <v>1705</v>
      </c>
      <c r="K5" s="192" t="s">
        <v>63</v>
      </c>
      <c r="L5" s="192" t="s">
        <v>64</v>
      </c>
      <c r="M5" s="143" t="s">
        <v>5</v>
      </c>
      <c r="N5" s="192" t="s">
        <v>65</v>
      </c>
      <c r="O5" s="192" t="s">
        <v>66</v>
      </c>
      <c r="P5" s="192" t="s">
        <v>67</v>
      </c>
      <c r="Q5" s="145"/>
      <c r="R5" s="145">
        <v>46027</v>
      </c>
      <c r="S5" s="192"/>
    </row>
    <row r="6" spans="1:19" ht="105.6" customHeight="1" x14ac:dyDescent="0.25">
      <c r="A6" s="192" t="str">
        <f t="shared" si="0"/>
        <v>INC20260103005</v>
      </c>
      <c r="B6" s="199">
        <v>46025.550694444399</v>
      </c>
      <c r="C6" s="192" t="s">
        <v>37</v>
      </c>
      <c r="D6" s="194" t="s">
        <v>68</v>
      </c>
      <c r="E6" s="192" t="s">
        <v>69</v>
      </c>
      <c r="F6" s="192" t="s">
        <v>59</v>
      </c>
      <c r="G6" s="192" t="s">
        <v>60</v>
      </c>
      <c r="H6" s="192" t="s">
        <v>61</v>
      </c>
      <c r="I6" s="192" t="s">
        <v>62</v>
      </c>
      <c r="J6" s="121" t="s">
        <v>1706</v>
      </c>
      <c r="K6" s="192" t="s">
        <v>63</v>
      </c>
      <c r="L6" s="192" t="s">
        <v>64</v>
      </c>
      <c r="M6" s="143" t="s">
        <v>5</v>
      </c>
      <c r="N6" s="192" t="s">
        <v>70</v>
      </c>
      <c r="O6" s="192" t="s">
        <v>66</v>
      </c>
      <c r="P6" s="192" t="s">
        <v>67</v>
      </c>
      <c r="Q6" s="145">
        <v>46027</v>
      </c>
      <c r="R6" s="145">
        <v>46027</v>
      </c>
      <c r="S6" s="192"/>
    </row>
    <row r="7" spans="1:19" ht="121.2" customHeight="1" x14ac:dyDescent="0.25">
      <c r="A7" s="192" t="str">
        <f t="shared" si="0"/>
        <v>INC20260104006</v>
      </c>
      <c r="B7" s="199">
        <v>46026.542361111096</v>
      </c>
      <c r="C7" s="192" t="s">
        <v>37</v>
      </c>
      <c r="D7" s="194" t="s">
        <v>71</v>
      </c>
      <c r="E7" s="192" t="s">
        <v>69</v>
      </c>
      <c r="F7" s="192" t="s">
        <v>59</v>
      </c>
      <c r="G7" s="192" t="s">
        <v>60</v>
      </c>
      <c r="H7" s="192" t="s">
        <v>61</v>
      </c>
      <c r="I7" s="192" t="s">
        <v>62</v>
      </c>
      <c r="J7" s="121" t="s">
        <v>1707</v>
      </c>
      <c r="K7" s="192" t="s">
        <v>63</v>
      </c>
      <c r="L7" s="192" t="s">
        <v>64</v>
      </c>
      <c r="M7" s="143" t="s">
        <v>5</v>
      </c>
      <c r="N7" s="192" t="s">
        <v>72</v>
      </c>
      <c r="O7" s="192" t="s">
        <v>66</v>
      </c>
      <c r="P7" s="192" t="s">
        <v>67</v>
      </c>
      <c r="Q7" s="145">
        <v>46028</v>
      </c>
      <c r="R7" s="145">
        <v>46027</v>
      </c>
      <c r="S7" s="192"/>
    </row>
    <row r="8" spans="1:19" ht="65.400000000000006" customHeight="1" x14ac:dyDescent="0.25">
      <c r="A8" s="192" t="str">
        <f t="shared" si="0"/>
        <v>INC20260105007</v>
      </c>
      <c r="B8" s="199">
        <v>46027.173611111102</v>
      </c>
      <c r="C8" s="192" t="s">
        <v>37</v>
      </c>
      <c r="D8" s="194" t="s">
        <v>73</v>
      </c>
      <c r="E8" s="192" t="s">
        <v>74</v>
      </c>
      <c r="F8" s="192" t="s">
        <v>59</v>
      </c>
      <c r="G8" s="192" t="s">
        <v>60</v>
      </c>
      <c r="H8" s="192" t="s">
        <v>61</v>
      </c>
      <c r="I8" s="192" t="s">
        <v>62</v>
      </c>
      <c r="J8" s="121" t="s">
        <v>1708</v>
      </c>
      <c r="K8" s="192" t="s">
        <v>63</v>
      </c>
      <c r="L8" s="192" t="s">
        <v>64</v>
      </c>
      <c r="M8" s="143" t="s">
        <v>5</v>
      </c>
      <c r="N8" s="192" t="s">
        <v>75</v>
      </c>
      <c r="O8" s="192" t="s">
        <v>66</v>
      </c>
      <c r="P8" s="192" t="s">
        <v>67</v>
      </c>
      <c r="Q8" s="145"/>
      <c r="R8" s="145">
        <v>46027</v>
      </c>
      <c r="S8" s="192"/>
    </row>
    <row r="9" spans="1:19" ht="87" customHeight="1" x14ac:dyDescent="0.25">
      <c r="A9" s="192" t="str">
        <f t="shared" si="0"/>
        <v>INC20260105008</v>
      </c>
      <c r="B9" s="199">
        <v>46027.423611111102</v>
      </c>
      <c r="C9" s="192" t="s">
        <v>37</v>
      </c>
      <c r="D9" s="194" t="s">
        <v>38</v>
      </c>
      <c r="E9" s="192" t="s">
        <v>39</v>
      </c>
      <c r="F9" s="192" t="s">
        <v>40</v>
      </c>
      <c r="G9" s="192" t="s">
        <v>41</v>
      </c>
      <c r="H9" s="192" t="s">
        <v>42</v>
      </c>
      <c r="I9" s="192" t="s">
        <v>43</v>
      </c>
      <c r="J9" s="195" t="s">
        <v>1709</v>
      </c>
      <c r="K9" s="192" t="s">
        <v>44</v>
      </c>
      <c r="L9" s="192" t="s">
        <v>45</v>
      </c>
      <c r="M9" s="143" t="s">
        <v>5</v>
      </c>
      <c r="N9" s="198" t="s">
        <v>76</v>
      </c>
      <c r="O9" s="192"/>
      <c r="P9" s="144" t="s">
        <v>47</v>
      </c>
      <c r="Q9" s="145">
        <v>46027</v>
      </c>
      <c r="R9" s="145">
        <v>46027</v>
      </c>
      <c r="S9" s="192"/>
    </row>
    <row r="10" spans="1:19" ht="72" customHeight="1" x14ac:dyDescent="0.25">
      <c r="A10" s="192" t="str">
        <f t="shared" ref="A10:A14" si="1">"INC"&amp;TEXT(B10,"yyyymmdd")&amp;TEXT(ROW(A10)-1,"000")</f>
        <v>INC20260102009</v>
      </c>
      <c r="B10" s="147">
        <v>46024.581250000003</v>
      </c>
      <c r="C10" s="192" t="s">
        <v>77</v>
      </c>
      <c r="D10" s="194" t="s">
        <v>78</v>
      </c>
      <c r="E10" s="192" t="s">
        <v>58</v>
      </c>
      <c r="F10" s="192" t="s">
        <v>40</v>
      </c>
      <c r="G10" s="192" t="s">
        <v>60</v>
      </c>
      <c r="H10" s="192" t="s">
        <v>79</v>
      </c>
      <c r="I10" s="192" t="s">
        <v>80</v>
      </c>
      <c r="J10" s="121" t="s">
        <v>1710</v>
      </c>
      <c r="K10" s="192" t="s">
        <v>63</v>
      </c>
      <c r="L10" s="192" t="s">
        <v>81</v>
      </c>
      <c r="M10" s="146" t="s">
        <v>5</v>
      </c>
      <c r="N10" s="148" t="s">
        <v>82</v>
      </c>
      <c r="O10" s="197" t="s">
        <v>83</v>
      </c>
      <c r="P10" s="197" t="s">
        <v>1366</v>
      </c>
      <c r="Q10" s="149">
        <v>46024.666666666701</v>
      </c>
      <c r="R10" s="145">
        <v>46027</v>
      </c>
      <c r="S10" s="192"/>
    </row>
    <row r="11" spans="1:19" ht="75" customHeight="1" x14ac:dyDescent="0.25">
      <c r="A11" s="192" t="str">
        <f t="shared" si="1"/>
        <v>INC20260103010</v>
      </c>
      <c r="B11" s="147">
        <v>46025.439583333296</v>
      </c>
      <c r="C11" s="192" t="s">
        <v>77</v>
      </c>
      <c r="D11" s="194" t="s">
        <v>78</v>
      </c>
      <c r="E11" s="192" t="s">
        <v>58</v>
      </c>
      <c r="F11" s="192" t="s">
        <v>40</v>
      </c>
      <c r="G11" s="192" t="s">
        <v>60</v>
      </c>
      <c r="H11" s="192" t="s">
        <v>79</v>
      </c>
      <c r="I11" s="192" t="s">
        <v>84</v>
      </c>
      <c r="J11" s="121" t="s">
        <v>1711</v>
      </c>
      <c r="K11" s="192" t="s">
        <v>63</v>
      </c>
      <c r="L11" s="192" t="s">
        <v>81</v>
      </c>
      <c r="M11" s="146" t="s">
        <v>5</v>
      </c>
      <c r="N11" s="148" t="s">
        <v>85</v>
      </c>
      <c r="O11" s="192" t="s">
        <v>86</v>
      </c>
      <c r="P11" s="192" t="s">
        <v>87</v>
      </c>
      <c r="Q11" s="149">
        <v>46025.441666666702</v>
      </c>
      <c r="R11" s="145">
        <v>46027</v>
      </c>
      <c r="S11" s="192"/>
    </row>
    <row r="12" spans="1:19" ht="90.6" customHeight="1" x14ac:dyDescent="0.25">
      <c r="A12" s="192" t="str">
        <f t="shared" si="1"/>
        <v>INC20260104011</v>
      </c>
      <c r="B12" s="147">
        <v>46026.839583333298</v>
      </c>
      <c r="C12" s="192" t="s">
        <v>77</v>
      </c>
      <c r="D12" s="194" t="s">
        <v>78</v>
      </c>
      <c r="E12" s="192" t="s">
        <v>58</v>
      </c>
      <c r="F12" s="192" t="s">
        <v>40</v>
      </c>
      <c r="G12" s="192" t="s">
        <v>60</v>
      </c>
      <c r="H12" s="192" t="s">
        <v>79</v>
      </c>
      <c r="I12" s="192" t="s">
        <v>84</v>
      </c>
      <c r="J12" s="121" t="s">
        <v>1712</v>
      </c>
      <c r="K12" s="192" t="s">
        <v>63</v>
      </c>
      <c r="L12" s="192" t="s">
        <v>81</v>
      </c>
      <c r="M12" s="146" t="s">
        <v>5</v>
      </c>
      <c r="N12" s="148" t="s">
        <v>88</v>
      </c>
      <c r="O12" s="192" t="s">
        <v>86</v>
      </c>
      <c r="P12" s="192" t="s">
        <v>87</v>
      </c>
      <c r="Q12" s="149">
        <v>46026.862500000003</v>
      </c>
      <c r="R12" s="145">
        <v>46027</v>
      </c>
      <c r="S12" s="192"/>
    </row>
    <row r="13" spans="1:19" ht="80.400000000000006" customHeight="1" x14ac:dyDescent="0.25">
      <c r="A13" s="192" t="str">
        <f t="shared" si="1"/>
        <v>INC20260105012</v>
      </c>
      <c r="B13" s="199">
        <v>46027.728472222203</v>
      </c>
      <c r="C13" s="192" t="s">
        <v>37</v>
      </c>
      <c r="D13" s="194" t="s">
        <v>57</v>
      </c>
      <c r="E13" s="192" t="s">
        <v>69</v>
      </c>
      <c r="F13" s="192" t="s">
        <v>59</v>
      </c>
      <c r="G13" s="192" t="s">
        <v>60</v>
      </c>
      <c r="H13" s="192" t="s">
        <v>61</v>
      </c>
      <c r="I13" s="192" t="s">
        <v>62</v>
      </c>
      <c r="J13" s="121" t="s">
        <v>1713</v>
      </c>
      <c r="K13" s="192" t="s">
        <v>63</v>
      </c>
      <c r="L13" s="192" t="s">
        <v>64</v>
      </c>
      <c r="M13" s="143" t="s">
        <v>5</v>
      </c>
      <c r="N13" s="192" t="s">
        <v>89</v>
      </c>
      <c r="O13" s="192" t="s">
        <v>66</v>
      </c>
      <c r="P13" s="192" t="s">
        <v>67</v>
      </c>
      <c r="Q13" s="145"/>
      <c r="R13" s="145">
        <v>46029</v>
      </c>
      <c r="S13" s="192"/>
    </row>
    <row r="14" spans="1:19" ht="84.6" customHeight="1" x14ac:dyDescent="0.25">
      <c r="A14" s="192" t="str">
        <f t="shared" si="1"/>
        <v>INC20260106013</v>
      </c>
      <c r="B14" s="199">
        <v>46028.351388888899</v>
      </c>
      <c r="C14" s="192" t="s">
        <v>37</v>
      </c>
      <c r="D14" s="194" t="s">
        <v>38</v>
      </c>
      <c r="E14" s="192" t="s">
        <v>39</v>
      </c>
      <c r="F14" s="192" t="s">
        <v>40</v>
      </c>
      <c r="G14" s="192" t="s">
        <v>41</v>
      </c>
      <c r="H14" s="192" t="s">
        <v>42</v>
      </c>
      <c r="I14" s="192" t="s">
        <v>43</v>
      </c>
      <c r="J14" s="195" t="s">
        <v>1714</v>
      </c>
      <c r="K14" s="192" t="s">
        <v>44</v>
      </c>
      <c r="L14" s="192" t="s">
        <v>45</v>
      </c>
      <c r="M14" s="143" t="s">
        <v>5</v>
      </c>
      <c r="N14" s="198" t="s">
        <v>90</v>
      </c>
      <c r="O14" s="192"/>
      <c r="P14" s="144" t="s">
        <v>47</v>
      </c>
      <c r="Q14" s="145">
        <v>46028</v>
      </c>
      <c r="R14" s="145">
        <v>46029</v>
      </c>
      <c r="S14" s="192"/>
    </row>
    <row r="15" spans="1:19" ht="81" customHeight="1" x14ac:dyDescent="0.25">
      <c r="A15" s="192" t="str">
        <f t="shared" ref="A15:A66" si="2">"INC"&amp;TEXT(B15,"yyyymmdd")&amp;TEXT(ROW(A15)-1,"000")</f>
        <v>INC20260106014</v>
      </c>
      <c r="B15" s="199">
        <v>46028.565277777801</v>
      </c>
      <c r="C15" s="192" t="s">
        <v>37</v>
      </c>
      <c r="D15" s="194" t="s">
        <v>91</v>
      </c>
      <c r="E15" s="192" t="s">
        <v>50</v>
      </c>
      <c r="F15" s="192" t="s">
        <v>40</v>
      </c>
      <c r="G15" s="192" t="s">
        <v>51</v>
      </c>
      <c r="H15" s="192" t="s">
        <v>92</v>
      </c>
      <c r="I15" s="192" t="s">
        <v>93</v>
      </c>
      <c r="J15" s="195" t="s">
        <v>1715</v>
      </c>
      <c r="K15" s="192" t="s">
        <v>54</v>
      </c>
      <c r="L15" s="192" t="s">
        <v>55</v>
      </c>
      <c r="M15" s="146" t="s">
        <v>5</v>
      </c>
      <c r="N15" s="148" t="s">
        <v>94</v>
      </c>
      <c r="O15" s="192" t="s">
        <v>95</v>
      </c>
      <c r="P15" s="192" t="s">
        <v>96</v>
      </c>
      <c r="Q15" s="145">
        <v>46028</v>
      </c>
      <c r="R15" s="145">
        <v>46029</v>
      </c>
      <c r="S15" s="192"/>
    </row>
    <row r="16" spans="1:19" ht="70.8" customHeight="1" x14ac:dyDescent="0.25">
      <c r="A16" s="192" t="str">
        <f t="shared" si="2"/>
        <v>INC20260106015</v>
      </c>
      <c r="B16" s="199">
        <v>46028.611111111102</v>
      </c>
      <c r="C16" s="192" t="s">
        <v>37</v>
      </c>
      <c r="D16" s="194" t="s">
        <v>57</v>
      </c>
      <c r="E16" s="192" t="s">
        <v>74</v>
      </c>
      <c r="F16" s="192" t="s">
        <v>59</v>
      </c>
      <c r="G16" s="192" t="s">
        <v>60</v>
      </c>
      <c r="H16" s="192" t="s">
        <v>61</v>
      </c>
      <c r="I16" s="192" t="s">
        <v>62</v>
      </c>
      <c r="J16" s="121" t="s">
        <v>1716</v>
      </c>
      <c r="K16" s="192" t="s">
        <v>63</v>
      </c>
      <c r="L16" s="192" t="s">
        <v>64</v>
      </c>
      <c r="M16" s="143" t="s">
        <v>5</v>
      </c>
      <c r="N16" s="192" t="s">
        <v>97</v>
      </c>
      <c r="O16" s="192" t="s">
        <v>66</v>
      </c>
      <c r="P16" s="192" t="s">
        <v>67</v>
      </c>
      <c r="Q16" s="145"/>
      <c r="R16" s="145">
        <v>46029</v>
      </c>
      <c r="S16" s="192"/>
    </row>
    <row r="17" spans="1:19" ht="64.8" customHeight="1" x14ac:dyDescent="0.25">
      <c r="A17" s="192" t="str">
        <f t="shared" si="2"/>
        <v>INC20260106016</v>
      </c>
      <c r="B17" s="199">
        <v>46028.670138888898</v>
      </c>
      <c r="C17" s="192" t="s">
        <v>37</v>
      </c>
      <c r="D17" s="194" t="s">
        <v>49</v>
      </c>
      <c r="E17" s="192" t="s">
        <v>50</v>
      </c>
      <c r="F17" s="192" t="s">
        <v>40</v>
      </c>
      <c r="G17" s="192" t="s">
        <v>51</v>
      </c>
      <c r="H17" s="192" t="s">
        <v>52</v>
      </c>
      <c r="I17" s="192" t="s">
        <v>53</v>
      </c>
      <c r="J17" s="195" t="s">
        <v>1717</v>
      </c>
      <c r="K17" s="192" t="s">
        <v>54</v>
      </c>
      <c r="L17" s="192" t="s">
        <v>55</v>
      </c>
      <c r="M17" s="146" t="s">
        <v>5</v>
      </c>
      <c r="N17" s="192" t="s">
        <v>98</v>
      </c>
      <c r="O17" s="192"/>
      <c r="P17" s="192"/>
      <c r="Q17" s="145"/>
      <c r="R17" s="145">
        <v>46029</v>
      </c>
      <c r="S17" s="192"/>
    </row>
    <row r="18" spans="1:19" ht="71.400000000000006" customHeight="1" x14ac:dyDescent="0.25">
      <c r="A18" s="192" t="str">
        <f t="shared" si="2"/>
        <v>INC20260106017</v>
      </c>
      <c r="B18" s="199">
        <v>46028.683333333298</v>
      </c>
      <c r="C18" s="192" t="s">
        <v>37</v>
      </c>
      <c r="D18" s="194" t="s">
        <v>49</v>
      </c>
      <c r="E18" s="192" t="s">
        <v>50</v>
      </c>
      <c r="F18" s="192" t="s">
        <v>40</v>
      </c>
      <c r="G18" s="192" t="s">
        <v>51</v>
      </c>
      <c r="H18" s="192" t="s">
        <v>92</v>
      </c>
      <c r="I18" s="192" t="s">
        <v>93</v>
      </c>
      <c r="J18" s="195" t="s">
        <v>1718</v>
      </c>
      <c r="K18" s="192" t="s">
        <v>54</v>
      </c>
      <c r="L18" s="192" t="s">
        <v>55</v>
      </c>
      <c r="M18" s="146" t="s">
        <v>5</v>
      </c>
      <c r="N18" s="192" t="s">
        <v>100</v>
      </c>
      <c r="O18" s="192" t="s">
        <v>95</v>
      </c>
      <c r="P18" s="192" t="s">
        <v>96</v>
      </c>
      <c r="Q18" s="145">
        <v>46031</v>
      </c>
      <c r="R18" s="145">
        <v>46029</v>
      </c>
      <c r="S18" s="192"/>
    </row>
    <row r="19" spans="1:19" ht="69.599999999999994" customHeight="1" x14ac:dyDescent="0.25">
      <c r="A19" s="192" t="str">
        <f t="shared" si="2"/>
        <v>INC20260106018</v>
      </c>
      <c r="B19" s="199">
        <v>46028.748611111099</v>
      </c>
      <c r="C19" s="192" t="s">
        <v>37</v>
      </c>
      <c r="D19" s="194" t="s">
        <v>57</v>
      </c>
      <c r="E19" s="192" t="s">
        <v>69</v>
      </c>
      <c r="F19" s="192" t="s">
        <v>40</v>
      </c>
      <c r="G19" s="192" t="s">
        <v>60</v>
      </c>
      <c r="H19" s="192" t="s">
        <v>79</v>
      </c>
      <c r="I19" s="192" t="s">
        <v>84</v>
      </c>
      <c r="J19" s="121" t="s">
        <v>101</v>
      </c>
      <c r="K19" s="192" t="s">
        <v>63</v>
      </c>
      <c r="L19" s="192" t="s">
        <v>81</v>
      </c>
      <c r="M19" s="146" t="s">
        <v>5</v>
      </c>
      <c r="N19" s="148" t="s">
        <v>102</v>
      </c>
      <c r="O19" s="192" t="s">
        <v>86</v>
      </c>
      <c r="P19" s="192" t="s">
        <v>87</v>
      </c>
      <c r="Q19" s="145">
        <v>46029</v>
      </c>
      <c r="R19" s="145">
        <v>46029</v>
      </c>
      <c r="S19" s="192"/>
    </row>
    <row r="20" spans="1:19" ht="75" customHeight="1" x14ac:dyDescent="0.25">
      <c r="A20" s="192" t="str">
        <f t="shared" si="2"/>
        <v>INC20260106019</v>
      </c>
      <c r="B20" s="199">
        <v>46028.749305555597</v>
      </c>
      <c r="C20" s="192" t="s">
        <v>37</v>
      </c>
      <c r="D20" s="194" t="s">
        <v>57</v>
      </c>
      <c r="E20" s="192" t="s">
        <v>69</v>
      </c>
      <c r="F20" s="192" t="s">
        <v>40</v>
      </c>
      <c r="G20" s="192" t="s">
        <v>60</v>
      </c>
      <c r="H20" s="192" t="s">
        <v>79</v>
      </c>
      <c r="I20" s="192" t="s">
        <v>84</v>
      </c>
      <c r="J20" s="121" t="s">
        <v>103</v>
      </c>
      <c r="K20" s="192" t="s">
        <v>63</v>
      </c>
      <c r="L20" s="192" t="s">
        <v>81</v>
      </c>
      <c r="M20" s="146" t="s">
        <v>5</v>
      </c>
      <c r="N20" s="148" t="s">
        <v>104</v>
      </c>
      <c r="O20" s="192" t="s">
        <v>86</v>
      </c>
      <c r="P20" s="192" t="s">
        <v>87</v>
      </c>
      <c r="Q20" s="145">
        <v>46028</v>
      </c>
      <c r="R20" s="145">
        <v>46029</v>
      </c>
      <c r="S20" s="192"/>
    </row>
    <row r="21" spans="1:19" ht="75.599999999999994" customHeight="1" x14ac:dyDescent="0.25">
      <c r="A21" s="192" t="str">
        <f t="shared" si="2"/>
        <v>INC20260107020</v>
      </c>
      <c r="B21" s="199">
        <v>46029.351388888899</v>
      </c>
      <c r="C21" s="192" t="s">
        <v>37</v>
      </c>
      <c r="D21" s="194" t="s">
        <v>38</v>
      </c>
      <c r="E21" s="192" t="s">
        <v>39</v>
      </c>
      <c r="F21" s="192" t="s">
        <v>40</v>
      </c>
      <c r="G21" s="192" t="s">
        <v>41</v>
      </c>
      <c r="H21" s="192" t="s">
        <v>42</v>
      </c>
      <c r="I21" s="192" t="s">
        <v>43</v>
      </c>
      <c r="J21" s="195" t="s">
        <v>1719</v>
      </c>
      <c r="K21" s="192" t="s">
        <v>44</v>
      </c>
      <c r="L21" s="192" t="s">
        <v>45</v>
      </c>
      <c r="M21" s="143" t="s">
        <v>5</v>
      </c>
      <c r="N21" s="198" t="s">
        <v>105</v>
      </c>
      <c r="O21" s="192"/>
      <c r="P21" s="144" t="s">
        <v>47</v>
      </c>
      <c r="Q21" s="145">
        <v>46029</v>
      </c>
      <c r="R21" s="145">
        <v>46029</v>
      </c>
      <c r="S21" s="192"/>
    </row>
    <row r="22" spans="1:19" ht="71.400000000000006" customHeight="1" x14ac:dyDescent="0.25">
      <c r="A22" s="192" t="str">
        <f t="shared" si="2"/>
        <v>INC20260105021</v>
      </c>
      <c r="B22" s="150">
        <v>46027.359722222202</v>
      </c>
      <c r="C22" s="192" t="s">
        <v>77</v>
      </c>
      <c r="D22" s="194" t="s">
        <v>78</v>
      </c>
      <c r="E22" s="192" t="s">
        <v>69</v>
      </c>
      <c r="F22" s="192" t="s">
        <v>40</v>
      </c>
      <c r="G22" s="192" t="s">
        <v>60</v>
      </c>
      <c r="H22" s="192" t="s">
        <v>79</v>
      </c>
      <c r="I22" s="192" t="s">
        <v>84</v>
      </c>
      <c r="J22" s="121" t="s">
        <v>1720</v>
      </c>
      <c r="K22" s="192" t="s">
        <v>63</v>
      </c>
      <c r="L22" s="192" t="s">
        <v>81</v>
      </c>
      <c r="M22" s="146" t="s">
        <v>5</v>
      </c>
      <c r="N22" s="151" t="s">
        <v>106</v>
      </c>
      <c r="O22" s="192" t="s">
        <v>86</v>
      </c>
      <c r="P22" s="192" t="s">
        <v>87</v>
      </c>
      <c r="Q22" s="152">
        <v>46027.370833333298</v>
      </c>
      <c r="R22" s="145">
        <v>46029</v>
      </c>
      <c r="S22" s="192"/>
    </row>
    <row r="23" spans="1:19" ht="68.400000000000006" customHeight="1" x14ac:dyDescent="0.25">
      <c r="A23" s="192" t="str">
        <f t="shared" si="2"/>
        <v>INC20260105022</v>
      </c>
      <c r="B23" s="150">
        <v>46027.585416666698</v>
      </c>
      <c r="C23" s="192" t="s">
        <v>77</v>
      </c>
      <c r="D23" s="194" t="s">
        <v>78</v>
      </c>
      <c r="E23" s="192" t="s">
        <v>69</v>
      </c>
      <c r="F23" s="192" t="s">
        <v>40</v>
      </c>
      <c r="G23" s="192" t="s">
        <v>60</v>
      </c>
      <c r="H23" s="192" t="s">
        <v>79</v>
      </c>
      <c r="I23" s="192" t="s">
        <v>84</v>
      </c>
      <c r="J23" s="121" t="s">
        <v>1721</v>
      </c>
      <c r="K23" s="192" t="s">
        <v>107</v>
      </c>
      <c r="L23" s="192" t="s">
        <v>81</v>
      </c>
      <c r="M23" s="146" t="s">
        <v>5</v>
      </c>
      <c r="N23" s="151" t="s">
        <v>108</v>
      </c>
      <c r="O23" s="192" t="s">
        <v>86</v>
      </c>
      <c r="P23" s="192" t="s">
        <v>87</v>
      </c>
      <c r="Q23" s="152">
        <v>46027.627083333296</v>
      </c>
      <c r="R23" s="145">
        <v>46029</v>
      </c>
      <c r="S23" s="192"/>
    </row>
    <row r="24" spans="1:19" ht="79.8" customHeight="1" x14ac:dyDescent="0.25">
      <c r="A24" s="192" t="str">
        <f t="shared" si="2"/>
        <v>INC20260105023</v>
      </c>
      <c r="B24" s="150">
        <v>46027.3527777778</v>
      </c>
      <c r="C24" s="192" t="s">
        <v>77</v>
      </c>
      <c r="D24" s="194" t="s">
        <v>78</v>
      </c>
      <c r="E24" s="192" t="s">
        <v>109</v>
      </c>
      <c r="F24" s="192" t="s">
        <v>40</v>
      </c>
      <c r="G24" s="192" t="s">
        <v>60</v>
      </c>
      <c r="H24" s="192" t="s">
        <v>79</v>
      </c>
      <c r="I24" s="192" t="s">
        <v>80</v>
      </c>
      <c r="J24" s="121" t="s">
        <v>1722</v>
      </c>
      <c r="K24" s="192" t="s">
        <v>110</v>
      </c>
      <c r="L24" s="192" t="s">
        <v>81</v>
      </c>
      <c r="M24" s="146" t="s">
        <v>5</v>
      </c>
      <c r="N24" s="151" t="s">
        <v>111</v>
      </c>
      <c r="O24" s="197" t="s">
        <v>83</v>
      </c>
      <c r="P24" s="197" t="s">
        <v>1366</v>
      </c>
      <c r="Q24" s="152">
        <v>46027.409722222197</v>
      </c>
      <c r="R24" s="145">
        <v>46029</v>
      </c>
      <c r="S24" s="192"/>
    </row>
    <row r="25" spans="1:19" ht="85.2" customHeight="1" x14ac:dyDescent="0.25">
      <c r="A25" s="192" t="str">
        <f t="shared" si="2"/>
        <v>INC20260105024</v>
      </c>
      <c r="B25" s="150">
        <v>46027.4284722222</v>
      </c>
      <c r="C25" s="192" t="s">
        <v>77</v>
      </c>
      <c r="D25" s="194" t="s">
        <v>78</v>
      </c>
      <c r="E25" s="192" t="s">
        <v>109</v>
      </c>
      <c r="F25" s="192" t="s">
        <v>40</v>
      </c>
      <c r="G25" s="192" t="s">
        <v>60</v>
      </c>
      <c r="H25" s="192" t="s">
        <v>79</v>
      </c>
      <c r="I25" s="192" t="s">
        <v>80</v>
      </c>
      <c r="J25" s="121" t="s">
        <v>1723</v>
      </c>
      <c r="K25" s="192" t="s">
        <v>110</v>
      </c>
      <c r="L25" s="192" t="s">
        <v>81</v>
      </c>
      <c r="M25" s="146" t="s">
        <v>5</v>
      </c>
      <c r="N25" s="151" t="s">
        <v>112</v>
      </c>
      <c r="O25" s="197" t="s">
        <v>83</v>
      </c>
      <c r="P25" s="197" t="s">
        <v>1366</v>
      </c>
      <c r="Q25" s="152">
        <v>46027.642361111102</v>
      </c>
      <c r="R25" s="145">
        <v>46029</v>
      </c>
      <c r="S25" s="192"/>
    </row>
    <row r="26" spans="1:19" ht="72.599999999999994" customHeight="1" x14ac:dyDescent="0.25">
      <c r="A26" s="192" t="str">
        <f t="shared" si="2"/>
        <v>INC20260105025</v>
      </c>
      <c r="B26" s="150">
        <v>46027.497222222199</v>
      </c>
      <c r="C26" s="192" t="s">
        <v>77</v>
      </c>
      <c r="D26" s="194" t="s">
        <v>113</v>
      </c>
      <c r="E26" s="192" t="s">
        <v>50</v>
      </c>
      <c r="F26" s="192" t="s">
        <v>40</v>
      </c>
      <c r="G26" s="192" t="s">
        <v>51</v>
      </c>
      <c r="H26" s="192" t="s">
        <v>92</v>
      </c>
      <c r="I26" s="192" t="s">
        <v>93</v>
      </c>
      <c r="J26" s="195" t="s">
        <v>1724</v>
      </c>
      <c r="K26" s="192" t="s">
        <v>54</v>
      </c>
      <c r="L26" s="192" t="s">
        <v>55</v>
      </c>
      <c r="M26" s="146" t="s">
        <v>5</v>
      </c>
      <c r="N26" s="151" t="s">
        <v>114</v>
      </c>
      <c r="O26" s="192" t="s">
        <v>95</v>
      </c>
      <c r="P26" s="192" t="s">
        <v>96</v>
      </c>
      <c r="Q26" s="152">
        <v>46027.6118055556</v>
      </c>
      <c r="R26" s="145">
        <v>46029</v>
      </c>
      <c r="S26" s="192"/>
    </row>
    <row r="27" spans="1:19" ht="67.2" customHeight="1" x14ac:dyDescent="0.25">
      <c r="A27" s="192" t="str">
        <f t="shared" si="2"/>
        <v>INC20260105026</v>
      </c>
      <c r="B27" s="150">
        <v>46027.4284722222</v>
      </c>
      <c r="C27" s="192" t="s">
        <v>77</v>
      </c>
      <c r="D27" s="194" t="s">
        <v>115</v>
      </c>
      <c r="E27" s="192" t="s">
        <v>50</v>
      </c>
      <c r="F27" s="192" t="s">
        <v>40</v>
      </c>
      <c r="G27" s="192" t="s">
        <v>51</v>
      </c>
      <c r="H27" s="192" t="s">
        <v>92</v>
      </c>
      <c r="I27" s="192" t="s">
        <v>93</v>
      </c>
      <c r="J27" s="195" t="s">
        <v>1725</v>
      </c>
      <c r="K27" s="192" t="s">
        <v>54</v>
      </c>
      <c r="L27" s="192" t="s">
        <v>55</v>
      </c>
      <c r="M27" s="146" t="s">
        <v>5</v>
      </c>
      <c r="N27" s="151" t="s">
        <v>114</v>
      </c>
      <c r="O27" s="192" t="s">
        <v>95</v>
      </c>
      <c r="P27" s="192" t="s">
        <v>96</v>
      </c>
      <c r="Q27" s="152">
        <v>46027.563888888901</v>
      </c>
      <c r="R27" s="145">
        <v>46029</v>
      </c>
      <c r="S27" s="192"/>
    </row>
    <row r="28" spans="1:19" ht="81.599999999999994" customHeight="1" x14ac:dyDescent="0.25">
      <c r="A28" s="192" t="str">
        <f t="shared" si="2"/>
        <v>INC20260105027</v>
      </c>
      <c r="B28" s="150">
        <v>46027.837500000001</v>
      </c>
      <c r="C28" s="192" t="s">
        <v>77</v>
      </c>
      <c r="D28" s="194" t="s">
        <v>78</v>
      </c>
      <c r="E28" s="192" t="s">
        <v>116</v>
      </c>
      <c r="F28" s="192" t="s">
        <v>40</v>
      </c>
      <c r="G28" s="192" t="s">
        <v>60</v>
      </c>
      <c r="H28" s="192" t="s">
        <v>79</v>
      </c>
      <c r="I28" s="192" t="s">
        <v>84</v>
      </c>
      <c r="J28" s="121" t="s">
        <v>1726</v>
      </c>
      <c r="K28" s="192" t="s">
        <v>107</v>
      </c>
      <c r="L28" s="192" t="s">
        <v>81</v>
      </c>
      <c r="M28" s="146" t="s">
        <v>5</v>
      </c>
      <c r="N28" s="151" t="s">
        <v>117</v>
      </c>
      <c r="O28" s="192" t="s">
        <v>86</v>
      </c>
      <c r="P28" s="192" t="s">
        <v>87</v>
      </c>
      <c r="Q28" s="152">
        <v>46029.438888888901</v>
      </c>
      <c r="R28" s="145">
        <v>46029</v>
      </c>
      <c r="S28" s="192"/>
    </row>
    <row r="29" spans="1:19" ht="76.8" customHeight="1" x14ac:dyDescent="0.25">
      <c r="A29" s="192" t="str">
        <f t="shared" si="2"/>
        <v>INC20260105028</v>
      </c>
      <c r="B29" s="150">
        <v>46027.945833333302</v>
      </c>
      <c r="C29" s="192" t="s">
        <v>77</v>
      </c>
      <c r="D29" s="194" t="s">
        <v>78</v>
      </c>
      <c r="E29" s="192" t="s">
        <v>58</v>
      </c>
      <c r="F29" s="192" t="s">
        <v>40</v>
      </c>
      <c r="G29" s="192" t="s">
        <v>60</v>
      </c>
      <c r="H29" s="192" t="s">
        <v>79</v>
      </c>
      <c r="I29" s="192" t="s">
        <v>84</v>
      </c>
      <c r="J29" s="121" t="s">
        <v>1727</v>
      </c>
      <c r="K29" s="192" t="s">
        <v>63</v>
      </c>
      <c r="L29" s="192" t="s">
        <v>81</v>
      </c>
      <c r="M29" s="146" t="s">
        <v>5</v>
      </c>
      <c r="N29" s="151" t="s">
        <v>118</v>
      </c>
      <c r="O29" s="192" t="s">
        <v>86</v>
      </c>
      <c r="P29" s="192" t="s">
        <v>87</v>
      </c>
      <c r="Q29" s="152">
        <v>46027.948611111096</v>
      </c>
      <c r="R29" s="145">
        <v>46029</v>
      </c>
      <c r="S29" s="192"/>
    </row>
    <row r="30" spans="1:19" ht="78.599999999999994" customHeight="1" x14ac:dyDescent="0.25">
      <c r="A30" s="192" t="str">
        <f t="shared" si="2"/>
        <v>INC20260106029</v>
      </c>
      <c r="B30" s="150">
        <v>46028.059027777803</v>
      </c>
      <c r="C30" s="192" t="s">
        <v>77</v>
      </c>
      <c r="D30" s="194" t="s">
        <v>78</v>
      </c>
      <c r="E30" s="192" t="s">
        <v>58</v>
      </c>
      <c r="F30" s="192" t="s">
        <v>40</v>
      </c>
      <c r="G30" s="192" t="s">
        <v>60</v>
      </c>
      <c r="H30" s="192" t="s">
        <v>79</v>
      </c>
      <c r="I30" s="192" t="s">
        <v>84</v>
      </c>
      <c r="J30" s="121" t="s">
        <v>1728</v>
      </c>
      <c r="K30" s="192" t="s">
        <v>63</v>
      </c>
      <c r="L30" s="192" t="s">
        <v>81</v>
      </c>
      <c r="M30" s="146" t="s">
        <v>5</v>
      </c>
      <c r="N30" s="151" t="s">
        <v>119</v>
      </c>
      <c r="O30" s="192" t="s">
        <v>86</v>
      </c>
      <c r="P30" s="192" t="s">
        <v>87</v>
      </c>
      <c r="Q30" s="152">
        <v>46028.086111111101</v>
      </c>
      <c r="R30" s="145">
        <v>46029</v>
      </c>
      <c r="S30" s="192"/>
    </row>
    <row r="31" spans="1:19" ht="99" customHeight="1" x14ac:dyDescent="0.25">
      <c r="A31" s="192" t="str">
        <f t="shared" si="2"/>
        <v>INC20260106030</v>
      </c>
      <c r="B31" s="150">
        <v>46028.388888888898</v>
      </c>
      <c r="C31" s="192" t="s">
        <v>77</v>
      </c>
      <c r="D31" s="194" t="s">
        <v>78</v>
      </c>
      <c r="E31" s="192" t="s">
        <v>69</v>
      </c>
      <c r="F31" s="192" t="s">
        <v>40</v>
      </c>
      <c r="G31" s="192" t="s">
        <v>60</v>
      </c>
      <c r="H31" s="192" t="s">
        <v>79</v>
      </c>
      <c r="I31" s="192" t="s">
        <v>84</v>
      </c>
      <c r="J31" s="121" t="s">
        <v>1729</v>
      </c>
      <c r="K31" s="192" t="s">
        <v>63</v>
      </c>
      <c r="L31" s="192" t="s">
        <v>81</v>
      </c>
      <c r="M31" s="146" t="s">
        <v>5</v>
      </c>
      <c r="N31" s="151" t="s">
        <v>120</v>
      </c>
      <c r="O31" s="192" t="s">
        <v>86</v>
      </c>
      <c r="P31" s="192" t="s">
        <v>87</v>
      </c>
      <c r="Q31" s="152">
        <v>45663.390972222202</v>
      </c>
      <c r="R31" s="145">
        <v>46029</v>
      </c>
      <c r="S31" s="192"/>
    </row>
    <row r="32" spans="1:19" ht="75.599999999999994" customHeight="1" x14ac:dyDescent="0.25">
      <c r="A32" s="192" t="str">
        <f t="shared" si="2"/>
        <v>INC20260106031</v>
      </c>
      <c r="B32" s="150">
        <v>46028.413194444402</v>
      </c>
      <c r="C32" s="192" t="s">
        <v>77</v>
      </c>
      <c r="D32" s="194" t="s">
        <v>78</v>
      </c>
      <c r="E32" s="192" t="s">
        <v>121</v>
      </c>
      <c r="F32" s="192" t="s">
        <v>40</v>
      </c>
      <c r="G32" s="192" t="s">
        <v>60</v>
      </c>
      <c r="H32" s="192" t="s">
        <v>79</v>
      </c>
      <c r="I32" s="192" t="s">
        <v>80</v>
      </c>
      <c r="J32" s="121" t="s">
        <v>1730</v>
      </c>
      <c r="K32" s="192" t="s">
        <v>63</v>
      </c>
      <c r="L32" s="192" t="s">
        <v>81</v>
      </c>
      <c r="M32" s="146" t="s">
        <v>5</v>
      </c>
      <c r="N32" s="151" t="s">
        <v>122</v>
      </c>
      <c r="O32" s="197" t="s">
        <v>83</v>
      </c>
      <c r="P32" s="197" t="s">
        <v>1366</v>
      </c>
      <c r="Q32" s="152">
        <v>46028.469444444403</v>
      </c>
      <c r="R32" s="145">
        <v>46029</v>
      </c>
      <c r="S32" s="192"/>
    </row>
    <row r="33" spans="1:19" ht="85.2" customHeight="1" x14ac:dyDescent="0.25">
      <c r="A33" s="192" t="str">
        <f t="shared" si="2"/>
        <v>INC20260106032</v>
      </c>
      <c r="B33" s="150">
        <v>46028.452083333301</v>
      </c>
      <c r="C33" s="192" t="s">
        <v>77</v>
      </c>
      <c r="D33" s="194" t="s">
        <v>78</v>
      </c>
      <c r="E33" s="192" t="s">
        <v>109</v>
      </c>
      <c r="F33" s="192" t="s">
        <v>40</v>
      </c>
      <c r="G33" s="192" t="s">
        <v>60</v>
      </c>
      <c r="H33" s="192" t="s">
        <v>79</v>
      </c>
      <c r="I33" s="192" t="s">
        <v>80</v>
      </c>
      <c r="J33" s="121" t="s">
        <v>1731</v>
      </c>
      <c r="K33" s="192" t="s">
        <v>110</v>
      </c>
      <c r="L33" s="192" t="s">
        <v>81</v>
      </c>
      <c r="M33" s="146" t="s">
        <v>5</v>
      </c>
      <c r="N33" s="151" t="s">
        <v>123</v>
      </c>
      <c r="O33" s="197" t="s">
        <v>83</v>
      </c>
      <c r="P33" s="197" t="s">
        <v>1366</v>
      </c>
      <c r="Q33" s="152">
        <v>46028.561111111099</v>
      </c>
      <c r="R33" s="145">
        <v>46029</v>
      </c>
      <c r="S33" s="192"/>
    </row>
    <row r="34" spans="1:19" ht="77.400000000000006" customHeight="1" x14ac:dyDescent="0.25">
      <c r="A34" s="192" t="str">
        <f t="shared" si="2"/>
        <v>INC20260106033</v>
      </c>
      <c r="B34" s="150">
        <v>46028.558333333298</v>
      </c>
      <c r="C34" s="192" t="s">
        <v>77</v>
      </c>
      <c r="D34" s="194" t="s">
        <v>78</v>
      </c>
      <c r="E34" s="192" t="s">
        <v>69</v>
      </c>
      <c r="F34" s="192" t="s">
        <v>40</v>
      </c>
      <c r="G34" s="192" t="s">
        <v>60</v>
      </c>
      <c r="H34" s="192" t="s">
        <v>79</v>
      </c>
      <c r="I34" s="192" t="s">
        <v>84</v>
      </c>
      <c r="J34" s="121" t="s">
        <v>1732</v>
      </c>
      <c r="K34" s="192" t="s">
        <v>63</v>
      </c>
      <c r="L34" s="192" t="s">
        <v>81</v>
      </c>
      <c r="M34" s="146" t="s">
        <v>5</v>
      </c>
      <c r="N34" s="151" t="s">
        <v>124</v>
      </c>
      <c r="O34" s="192" t="s">
        <v>86</v>
      </c>
      <c r="P34" s="192" t="s">
        <v>87</v>
      </c>
      <c r="Q34" s="152">
        <v>46028.559722222199</v>
      </c>
      <c r="R34" s="145">
        <v>46029</v>
      </c>
      <c r="S34" s="192"/>
    </row>
    <row r="35" spans="1:19" ht="85.2" customHeight="1" x14ac:dyDescent="0.25">
      <c r="A35" s="192" t="str">
        <f t="shared" si="2"/>
        <v>INC20260106034</v>
      </c>
      <c r="B35" s="150">
        <v>46028.485416666699</v>
      </c>
      <c r="C35" s="192" t="s">
        <v>77</v>
      </c>
      <c r="D35" s="194" t="s">
        <v>78</v>
      </c>
      <c r="E35" s="192" t="s">
        <v>125</v>
      </c>
      <c r="F35" s="192" t="s">
        <v>40</v>
      </c>
      <c r="G35" s="192" t="s">
        <v>41</v>
      </c>
      <c r="H35" s="192" t="s">
        <v>79</v>
      </c>
      <c r="I35" s="192" t="s">
        <v>80</v>
      </c>
      <c r="J35" s="121" t="s">
        <v>1733</v>
      </c>
      <c r="K35" s="192" t="s">
        <v>44</v>
      </c>
      <c r="L35" s="192" t="s">
        <v>81</v>
      </c>
      <c r="M35" s="146" t="s">
        <v>5</v>
      </c>
      <c r="N35" s="151" t="s">
        <v>126</v>
      </c>
      <c r="O35" s="197" t="s">
        <v>83</v>
      </c>
      <c r="P35" s="197" t="s">
        <v>1366</v>
      </c>
      <c r="Q35" s="152">
        <v>46028.494444444397</v>
      </c>
      <c r="R35" s="145">
        <v>46029</v>
      </c>
      <c r="S35" s="192"/>
    </row>
    <row r="36" spans="1:19" ht="105.6" customHeight="1" x14ac:dyDescent="0.25">
      <c r="A36" s="192" t="str">
        <f t="shared" si="2"/>
        <v>INC20260106035</v>
      </c>
      <c r="B36" s="150">
        <v>46028.565277777801</v>
      </c>
      <c r="C36" s="192" t="s">
        <v>77</v>
      </c>
      <c r="D36" s="194" t="s">
        <v>91</v>
      </c>
      <c r="E36" s="192" t="s">
        <v>50</v>
      </c>
      <c r="F36" s="192" t="s">
        <v>40</v>
      </c>
      <c r="G36" s="192" t="s">
        <v>51</v>
      </c>
      <c r="H36" s="192" t="s">
        <v>92</v>
      </c>
      <c r="I36" s="192" t="s">
        <v>93</v>
      </c>
      <c r="J36" s="195" t="s">
        <v>1734</v>
      </c>
      <c r="K36" s="192" t="s">
        <v>54</v>
      </c>
      <c r="L36" s="192" t="s">
        <v>55</v>
      </c>
      <c r="M36" s="146" t="s">
        <v>5</v>
      </c>
      <c r="N36" s="151" t="s">
        <v>127</v>
      </c>
      <c r="O36" s="192" t="s">
        <v>95</v>
      </c>
      <c r="P36" s="192" t="s">
        <v>96</v>
      </c>
      <c r="Q36" s="152">
        <v>46028.579861111102</v>
      </c>
      <c r="R36" s="145">
        <v>46029</v>
      </c>
      <c r="S36" s="192"/>
    </row>
    <row r="37" spans="1:19" ht="82.8" customHeight="1" x14ac:dyDescent="0.25">
      <c r="A37" s="192" t="str">
        <f t="shared" si="2"/>
        <v>INC20260106036</v>
      </c>
      <c r="B37" s="150">
        <v>46028.775000000001</v>
      </c>
      <c r="C37" s="192" t="s">
        <v>77</v>
      </c>
      <c r="D37" s="194" t="s">
        <v>78</v>
      </c>
      <c r="E37" s="192" t="s">
        <v>69</v>
      </c>
      <c r="F37" s="192" t="s">
        <v>40</v>
      </c>
      <c r="G37" s="192" t="s">
        <v>60</v>
      </c>
      <c r="H37" s="192" t="s">
        <v>79</v>
      </c>
      <c r="I37" s="192" t="s">
        <v>84</v>
      </c>
      <c r="J37" s="121" t="s">
        <v>1735</v>
      </c>
      <c r="K37" s="192" t="s">
        <v>63</v>
      </c>
      <c r="L37" s="192" t="s">
        <v>81</v>
      </c>
      <c r="M37" s="146" t="s">
        <v>5</v>
      </c>
      <c r="N37" s="151" t="s">
        <v>128</v>
      </c>
      <c r="O37" s="192" t="s">
        <v>86</v>
      </c>
      <c r="P37" s="192" t="s">
        <v>87</v>
      </c>
      <c r="Q37" s="152">
        <v>46028.777083333298</v>
      </c>
      <c r="R37" s="145">
        <v>46029</v>
      </c>
      <c r="S37" s="192"/>
    </row>
    <row r="38" spans="1:19" ht="71.400000000000006" customHeight="1" x14ac:dyDescent="0.25">
      <c r="A38" s="192" t="str">
        <f t="shared" si="2"/>
        <v>INC20260107037</v>
      </c>
      <c r="B38" s="199">
        <v>46029.658333333296</v>
      </c>
      <c r="C38" s="192" t="s">
        <v>37</v>
      </c>
      <c r="D38" s="194" t="s">
        <v>129</v>
      </c>
      <c r="E38" s="192" t="s">
        <v>130</v>
      </c>
      <c r="F38" s="192" t="s">
        <v>40</v>
      </c>
      <c r="G38" s="192" t="s">
        <v>99</v>
      </c>
      <c r="H38" s="192" t="s">
        <v>92</v>
      </c>
      <c r="I38" s="192" t="s">
        <v>93</v>
      </c>
      <c r="J38" s="195" t="s">
        <v>1736</v>
      </c>
      <c r="K38" s="192" t="s">
        <v>54</v>
      </c>
      <c r="L38" s="192" t="s">
        <v>55</v>
      </c>
      <c r="M38" s="146" t="s">
        <v>5</v>
      </c>
      <c r="N38" s="151" t="s">
        <v>131</v>
      </c>
      <c r="O38" s="192" t="s">
        <v>95</v>
      </c>
      <c r="P38" s="192" t="s">
        <v>96</v>
      </c>
      <c r="Q38" s="145"/>
      <c r="R38" s="145">
        <v>46037</v>
      </c>
      <c r="S38" s="192"/>
    </row>
    <row r="39" spans="1:19" ht="86.4" customHeight="1" x14ac:dyDescent="0.25">
      <c r="A39" s="192" t="str">
        <f t="shared" si="2"/>
        <v>INC20260107038</v>
      </c>
      <c r="B39" s="199">
        <v>46029.671527777798</v>
      </c>
      <c r="C39" s="192" t="s">
        <v>37</v>
      </c>
      <c r="D39" s="194" t="s">
        <v>49</v>
      </c>
      <c r="E39" s="192" t="s">
        <v>50</v>
      </c>
      <c r="F39" s="192" t="s">
        <v>40</v>
      </c>
      <c r="G39" s="192" t="s">
        <v>51</v>
      </c>
      <c r="H39" s="192" t="s">
        <v>52</v>
      </c>
      <c r="I39" s="192" t="s">
        <v>53</v>
      </c>
      <c r="J39" s="195" t="s">
        <v>1737</v>
      </c>
      <c r="K39" s="192" t="s">
        <v>54</v>
      </c>
      <c r="L39" s="192" t="s">
        <v>55</v>
      </c>
      <c r="M39" s="146" t="s">
        <v>5</v>
      </c>
      <c r="N39" s="192" t="s">
        <v>132</v>
      </c>
      <c r="O39" s="192"/>
      <c r="P39" s="192"/>
      <c r="Q39" s="145">
        <v>46029</v>
      </c>
      <c r="R39" s="145">
        <v>46037</v>
      </c>
      <c r="S39" s="192"/>
    </row>
    <row r="40" spans="1:19" ht="66.599999999999994" customHeight="1" x14ac:dyDescent="0.25">
      <c r="A40" s="192" t="str">
        <f t="shared" si="2"/>
        <v>INC20260107039</v>
      </c>
      <c r="B40" s="199">
        <v>46029.690972222197</v>
      </c>
      <c r="C40" s="192" t="s">
        <v>37</v>
      </c>
      <c r="D40" s="194" t="s">
        <v>133</v>
      </c>
      <c r="E40" s="192" t="s">
        <v>134</v>
      </c>
      <c r="F40" s="192" t="s">
        <v>40</v>
      </c>
      <c r="G40" s="192" t="s">
        <v>60</v>
      </c>
      <c r="H40" s="192" t="s">
        <v>79</v>
      </c>
      <c r="I40" s="192" t="s">
        <v>84</v>
      </c>
      <c r="J40" s="121" t="s">
        <v>1738</v>
      </c>
      <c r="K40" s="192" t="s">
        <v>135</v>
      </c>
      <c r="L40" s="192" t="s">
        <v>81</v>
      </c>
      <c r="M40" s="146" t="s">
        <v>5</v>
      </c>
      <c r="N40" s="151" t="s">
        <v>136</v>
      </c>
      <c r="O40" s="192" t="s">
        <v>86</v>
      </c>
      <c r="P40" s="192" t="s">
        <v>87</v>
      </c>
      <c r="Q40" s="145">
        <v>46029</v>
      </c>
      <c r="R40" s="145">
        <v>46037</v>
      </c>
      <c r="S40" s="192"/>
    </row>
    <row r="41" spans="1:19" ht="86.4" customHeight="1" x14ac:dyDescent="0.25">
      <c r="A41" s="192" t="str">
        <f t="shared" si="2"/>
        <v>INC20260107040</v>
      </c>
      <c r="B41" s="199">
        <v>46029.820138888899</v>
      </c>
      <c r="C41" s="192" t="s">
        <v>37</v>
      </c>
      <c r="D41" s="194" t="s">
        <v>137</v>
      </c>
      <c r="E41" s="192" t="s">
        <v>69</v>
      </c>
      <c r="F41" s="192" t="s">
        <v>59</v>
      </c>
      <c r="G41" s="192" t="s">
        <v>60</v>
      </c>
      <c r="H41" s="192" t="s">
        <v>61</v>
      </c>
      <c r="I41" s="192" t="s">
        <v>62</v>
      </c>
      <c r="J41" s="121" t="s">
        <v>1739</v>
      </c>
      <c r="K41" s="192" t="s">
        <v>63</v>
      </c>
      <c r="L41" s="192" t="s">
        <v>64</v>
      </c>
      <c r="M41" s="143" t="s">
        <v>5</v>
      </c>
      <c r="N41" s="192" t="s">
        <v>138</v>
      </c>
      <c r="O41" s="192" t="s">
        <v>66</v>
      </c>
      <c r="P41" s="192" t="s">
        <v>67</v>
      </c>
      <c r="Q41" s="145"/>
      <c r="R41" s="145">
        <v>46037</v>
      </c>
      <c r="S41" s="192"/>
    </row>
    <row r="42" spans="1:19" ht="80.400000000000006" customHeight="1" x14ac:dyDescent="0.25">
      <c r="A42" s="192" t="str">
        <f t="shared" si="2"/>
        <v>INC20260108041</v>
      </c>
      <c r="B42" s="199">
        <v>46030.349305555603</v>
      </c>
      <c r="C42" s="192" t="s">
        <v>37</v>
      </c>
      <c r="D42" s="194" t="s">
        <v>38</v>
      </c>
      <c r="E42" s="192" t="s">
        <v>39</v>
      </c>
      <c r="F42" s="192" t="s">
        <v>40</v>
      </c>
      <c r="G42" s="192" t="s">
        <v>41</v>
      </c>
      <c r="H42" s="192" t="s">
        <v>42</v>
      </c>
      <c r="I42" s="192" t="s">
        <v>43</v>
      </c>
      <c r="J42" s="195" t="s">
        <v>1740</v>
      </c>
      <c r="K42" s="192" t="s">
        <v>44</v>
      </c>
      <c r="L42" s="192" t="s">
        <v>45</v>
      </c>
      <c r="M42" s="143" t="s">
        <v>5</v>
      </c>
      <c r="N42" s="198" t="s">
        <v>139</v>
      </c>
      <c r="O42" s="192"/>
      <c r="P42" s="144" t="s">
        <v>47</v>
      </c>
      <c r="Q42" s="145">
        <v>46030</v>
      </c>
      <c r="R42" s="145">
        <v>46037</v>
      </c>
      <c r="S42" s="192"/>
    </row>
    <row r="43" spans="1:19" ht="70.8" customHeight="1" x14ac:dyDescent="0.25">
      <c r="A43" s="192" t="str">
        <f t="shared" si="2"/>
        <v>INC20260105042</v>
      </c>
      <c r="B43" s="199">
        <v>46027.6340277778</v>
      </c>
      <c r="C43" s="192" t="s">
        <v>37</v>
      </c>
      <c r="D43" s="194" t="s">
        <v>49</v>
      </c>
      <c r="E43" s="192" t="s">
        <v>50</v>
      </c>
      <c r="F43" s="192" t="s">
        <v>40</v>
      </c>
      <c r="G43" s="192" t="s">
        <v>51</v>
      </c>
      <c r="H43" s="192" t="s">
        <v>92</v>
      </c>
      <c r="I43" s="192" t="s">
        <v>93</v>
      </c>
      <c r="J43" s="195" t="s">
        <v>1741</v>
      </c>
      <c r="K43" s="192" t="s">
        <v>54</v>
      </c>
      <c r="L43" s="192" t="s">
        <v>55</v>
      </c>
      <c r="M43" s="146" t="s">
        <v>5</v>
      </c>
      <c r="N43" s="192" t="s">
        <v>140</v>
      </c>
      <c r="O43" s="192" t="s">
        <v>95</v>
      </c>
      <c r="P43" s="192" t="s">
        <v>96</v>
      </c>
      <c r="Q43" s="145">
        <v>46029</v>
      </c>
      <c r="R43" s="145">
        <v>46037</v>
      </c>
      <c r="S43" s="192"/>
    </row>
    <row r="44" spans="1:19" ht="75.599999999999994" customHeight="1" x14ac:dyDescent="0.25">
      <c r="A44" s="192" t="str">
        <f t="shared" si="2"/>
        <v>INC20260107043</v>
      </c>
      <c r="B44" s="193">
        <v>46029.758333333302</v>
      </c>
      <c r="C44" s="192" t="s">
        <v>77</v>
      </c>
      <c r="D44" s="194" t="s">
        <v>78</v>
      </c>
      <c r="E44" s="192" t="s">
        <v>69</v>
      </c>
      <c r="F44" s="192" t="s">
        <v>40</v>
      </c>
      <c r="G44" s="192" t="s">
        <v>60</v>
      </c>
      <c r="H44" s="192" t="s">
        <v>79</v>
      </c>
      <c r="I44" s="192" t="s">
        <v>84</v>
      </c>
      <c r="J44" s="121" t="s">
        <v>1742</v>
      </c>
      <c r="K44" s="192" t="s">
        <v>63</v>
      </c>
      <c r="L44" s="192" t="s">
        <v>81</v>
      </c>
      <c r="M44" s="146" t="s">
        <v>5</v>
      </c>
      <c r="N44" s="192" t="s">
        <v>141</v>
      </c>
      <c r="O44" s="192" t="s">
        <v>86</v>
      </c>
      <c r="P44" s="192" t="s">
        <v>87</v>
      </c>
      <c r="Q44" s="196">
        <v>46028.760416666701</v>
      </c>
      <c r="R44" s="145">
        <v>46037</v>
      </c>
      <c r="S44" s="192"/>
    </row>
    <row r="45" spans="1:19" ht="91.2" customHeight="1" x14ac:dyDescent="0.25">
      <c r="A45" s="192" t="str">
        <f t="shared" si="2"/>
        <v>INC20260107044</v>
      </c>
      <c r="B45" s="193">
        <v>46029.881944444402</v>
      </c>
      <c r="C45" s="192" t="s">
        <v>77</v>
      </c>
      <c r="D45" s="194" t="s">
        <v>78</v>
      </c>
      <c r="E45" s="192" t="s">
        <v>69</v>
      </c>
      <c r="F45" s="192" t="s">
        <v>40</v>
      </c>
      <c r="G45" s="192" t="s">
        <v>60</v>
      </c>
      <c r="H45" s="192" t="s">
        <v>79</v>
      </c>
      <c r="I45" s="192" t="s">
        <v>84</v>
      </c>
      <c r="J45" s="121" t="s">
        <v>1743</v>
      </c>
      <c r="K45" s="192" t="s">
        <v>63</v>
      </c>
      <c r="L45" s="192" t="s">
        <v>81</v>
      </c>
      <c r="M45" s="146" t="s">
        <v>5</v>
      </c>
      <c r="N45" s="192" t="s">
        <v>141</v>
      </c>
      <c r="O45" s="192" t="s">
        <v>86</v>
      </c>
      <c r="P45" s="192" t="s">
        <v>87</v>
      </c>
      <c r="Q45" s="196">
        <v>46028.885416666701</v>
      </c>
      <c r="R45" s="145">
        <v>46037</v>
      </c>
      <c r="S45" s="192"/>
    </row>
    <row r="46" spans="1:19" ht="80.400000000000006" customHeight="1" x14ac:dyDescent="0.25">
      <c r="A46" s="192" t="str">
        <f t="shared" si="2"/>
        <v>INC20260108045</v>
      </c>
      <c r="B46" s="199">
        <v>46030.647916666698</v>
      </c>
      <c r="C46" s="192" t="s">
        <v>37</v>
      </c>
      <c r="D46" s="194" t="s">
        <v>57</v>
      </c>
      <c r="E46" s="192" t="s">
        <v>142</v>
      </c>
      <c r="F46" s="192" t="s">
        <v>59</v>
      </c>
      <c r="G46" s="192" t="s">
        <v>60</v>
      </c>
      <c r="H46" s="192" t="s">
        <v>61</v>
      </c>
      <c r="I46" s="192" t="s">
        <v>62</v>
      </c>
      <c r="J46" s="121" t="s">
        <v>1744</v>
      </c>
      <c r="K46" s="192" t="s">
        <v>63</v>
      </c>
      <c r="L46" s="192" t="s">
        <v>64</v>
      </c>
      <c r="M46" s="143" t="s">
        <v>5</v>
      </c>
      <c r="N46" s="192" t="s">
        <v>143</v>
      </c>
      <c r="O46" s="192" t="s">
        <v>66</v>
      </c>
      <c r="P46" s="192" t="s">
        <v>67</v>
      </c>
      <c r="Q46" s="145"/>
      <c r="R46" s="145">
        <v>46037</v>
      </c>
      <c r="S46" s="192"/>
    </row>
    <row r="47" spans="1:19" ht="168.6" customHeight="1" x14ac:dyDescent="0.25">
      <c r="A47" s="192" t="str">
        <f t="shared" si="2"/>
        <v>INC20260108046</v>
      </c>
      <c r="B47" s="199">
        <v>46030.585416666698</v>
      </c>
      <c r="C47" s="192" t="s">
        <v>37</v>
      </c>
      <c r="D47" s="194" t="s">
        <v>144</v>
      </c>
      <c r="E47" s="192" t="s">
        <v>78</v>
      </c>
      <c r="F47" s="192" t="s">
        <v>40</v>
      </c>
      <c r="G47" s="192" t="s">
        <v>145</v>
      </c>
      <c r="H47" s="192" t="s">
        <v>42</v>
      </c>
      <c r="I47" s="192" t="s">
        <v>78</v>
      </c>
      <c r="J47" s="195" t="s">
        <v>1745</v>
      </c>
      <c r="K47" s="192" t="s">
        <v>78</v>
      </c>
      <c r="L47" s="192" t="s">
        <v>45</v>
      </c>
      <c r="M47" s="146" t="s">
        <v>5</v>
      </c>
      <c r="N47" s="192" t="s">
        <v>146</v>
      </c>
      <c r="O47" s="192"/>
      <c r="P47" s="192"/>
      <c r="Q47" s="145">
        <v>46045</v>
      </c>
      <c r="R47" s="145">
        <v>46037</v>
      </c>
      <c r="S47" s="192"/>
    </row>
    <row r="48" spans="1:19" ht="127.2" customHeight="1" x14ac:dyDescent="0.25">
      <c r="A48" s="192" t="str">
        <f t="shared" si="2"/>
        <v>INC20260108047</v>
      </c>
      <c r="B48" s="199">
        <v>46030.750694444403</v>
      </c>
      <c r="C48" s="192" t="s">
        <v>37</v>
      </c>
      <c r="D48" s="194" t="s">
        <v>147</v>
      </c>
      <c r="E48" s="192" t="s">
        <v>58</v>
      </c>
      <c r="F48" s="192" t="s">
        <v>59</v>
      </c>
      <c r="G48" s="192" t="s">
        <v>60</v>
      </c>
      <c r="H48" s="192" t="s">
        <v>61</v>
      </c>
      <c r="I48" s="192" t="s">
        <v>62</v>
      </c>
      <c r="J48" s="121" t="s">
        <v>1746</v>
      </c>
      <c r="K48" s="192" t="s">
        <v>107</v>
      </c>
      <c r="L48" s="192" t="s">
        <v>64</v>
      </c>
      <c r="M48" s="143" t="s">
        <v>5</v>
      </c>
      <c r="N48" s="192" t="s">
        <v>148</v>
      </c>
      <c r="O48" s="192" t="s">
        <v>66</v>
      </c>
      <c r="P48" s="192" t="s">
        <v>67</v>
      </c>
      <c r="Q48" s="145">
        <v>46041</v>
      </c>
      <c r="R48" s="145">
        <v>46037</v>
      </c>
      <c r="S48" s="192"/>
    </row>
    <row r="49" spans="1:19" ht="99" customHeight="1" x14ac:dyDescent="0.25">
      <c r="A49" s="192" t="str">
        <f t="shared" si="2"/>
        <v>INC20260109048</v>
      </c>
      <c r="B49" s="199">
        <v>46031.356249999997</v>
      </c>
      <c r="C49" s="192" t="s">
        <v>37</v>
      </c>
      <c r="D49" s="194" t="s">
        <v>38</v>
      </c>
      <c r="E49" s="192" t="s">
        <v>39</v>
      </c>
      <c r="F49" s="192" t="s">
        <v>40</v>
      </c>
      <c r="G49" s="192" t="s">
        <v>41</v>
      </c>
      <c r="H49" s="192" t="s">
        <v>42</v>
      </c>
      <c r="I49" s="192" t="s">
        <v>43</v>
      </c>
      <c r="J49" s="195" t="s">
        <v>1747</v>
      </c>
      <c r="K49" s="192" t="s">
        <v>44</v>
      </c>
      <c r="L49" s="192" t="s">
        <v>45</v>
      </c>
      <c r="M49" s="143" t="s">
        <v>5</v>
      </c>
      <c r="N49" s="198" t="s">
        <v>149</v>
      </c>
      <c r="O49" s="192"/>
      <c r="P49" s="144" t="s">
        <v>47</v>
      </c>
      <c r="Q49" s="145">
        <v>46034</v>
      </c>
      <c r="R49" s="145">
        <v>46037</v>
      </c>
      <c r="S49" s="192"/>
    </row>
    <row r="50" spans="1:19" ht="79.2" customHeight="1" x14ac:dyDescent="0.25">
      <c r="A50" s="192" t="str">
        <f t="shared" si="2"/>
        <v>INC20260108049</v>
      </c>
      <c r="B50" s="193">
        <v>46030.658333333296</v>
      </c>
      <c r="C50" s="192" t="s">
        <v>77</v>
      </c>
      <c r="D50" s="194" t="s">
        <v>78</v>
      </c>
      <c r="E50" s="192" t="s">
        <v>69</v>
      </c>
      <c r="F50" s="192" t="s">
        <v>40</v>
      </c>
      <c r="G50" s="192" t="s">
        <v>60</v>
      </c>
      <c r="H50" s="192" t="s">
        <v>79</v>
      </c>
      <c r="I50" s="192" t="s">
        <v>84</v>
      </c>
      <c r="J50" s="121" t="s">
        <v>1748</v>
      </c>
      <c r="K50" s="192" t="s">
        <v>63</v>
      </c>
      <c r="L50" s="192" t="s">
        <v>81</v>
      </c>
      <c r="M50" s="146" t="s">
        <v>5</v>
      </c>
      <c r="N50" s="192" t="s">
        <v>150</v>
      </c>
      <c r="O50" s="192" t="s">
        <v>86</v>
      </c>
      <c r="P50" s="192" t="s">
        <v>87</v>
      </c>
      <c r="Q50" s="196">
        <v>46030.661111111098</v>
      </c>
      <c r="R50" s="145">
        <v>46037</v>
      </c>
      <c r="S50" s="192"/>
    </row>
    <row r="51" spans="1:19" ht="81.599999999999994" customHeight="1" x14ac:dyDescent="0.25">
      <c r="A51" s="192" t="str">
        <f t="shared" si="2"/>
        <v>INC20260108050</v>
      </c>
      <c r="B51" s="193">
        <v>46030.671527777798</v>
      </c>
      <c r="C51" s="192" t="s">
        <v>77</v>
      </c>
      <c r="D51" s="194" t="s">
        <v>78</v>
      </c>
      <c r="E51" s="192" t="s">
        <v>134</v>
      </c>
      <c r="F51" s="192" t="s">
        <v>40</v>
      </c>
      <c r="G51" s="192" t="s">
        <v>60</v>
      </c>
      <c r="H51" s="192" t="s">
        <v>79</v>
      </c>
      <c r="I51" s="192" t="s">
        <v>84</v>
      </c>
      <c r="J51" s="121" t="s">
        <v>1749</v>
      </c>
      <c r="K51" s="192" t="s">
        <v>151</v>
      </c>
      <c r="L51" s="192" t="s">
        <v>81</v>
      </c>
      <c r="M51" s="146" t="s">
        <v>5</v>
      </c>
      <c r="N51" s="192" t="s">
        <v>152</v>
      </c>
      <c r="O51" s="192" t="s">
        <v>86</v>
      </c>
      <c r="P51" s="192" t="s">
        <v>87</v>
      </c>
      <c r="Q51" s="196">
        <v>46030.675000000003</v>
      </c>
      <c r="R51" s="145">
        <v>46037</v>
      </c>
      <c r="S51" s="192"/>
    </row>
    <row r="52" spans="1:19" ht="76.8" customHeight="1" x14ac:dyDescent="0.25">
      <c r="A52" s="192" t="str">
        <f t="shared" si="2"/>
        <v>INC20260108051</v>
      </c>
      <c r="B52" s="193">
        <v>46030.703472222202</v>
      </c>
      <c r="C52" s="192" t="s">
        <v>77</v>
      </c>
      <c r="D52" s="194" t="s">
        <v>78</v>
      </c>
      <c r="E52" s="192" t="s">
        <v>58</v>
      </c>
      <c r="F52" s="192" t="s">
        <v>40</v>
      </c>
      <c r="G52" s="192" t="s">
        <v>60</v>
      </c>
      <c r="H52" s="192" t="s">
        <v>79</v>
      </c>
      <c r="I52" s="192" t="s">
        <v>80</v>
      </c>
      <c r="J52" s="121" t="s">
        <v>1750</v>
      </c>
      <c r="K52" s="192" t="s">
        <v>63</v>
      </c>
      <c r="L52" s="192" t="s">
        <v>81</v>
      </c>
      <c r="M52" s="146" t="s">
        <v>5</v>
      </c>
      <c r="N52" s="192" t="s">
        <v>153</v>
      </c>
      <c r="O52" s="197" t="s">
        <v>83</v>
      </c>
      <c r="P52" s="197" t="s">
        <v>1366</v>
      </c>
      <c r="Q52" s="145">
        <v>46031</v>
      </c>
      <c r="R52" s="145">
        <v>46037</v>
      </c>
      <c r="S52" s="192"/>
    </row>
    <row r="53" spans="1:19" ht="82.8" customHeight="1" x14ac:dyDescent="0.25">
      <c r="A53" s="192" t="str">
        <f t="shared" si="2"/>
        <v>INC20260108052</v>
      </c>
      <c r="B53" s="193">
        <v>46030.921527777798</v>
      </c>
      <c r="C53" s="192" t="s">
        <v>77</v>
      </c>
      <c r="D53" s="194" t="s">
        <v>78</v>
      </c>
      <c r="E53" s="192" t="s">
        <v>58</v>
      </c>
      <c r="F53" s="192" t="s">
        <v>40</v>
      </c>
      <c r="G53" s="192" t="s">
        <v>60</v>
      </c>
      <c r="H53" s="192" t="s">
        <v>79</v>
      </c>
      <c r="I53" s="192" t="s">
        <v>84</v>
      </c>
      <c r="J53" s="121" t="s">
        <v>1751</v>
      </c>
      <c r="K53" s="192" t="s">
        <v>63</v>
      </c>
      <c r="L53" s="192" t="s">
        <v>81</v>
      </c>
      <c r="M53" s="146" t="s">
        <v>5</v>
      </c>
      <c r="N53" s="192" t="s">
        <v>154</v>
      </c>
      <c r="O53" s="192" t="s">
        <v>86</v>
      </c>
      <c r="P53" s="192" t="s">
        <v>87</v>
      </c>
      <c r="Q53" s="196">
        <v>46030.925694444399</v>
      </c>
      <c r="R53" s="145">
        <v>46037</v>
      </c>
      <c r="S53" s="192"/>
    </row>
    <row r="54" spans="1:19" ht="63.6" customHeight="1" x14ac:dyDescent="0.25">
      <c r="A54" s="192" t="str">
        <f t="shared" si="2"/>
        <v>INC20260109053</v>
      </c>
      <c r="B54" s="199">
        <v>46031.680555555598</v>
      </c>
      <c r="C54" s="192" t="s">
        <v>37</v>
      </c>
      <c r="D54" s="194" t="s">
        <v>49</v>
      </c>
      <c r="E54" s="192" t="s">
        <v>50</v>
      </c>
      <c r="F54" s="192" t="s">
        <v>40</v>
      </c>
      <c r="G54" s="192" t="s">
        <v>51</v>
      </c>
      <c r="H54" s="192" t="s">
        <v>52</v>
      </c>
      <c r="I54" s="192" t="s">
        <v>53</v>
      </c>
      <c r="J54" s="195" t="s">
        <v>1752</v>
      </c>
      <c r="K54" s="192" t="s">
        <v>54</v>
      </c>
      <c r="L54" s="192" t="s">
        <v>55</v>
      </c>
      <c r="M54" s="146" t="s">
        <v>5</v>
      </c>
      <c r="N54" s="192" t="s">
        <v>155</v>
      </c>
      <c r="O54" s="192"/>
      <c r="P54" s="192"/>
      <c r="Q54" s="145"/>
      <c r="R54" s="145">
        <v>46037</v>
      </c>
      <c r="S54" s="192"/>
    </row>
    <row r="55" spans="1:19" ht="104.4" customHeight="1" x14ac:dyDescent="0.25">
      <c r="A55" s="192" t="str">
        <f t="shared" si="2"/>
        <v>INC20260112054</v>
      </c>
      <c r="B55" s="199">
        <v>46034.295138888898</v>
      </c>
      <c r="C55" s="192" t="s">
        <v>37</v>
      </c>
      <c r="D55" s="194" t="s">
        <v>38</v>
      </c>
      <c r="E55" s="192" t="s">
        <v>39</v>
      </c>
      <c r="F55" s="192" t="s">
        <v>40</v>
      </c>
      <c r="G55" s="192" t="s">
        <v>41</v>
      </c>
      <c r="H55" s="192" t="s">
        <v>42</v>
      </c>
      <c r="I55" s="192" t="s">
        <v>43</v>
      </c>
      <c r="J55" s="195" t="s">
        <v>1753</v>
      </c>
      <c r="K55" s="192" t="s">
        <v>44</v>
      </c>
      <c r="L55" s="192" t="s">
        <v>45</v>
      </c>
      <c r="M55" s="143" t="s">
        <v>5</v>
      </c>
      <c r="N55" s="198" t="s">
        <v>156</v>
      </c>
      <c r="O55" s="192"/>
      <c r="P55" s="144" t="s">
        <v>47</v>
      </c>
      <c r="Q55" s="145">
        <v>46034</v>
      </c>
      <c r="R55" s="145">
        <v>46037</v>
      </c>
      <c r="S55" s="192"/>
    </row>
    <row r="56" spans="1:19" ht="95.4" customHeight="1" x14ac:dyDescent="0.25">
      <c r="A56" s="192" t="str">
        <f t="shared" si="2"/>
        <v>INC20260110055</v>
      </c>
      <c r="B56" s="153">
        <v>46032.941666666702</v>
      </c>
      <c r="C56" s="192" t="s">
        <v>77</v>
      </c>
      <c r="D56" s="194" t="s">
        <v>78</v>
      </c>
      <c r="E56" s="192" t="s">
        <v>69</v>
      </c>
      <c r="F56" s="192" t="s">
        <v>40</v>
      </c>
      <c r="G56" s="192" t="s">
        <v>60</v>
      </c>
      <c r="H56" s="192" t="s">
        <v>79</v>
      </c>
      <c r="I56" s="192" t="s">
        <v>80</v>
      </c>
      <c r="J56" s="121" t="s">
        <v>1754</v>
      </c>
      <c r="K56" s="192" t="s">
        <v>110</v>
      </c>
      <c r="L56" s="192" t="s">
        <v>81</v>
      </c>
      <c r="M56" s="146" t="s">
        <v>5</v>
      </c>
      <c r="N56" s="154" t="s">
        <v>157</v>
      </c>
      <c r="O56" s="197" t="s">
        <v>83</v>
      </c>
      <c r="P56" s="197" t="s">
        <v>1366</v>
      </c>
      <c r="Q56" s="145">
        <v>46034</v>
      </c>
      <c r="R56" s="145">
        <v>46037</v>
      </c>
      <c r="S56" s="192"/>
    </row>
    <row r="57" spans="1:19" ht="69.599999999999994" customHeight="1" x14ac:dyDescent="0.25">
      <c r="A57" s="192" t="str">
        <f t="shared" si="2"/>
        <v>INC20260110056</v>
      </c>
      <c r="B57" s="153">
        <v>46032.565972222197</v>
      </c>
      <c r="C57" s="192" t="s">
        <v>77</v>
      </c>
      <c r="D57" s="194" t="s">
        <v>78</v>
      </c>
      <c r="E57" s="192" t="s">
        <v>121</v>
      </c>
      <c r="F57" s="192" t="s">
        <v>40</v>
      </c>
      <c r="G57" s="192" t="s">
        <v>60</v>
      </c>
      <c r="H57" s="192" t="s">
        <v>79</v>
      </c>
      <c r="I57" s="192" t="s">
        <v>80</v>
      </c>
      <c r="J57" s="121" t="s">
        <v>1755</v>
      </c>
      <c r="K57" s="192" t="s">
        <v>63</v>
      </c>
      <c r="L57" s="192" t="s">
        <v>81</v>
      </c>
      <c r="M57" s="146" t="s">
        <v>5</v>
      </c>
      <c r="N57" s="154" t="s">
        <v>158</v>
      </c>
      <c r="O57" s="197" t="s">
        <v>83</v>
      </c>
      <c r="P57" s="197" t="s">
        <v>1366</v>
      </c>
      <c r="Q57" s="155">
        <v>46032.641666666699</v>
      </c>
      <c r="R57" s="145">
        <v>46037</v>
      </c>
      <c r="S57" s="192"/>
    </row>
    <row r="58" spans="1:19" ht="79.2" customHeight="1" x14ac:dyDescent="0.25">
      <c r="A58" s="192" t="str">
        <f t="shared" si="2"/>
        <v>INC20260109057</v>
      </c>
      <c r="B58" s="153">
        <v>46031.311111111099</v>
      </c>
      <c r="C58" s="192" t="s">
        <v>77</v>
      </c>
      <c r="D58" s="194" t="s">
        <v>78</v>
      </c>
      <c r="E58" s="192" t="s">
        <v>69</v>
      </c>
      <c r="F58" s="192" t="s">
        <v>40</v>
      </c>
      <c r="G58" s="192" t="s">
        <v>60</v>
      </c>
      <c r="H58" s="192" t="s">
        <v>79</v>
      </c>
      <c r="I58" s="192" t="s">
        <v>84</v>
      </c>
      <c r="J58" s="121" t="s">
        <v>1756</v>
      </c>
      <c r="K58" s="192" t="s">
        <v>110</v>
      </c>
      <c r="L58" s="192" t="s">
        <v>81</v>
      </c>
      <c r="M58" s="146" t="s">
        <v>5</v>
      </c>
      <c r="N58" s="154" t="s">
        <v>159</v>
      </c>
      <c r="O58" s="192" t="s">
        <v>86</v>
      </c>
      <c r="P58" s="192" t="s">
        <v>87</v>
      </c>
      <c r="Q58" s="155">
        <v>46031.3256944444</v>
      </c>
      <c r="R58" s="145">
        <v>46037</v>
      </c>
      <c r="S58" s="192"/>
    </row>
    <row r="59" spans="1:19" ht="87" customHeight="1" x14ac:dyDescent="0.25">
      <c r="A59" s="192" t="str">
        <f t="shared" si="2"/>
        <v>INC20260109058</v>
      </c>
      <c r="B59" s="153">
        <v>46031.510416666701</v>
      </c>
      <c r="C59" s="192" t="s">
        <v>77</v>
      </c>
      <c r="D59" s="194" t="s">
        <v>78</v>
      </c>
      <c r="E59" s="192" t="s">
        <v>74</v>
      </c>
      <c r="F59" s="192" t="s">
        <v>40</v>
      </c>
      <c r="G59" s="192" t="s">
        <v>60</v>
      </c>
      <c r="H59" s="192" t="s">
        <v>79</v>
      </c>
      <c r="I59" s="192" t="s">
        <v>84</v>
      </c>
      <c r="J59" s="121" t="s">
        <v>1757</v>
      </c>
      <c r="K59" s="192" t="s">
        <v>63</v>
      </c>
      <c r="L59" s="192" t="s">
        <v>81</v>
      </c>
      <c r="M59" s="146" t="s">
        <v>5</v>
      </c>
      <c r="N59" s="154" t="s">
        <v>160</v>
      </c>
      <c r="O59" s="192" t="s">
        <v>86</v>
      </c>
      <c r="P59" s="192" t="s">
        <v>87</v>
      </c>
      <c r="Q59" s="155">
        <v>46031.558333333298</v>
      </c>
      <c r="R59" s="145">
        <v>46037</v>
      </c>
      <c r="S59" s="192"/>
    </row>
    <row r="60" spans="1:19" ht="81.599999999999994" customHeight="1" x14ac:dyDescent="0.25">
      <c r="A60" s="192" t="str">
        <f t="shared" si="2"/>
        <v>INC20260109059</v>
      </c>
      <c r="B60" s="153">
        <v>46031.671527777798</v>
      </c>
      <c r="C60" s="192" t="s">
        <v>77</v>
      </c>
      <c r="D60" s="194" t="s">
        <v>78</v>
      </c>
      <c r="E60" s="192" t="s">
        <v>69</v>
      </c>
      <c r="F60" s="192" t="s">
        <v>40</v>
      </c>
      <c r="G60" s="192" t="s">
        <v>60</v>
      </c>
      <c r="H60" s="192" t="s">
        <v>79</v>
      </c>
      <c r="I60" s="192" t="s">
        <v>84</v>
      </c>
      <c r="J60" s="121" t="s">
        <v>1758</v>
      </c>
      <c r="K60" s="192" t="s">
        <v>63</v>
      </c>
      <c r="L60" s="192" t="s">
        <v>81</v>
      </c>
      <c r="M60" s="146" t="s">
        <v>5</v>
      </c>
      <c r="N60" s="154" t="s">
        <v>161</v>
      </c>
      <c r="O60" s="192" t="s">
        <v>86</v>
      </c>
      <c r="P60" s="192" t="s">
        <v>87</v>
      </c>
      <c r="Q60" s="155">
        <v>46031.6743055556</v>
      </c>
      <c r="R60" s="145">
        <v>46037</v>
      </c>
      <c r="S60" s="192"/>
    </row>
    <row r="61" spans="1:19" ht="94.8" customHeight="1" x14ac:dyDescent="0.25">
      <c r="A61" s="192" t="str">
        <f t="shared" si="2"/>
        <v>INC20260109060</v>
      </c>
      <c r="B61" s="153">
        <v>46031.798611111102</v>
      </c>
      <c r="C61" s="192" t="s">
        <v>77</v>
      </c>
      <c r="D61" s="194" t="s">
        <v>78</v>
      </c>
      <c r="E61" s="192" t="s">
        <v>162</v>
      </c>
      <c r="F61" s="192" t="s">
        <v>40</v>
      </c>
      <c r="G61" s="192" t="s">
        <v>60</v>
      </c>
      <c r="H61" s="192" t="s">
        <v>79</v>
      </c>
      <c r="I61" s="192" t="s">
        <v>84</v>
      </c>
      <c r="J61" s="121" t="s">
        <v>1759</v>
      </c>
      <c r="K61" s="192" t="s">
        <v>151</v>
      </c>
      <c r="L61" s="192" t="s">
        <v>81</v>
      </c>
      <c r="M61" s="146" t="s">
        <v>5</v>
      </c>
      <c r="N61" s="154" t="s">
        <v>163</v>
      </c>
      <c r="O61" s="192" t="s">
        <v>86</v>
      </c>
      <c r="P61" s="192" t="s">
        <v>87</v>
      </c>
      <c r="Q61" s="145">
        <v>46034</v>
      </c>
      <c r="R61" s="145">
        <v>46037</v>
      </c>
      <c r="S61" s="192"/>
    </row>
    <row r="62" spans="1:19" ht="73.2" customHeight="1" x14ac:dyDescent="0.25">
      <c r="A62" s="192" t="str">
        <f t="shared" si="2"/>
        <v>INC20260112061</v>
      </c>
      <c r="B62" s="199">
        <v>46034.421527777798</v>
      </c>
      <c r="C62" s="192" t="s">
        <v>37</v>
      </c>
      <c r="D62" s="194" t="s">
        <v>164</v>
      </c>
      <c r="E62" s="192" t="s">
        <v>50</v>
      </c>
      <c r="F62" s="192" t="s">
        <v>40</v>
      </c>
      <c r="G62" s="192" t="s">
        <v>51</v>
      </c>
      <c r="H62" s="192" t="s">
        <v>92</v>
      </c>
      <c r="I62" s="192" t="s">
        <v>93</v>
      </c>
      <c r="J62" s="195" t="s">
        <v>165</v>
      </c>
      <c r="K62" s="192" t="s">
        <v>54</v>
      </c>
      <c r="L62" s="192" t="s">
        <v>55</v>
      </c>
      <c r="M62" s="146" t="s">
        <v>5</v>
      </c>
      <c r="N62" s="192" t="s">
        <v>166</v>
      </c>
      <c r="O62" s="192" t="s">
        <v>95</v>
      </c>
      <c r="P62" s="192" t="s">
        <v>96</v>
      </c>
      <c r="Q62" s="145">
        <v>46034</v>
      </c>
      <c r="R62" s="145">
        <v>46037</v>
      </c>
      <c r="S62" s="192"/>
    </row>
    <row r="63" spans="1:19" ht="165" customHeight="1" x14ac:dyDescent="0.25">
      <c r="A63" s="192" t="str">
        <f t="shared" si="2"/>
        <v>INC20260112062</v>
      </c>
      <c r="B63" s="199">
        <v>46034.606249999997</v>
      </c>
      <c r="C63" s="192" t="s">
        <v>37</v>
      </c>
      <c r="D63" s="194" t="s">
        <v>57</v>
      </c>
      <c r="E63" s="192" t="s">
        <v>74</v>
      </c>
      <c r="F63" s="192" t="s">
        <v>59</v>
      </c>
      <c r="G63" s="192" t="s">
        <v>60</v>
      </c>
      <c r="H63" s="192" t="s">
        <v>61</v>
      </c>
      <c r="I63" s="192" t="s">
        <v>62</v>
      </c>
      <c r="J63" s="121" t="s">
        <v>1760</v>
      </c>
      <c r="K63" s="192" t="s">
        <v>63</v>
      </c>
      <c r="L63" s="192" t="s">
        <v>64</v>
      </c>
      <c r="M63" s="143" t="s">
        <v>5</v>
      </c>
      <c r="N63" s="192" t="s">
        <v>167</v>
      </c>
      <c r="O63" s="192" t="s">
        <v>66</v>
      </c>
      <c r="P63" s="192" t="s">
        <v>67</v>
      </c>
      <c r="Q63" s="145"/>
      <c r="R63" s="145">
        <v>46037</v>
      </c>
      <c r="S63" s="192"/>
    </row>
    <row r="64" spans="1:19" ht="75" customHeight="1" x14ac:dyDescent="0.25">
      <c r="A64" s="192" t="str">
        <f t="shared" si="2"/>
        <v>INC20260112063</v>
      </c>
      <c r="B64" s="199">
        <v>46034.658333333296</v>
      </c>
      <c r="C64" s="192" t="s">
        <v>37</v>
      </c>
      <c r="D64" s="194" t="s">
        <v>49</v>
      </c>
      <c r="E64" s="192" t="s">
        <v>50</v>
      </c>
      <c r="F64" s="192" t="s">
        <v>40</v>
      </c>
      <c r="G64" s="192" t="s">
        <v>51</v>
      </c>
      <c r="H64" s="192" t="s">
        <v>52</v>
      </c>
      <c r="I64" s="192" t="s">
        <v>53</v>
      </c>
      <c r="J64" s="195" t="s">
        <v>1761</v>
      </c>
      <c r="K64" s="192" t="s">
        <v>54</v>
      </c>
      <c r="L64" s="192" t="s">
        <v>55</v>
      </c>
      <c r="M64" s="146" t="s">
        <v>5</v>
      </c>
      <c r="N64" s="192" t="s">
        <v>168</v>
      </c>
      <c r="O64" s="192"/>
      <c r="P64" s="192"/>
      <c r="Q64" s="145">
        <v>46034</v>
      </c>
      <c r="R64" s="145">
        <v>46037</v>
      </c>
      <c r="S64" s="192"/>
    </row>
    <row r="65" spans="1:19" ht="62.4" customHeight="1" x14ac:dyDescent="0.25">
      <c r="A65" s="192" t="str">
        <f t="shared" si="2"/>
        <v>INC20260112064</v>
      </c>
      <c r="B65" s="199">
        <v>46034.703472222202</v>
      </c>
      <c r="C65" s="192" t="s">
        <v>37</v>
      </c>
      <c r="D65" s="194" t="s">
        <v>49</v>
      </c>
      <c r="E65" s="192" t="s">
        <v>50</v>
      </c>
      <c r="F65" s="192" t="s">
        <v>40</v>
      </c>
      <c r="G65" s="192" t="s">
        <v>51</v>
      </c>
      <c r="H65" s="192" t="s">
        <v>92</v>
      </c>
      <c r="I65" s="192" t="s">
        <v>93</v>
      </c>
      <c r="J65" s="195" t="s">
        <v>1762</v>
      </c>
      <c r="K65" s="192" t="s">
        <v>54</v>
      </c>
      <c r="L65" s="192" t="s">
        <v>55</v>
      </c>
      <c r="M65" s="146" t="s">
        <v>5</v>
      </c>
      <c r="N65" s="192" t="s">
        <v>169</v>
      </c>
      <c r="O65" s="192" t="s">
        <v>95</v>
      </c>
      <c r="P65" s="192" t="s">
        <v>96</v>
      </c>
      <c r="Q65" s="145">
        <v>46036</v>
      </c>
      <c r="R65" s="145">
        <v>46037</v>
      </c>
      <c r="S65" s="192"/>
    </row>
    <row r="66" spans="1:19" s="101" customFormat="1" ht="68.400000000000006" customHeight="1" x14ac:dyDescent="0.25">
      <c r="A66" s="197" t="str">
        <f t="shared" si="2"/>
        <v>INC20260112065</v>
      </c>
      <c r="B66" s="156">
        <v>46034.824999999997</v>
      </c>
      <c r="C66" s="197" t="s">
        <v>37</v>
      </c>
      <c r="D66" s="157" t="s">
        <v>170</v>
      </c>
      <c r="E66" s="197" t="s">
        <v>69</v>
      </c>
      <c r="F66" s="192" t="s">
        <v>40</v>
      </c>
      <c r="G66" s="192" t="s">
        <v>60</v>
      </c>
      <c r="H66" s="192" t="s">
        <v>79</v>
      </c>
      <c r="I66" s="192" t="s">
        <v>84</v>
      </c>
      <c r="J66" s="121" t="s">
        <v>1763</v>
      </c>
      <c r="K66" s="192" t="s">
        <v>107</v>
      </c>
      <c r="L66" s="192" t="s">
        <v>81</v>
      </c>
      <c r="M66" s="146" t="s">
        <v>5</v>
      </c>
      <c r="N66" s="154" t="s">
        <v>171</v>
      </c>
      <c r="O66" s="192" t="s">
        <v>86</v>
      </c>
      <c r="P66" s="192" t="s">
        <v>87</v>
      </c>
      <c r="Q66" s="158">
        <v>46034</v>
      </c>
      <c r="R66" s="145">
        <v>46037</v>
      </c>
      <c r="S66" s="197"/>
    </row>
    <row r="67" spans="1:19" ht="73.2" customHeight="1" x14ac:dyDescent="0.25">
      <c r="A67" s="197" t="str">
        <f t="shared" ref="A67:A110" si="3">"INC"&amp;TEXT(B67,"yyyymmdd")&amp;TEXT(ROW(A67)-1,"000")</f>
        <v>INC20260113066</v>
      </c>
      <c r="B67" s="199">
        <v>46035.345138888901</v>
      </c>
      <c r="C67" s="192" t="s">
        <v>37</v>
      </c>
      <c r="D67" s="194" t="s">
        <v>38</v>
      </c>
      <c r="E67" s="192" t="s">
        <v>39</v>
      </c>
      <c r="F67" s="192" t="s">
        <v>40</v>
      </c>
      <c r="G67" s="192" t="s">
        <v>41</v>
      </c>
      <c r="H67" s="192" t="s">
        <v>42</v>
      </c>
      <c r="I67" s="192" t="s">
        <v>43</v>
      </c>
      <c r="J67" s="195" t="s">
        <v>1764</v>
      </c>
      <c r="K67" s="192" t="s">
        <v>44</v>
      </c>
      <c r="L67" s="192" t="s">
        <v>45</v>
      </c>
      <c r="M67" s="143" t="s">
        <v>5</v>
      </c>
      <c r="N67" s="198" t="s">
        <v>172</v>
      </c>
      <c r="O67" s="192"/>
      <c r="P67" s="144" t="s">
        <v>47</v>
      </c>
      <c r="Q67" s="145">
        <v>46035</v>
      </c>
      <c r="R67" s="145">
        <v>46037</v>
      </c>
      <c r="S67" s="192"/>
    </row>
    <row r="68" spans="1:19" ht="73.2" customHeight="1" x14ac:dyDescent="0.25">
      <c r="A68" s="197" t="str">
        <f t="shared" si="3"/>
        <v>INC20260113067</v>
      </c>
      <c r="B68" s="199">
        <v>46035.436805555597</v>
      </c>
      <c r="C68" s="192" t="s">
        <v>37</v>
      </c>
      <c r="D68" s="194" t="s">
        <v>49</v>
      </c>
      <c r="E68" s="192" t="s">
        <v>50</v>
      </c>
      <c r="F68" s="192" t="s">
        <v>40</v>
      </c>
      <c r="G68" s="192" t="s">
        <v>51</v>
      </c>
      <c r="H68" s="192" t="s">
        <v>92</v>
      </c>
      <c r="I68" s="192" t="s">
        <v>93</v>
      </c>
      <c r="J68" s="195" t="s">
        <v>1765</v>
      </c>
      <c r="K68" s="192" t="s">
        <v>54</v>
      </c>
      <c r="L68" s="192" t="s">
        <v>55</v>
      </c>
      <c r="M68" s="146" t="s">
        <v>5</v>
      </c>
      <c r="N68" s="192" t="s">
        <v>173</v>
      </c>
      <c r="O68" s="192" t="s">
        <v>95</v>
      </c>
      <c r="P68" s="192" t="s">
        <v>96</v>
      </c>
      <c r="Q68" s="145">
        <v>46036</v>
      </c>
      <c r="R68" s="145">
        <v>46037</v>
      </c>
      <c r="S68" s="192"/>
    </row>
    <row r="69" spans="1:19" ht="111" customHeight="1" x14ac:dyDescent="0.25">
      <c r="A69" s="197" t="str">
        <f t="shared" si="3"/>
        <v>INC20260113068</v>
      </c>
      <c r="B69" s="199">
        <v>46035.438194444403</v>
      </c>
      <c r="C69" s="192" t="s">
        <v>37</v>
      </c>
      <c r="D69" s="194" t="s">
        <v>49</v>
      </c>
      <c r="E69" s="192" t="s">
        <v>130</v>
      </c>
      <c r="F69" s="192" t="s">
        <v>40</v>
      </c>
      <c r="G69" s="192" t="s">
        <v>51</v>
      </c>
      <c r="H69" s="192" t="s">
        <v>92</v>
      </c>
      <c r="I69" s="192" t="s">
        <v>93</v>
      </c>
      <c r="J69" s="195" t="s">
        <v>1766</v>
      </c>
      <c r="K69" s="192" t="s">
        <v>54</v>
      </c>
      <c r="L69" s="192" t="s">
        <v>55</v>
      </c>
      <c r="M69" s="146" t="s">
        <v>5</v>
      </c>
      <c r="N69" s="192" t="s">
        <v>174</v>
      </c>
      <c r="O69" s="192" t="s">
        <v>95</v>
      </c>
      <c r="P69" s="192" t="s">
        <v>96</v>
      </c>
      <c r="Q69" s="145">
        <v>46045</v>
      </c>
      <c r="R69" s="145">
        <v>46037</v>
      </c>
      <c r="S69" s="192"/>
    </row>
    <row r="70" spans="1:19" ht="79.2" customHeight="1" x14ac:dyDescent="0.25">
      <c r="A70" s="197" t="str">
        <f t="shared" si="3"/>
        <v>INC20260113069</v>
      </c>
      <c r="B70" s="199">
        <v>46035.492361111101</v>
      </c>
      <c r="C70" s="192" t="s">
        <v>37</v>
      </c>
      <c r="D70" s="194" t="s">
        <v>175</v>
      </c>
      <c r="E70" s="192" t="s">
        <v>50</v>
      </c>
      <c r="F70" s="192" t="s">
        <v>40</v>
      </c>
      <c r="G70" s="192" t="s">
        <v>51</v>
      </c>
      <c r="H70" s="192" t="s">
        <v>92</v>
      </c>
      <c r="I70" s="192" t="s">
        <v>93</v>
      </c>
      <c r="J70" s="195" t="s">
        <v>1767</v>
      </c>
      <c r="K70" s="192" t="s">
        <v>54</v>
      </c>
      <c r="L70" s="192" t="s">
        <v>55</v>
      </c>
      <c r="M70" s="146" t="s">
        <v>5</v>
      </c>
      <c r="N70" s="192" t="s">
        <v>176</v>
      </c>
      <c r="O70" s="192" t="s">
        <v>95</v>
      </c>
      <c r="P70" s="192" t="s">
        <v>96</v>
      </c>
      <c r="Q70" s="145"/>
      <c r="R70" s="145">
        <v>46037</v>
      </c>
      <c r="S70" s="192"/>
    </row>
    <row r="71" spans="1:19" ht="72.599999999999994" customHeight="1" x14ac:dyDescent="0.25">
      <c r="A71" s="197" t="str">
        <f t="shared" si="3"/>
        <v>INC20260112070</v>
      </c>
      <c r="B71" s="193">
        <v>46034.427083333299</v>
      </c>
      <c r="C71" s="192" t="s">
        <v>77</v>
      </c>
      <c r="D71" s="194" t="s">
        <v>78</v>
      </c>
      <c r="E71" s="192" t="s">
        <v>121</v>
      </c>
      <c r="F71" s="192" t="s">
        <v>40</v>
      </c>
      <c r="G71" s="192" t="s">
        <v>60</v>
      </c>
      <c r="H71" s="192" t="s">
        <v>79</v>
      </c>
      <c r="I71" s="192" t="s">
        <v>80</v>
      </c>
      <c r="J71" s="121" t="s">
        <v>1768</v>
      </c>
      <c r="K71" s="192" t="s">
        <v>151</v>
      </c>
      <c r="L71" s="192" t="s">
        <v>81</v>
      </c>
      <c r="M71" s="146" t="s">
        <v>5</v>
      </c>
      <c r="N71" s="192" t="s">
        <v>177</v>
      </c>
      <c r="O71" s="197" t="s">
        <v>83</v>
      </c>
      <c r="P71" s="197" t="s">
        <v>1366</v>
      </c>
      <c r="Q71" s="145">
        <v>46034</v>
      </c>
      <c r="R71" s="145">
        <v>46037</v>
      </c>
      <c r="S71" s="192"/>
    </row>
    <row r="72" spans="1:19" ht="68.400000000000006" customHeight="1" x14ac:dyDescent="0.25">
      <c r="A72" s="197" t="str">
        <f t="shared" si="3"/>
        <v>INC20260112071</v>
      </c>
      <c r="B72" s="193">
        <v>46034.4868055556</v>
      </c>
      <c r="C72" s="192" t="s">
        <v>77</v>
      </c>
      <c r="D72" s="194" t="s">
        <v>78</v>
      </c>
      <c r="E72" s="192" t="s">
        <v>69</v>
      </c>
      <c r="F72" s="192" t="s">
        <v>40</v>
      </c>
      <c r="G72" s="192" t="s">
        <v>60</v>
      </c>
      <c r="H72" s="192" t="s">
        <v>79</v>
      </c>
      <c r="I72" s="192" t="s">
        <v>84</v>
      </c>
      <c r="J72" s="121" t="s">
        <v>1769</v>
      </c>
      <c r="K72" s="192" t="s">
        <v>63</v>
      </c>
      <c r="L72" s="192" t="s">
        <v>81</v>
      </c>
      <c r="M72" s="146" t="s">
        <v>5</v>
      </c>
      <c r="N72" s="192" t="s">
        <v>178</v>
      </c>
      <c r="O72" s="192" t="s">
        <v>86</v>
      </c>
      <c r="P72" s="192" t="s">
        <v>87</v>
      </c>
      <c r="Q72" s="196">
        <v>46034.490277777797</v>
      </c>
      <c r="R72" s="145">
        <v>46037</v>
      </c>
      <c r="S72" s="192"/>
    </row>
    <row r="73" spans="1:19" ht="67.2" customHeight="1" x14ac:dyDescent="0.25">
      <c r="A73" s="197" t="str">
        <f t="shared" si="3"/>
        <v>INC20260112072</v>
      </c>
      <c r="B73" s="193">
        <v>46034.622222222199</v>
      </c>
      <c r="C73" s="192" t="s">
        <v>77</v>
      </c>
      <c r="D73" s="194" t="s">
        <v>78</v>
      </c>
      <c r="E73" s="192" t="s">
        <v>116</v>
      </c>
      <c r="F73" s="192" t="s">
        <v>40</v>
      </c>
      <c r="G73" s="192" t="s">
        <v>60</v>
      </c>
      <c r="H73" s="192" t="s">
        <v>79</v>
      </c>
      <c r="I73" s="192" t="s">
        <v>84</v>
      </c>
      <c r="J73" s="121" t="s">
        <v>1770</v>
      </c>
      <c r="K73" s="192" t="s">
        <v>151</v>
      </c>
      <c r="L73" s="192" t="s">
        <v>81</v>
      </c>
      <c r="M73" s="146" t="s">
        <v>5</v>
      </c>
      <c r="N73" s="192" t="s">
        <v>179</v>
      </c>
      <c r="O73" s="192" t="s">
        <v>86</v>
      </c>
      <c r="P73" s="192" t="s">
        <v>87</v>
      </c>
      <c r="Q73" s="196">
        <v>46034.628472222197</v>
      </c>
      <c r="R73" s="145">
        <v>46037</v>
      </c>
      <c r="S73" s="192"/>
    </row>
    <row r="74" spans="1:19" ht="111.6" customHeight="1" x14ac:dyDescent="0.25">
      <c r="A74" s="197" t="str">
        <f t="shared" si="3"/>
        <v>INC20260112073</v>
      </c>
      <c r="B74" s="193">
        <v>46034.738194444399</v>
      </c>
      <c r="C74" s="192" t="s">
        <v>37</v>
      </c>
      <c r="D74" s="194" t="s">
        <v>57</v>
      </c>
      <c r="E74" s="192" t="s">
        <v>180</v>
      </c>
      <c r="F74" s="192" t="s">
        <v>59</v>
      </c>
      <c r="G74" s="192" t="s">
        <v>60</v>
      </c>
      <c r="H74" s="192" t="s">
        <v>61</v>
      </c>
      <c r="I74" s="192" t="s">
        <v>62</v>
      </c>
      <c r="J74" s="121" t="s">
        <v>1771</v>
      </c>
      <c r="K74" s="192" t="s">
        <v>63</v>
      </c>
      <c r="L74" s="192" t="s">
        <v>64</v>
      </c>
      <c r="M74" s="143" t="s">
        <v>5</v>
      </c>
      <c r="N74" s="192" t="s">
        <v>181</v>
      </c>
      <c r="O74" s="192" t="s">
        <v>66</v>
      </c>
      <c r="P74" s="192" t="s">
        <v>67</v>
      </c>
      <c r="Q74" s="145"/>
      <c r="R74" s="145">
        <v>46037</v>
      </c>
      <c r="S74" s="192"/>
    </row>
    <row r="75" spans="1:19" ht="71.400000000000006" customHeight="1" x14ac:dyDescent="0.25">
      <c r="A75" s="197" t="str">
        <f t="shared" si="3"/>
        <v>INC20260113074</v>
      </c>
      <c r="B75" s="199">
        <v>46035.627777777801</v>
      </c>
      <c r="C75" s="192" t="s">
        <v>37</v>
      </c>
      <c r="D75" s="194" t="s">
        <v>57</v>
      </c>
      <c r="E75" s="192" t="s">
        <v>69</v>
      </c>
      <c r="F75" s="192" t="s">
        <v>59</v>
      </c>
      <c r="G75" s="192" t="s">
        <v>60</v>
      </c>
      <c r="H75" s="192" t="s">
        <v>61</v>
      </c>
      <c r="I75" s="192" t="s">
        <v>62</v>
      </c>
      <c r="J75" s="121" t="s">
        <v>1772</v>
      </c>
      <c r="K75" s="192" t="s">
        <v>63</v>
      </c>
      <c r="L75" s="192" t="s">
        <v>64</v>
      </c>
      <c r="M75" s="143" t="s">
        <v>5</v>
      </c>
      <c r="N75" s="192" t="s">
        <v>182</v>
      </c>
      <c r="O75" s="192" t="s">
        <v>66</v>
      </c>
      <c r="P75" s="192" t="s">
        <v>67</v>
      </c>
      <c r="Q75" s="145"/>
      <c r="R75" s="145">
        <v>46037</v>
      </c>
      <c r="S75" s="192"/>
    </row>
    <row r="76" spans="1:19" ht="92.4" customHeight="1" x14ac:dyDescent="0.25">
      <c r="A76" s="197" t="str">
        <f t="shared" si="3"/>
        <v>INC20260113075</v>
      </c>
      <c r="B76" s="199">
        <v>46035.653472222199</v>
      </c>
      <c r="C76" s="192" t="s">
        <v>37</v>
      </c>
      <c r="D76" s="194" t="s">
        <v>49</v>
      </c>
      <c r="E76" s="192" t="s">
        <v>50</v>
      </c>
      <c r="F76" s="192" t="s">
        <v>40</v>
      </c>
      <c r="G76" s="192" t="s">
        <v>51</v>
      </c>
      <c r="H76" s="192" t="s">
        <v>52</v>
      </c>
      <c r="I76" s="192" t="s">
        <v>53</v>
      </c>
      <c r="J76" s="195" t="s">
        <v>1773</v>
      </c>
      <c r="K76" s="192" t="s">
        <v>54</v>
      </c>
      <c r="L76" s="192" t="s">
        <v>55</v>
      </c>
      <c r="M76" s="146" t="s">
        <v>5</v>
      </c>
      <c r="N76" s="192" t="s">
        <v>183</v>
      </c>
      <c r="O76" s="192"/>
      <c r="P76" s="192"/>
      <c r="Q76" s="145"/>
      <c r="R76" s="145">
        <v>46037</v>
      </c>
      <c r="S76" s="192"/>
    </row>
    <row r="77" spans="1:19" ht="77.400000000000006" customHeight="1" x14ac:dyDescent="0.25">
      <c r="A77" s="197" t="str">
        <f t="shared" si="3"/>
        <v>INC20260113076</v>
      </c>
      <c r="B77" s="199">
        <v>46035.691666666702</v>
      </c>
      <c r="C77" s="192" t="s">
        <v>37</v>
      </c>
      <c r="D77" s="194" t="s">
        <v>184</v>
      </c>
      <c r="E77" s="192" t="s">
        <v>50</v>
      </c>
      <c r="F77" s="192" t="s">
        <v>40</v>
      </c>
      <c r="G77" s="192" t="s">
        <v>51</v>
      </c>
      <c r="H77" s="192" t="s">
        <v>92</v>
      </c>
      <c r="I77" s="192" t="s">
        <v>93</v>
      </c>
      <c r="J77" s="195" t="s">
        <v>1774</v>
      </c>
      <c r="K77" s="192" t="s">
        <v>54</v>
      </c>
      <c r="L77" s="192" t="s">
        <v>55</v>
      </c>
      <c r="M77" s="146" t="s">
        <v>5</v>
      </c>
      <c r="N77" s="192" t="s">
        <v>185</v>
      </c>
      <c r="O77" s="192" t="s">
        <v>95</v>
      </c>
      <c r="P77" s="192" t="s">
        <v>96</v>
      </c>
      <c r="Q77" s="145">
        <v>46035</v>
      </c>
      <c r="R77" s="145">
        <v>46037</v>
      </c>
      <c r="S77" s="192"/>
    </row>
    <row r="78" spans="1:19" ht="70.8" customHeight="1" x14ac:dyDescent="0.25">
      <c r="A78" s="197" t="str">
        <f t="shared" si="3"/>
        <v>INC20260114077</v>
      </c>
      <c r="B78" s="199">
        <v>46036.353472222203</v>
      </c>
      <c r="C78" s="192" t="s">
        <v>37</v>
      </c>
      <c r="D78" s="194" t="s">
        <v>38</v>
      </c>
      <c r="E78" s="192" t="s">
        <v>39</v>
      </c>
      <c r="F78" s="192" t="s">
        <v>40</v>
      </c>
      <c r="G78" s="192" t="s">
        <v>41</v>
      </c>
      <c r="H78" s="192" t="s">
        <v>42</v>
      </c>
      <c r="I78" s="192" t="s">
        <v>43</v>
      </c>
      <c r="J78" s="195" t="s">
        <v>1775</v>
      </c>
      <c r="K78" s="192" t="s">
        <v>44</v>
      </c>
      <c r="L78" s="192" t="s">
        <v>45</v>
      </c>
      <c r="M78" s="143" t="s">
        <v>5</v>
      </c>
      <c r="N78" s="198" t="s">
        <v>186</v>
      </c>
      <c r="O78" s="192"/>
      <c r="P78" s="144" t="s">
        <v>47</v>
      </c>
      <c r="Q78" s="145">
        <v>46041</v>
      </c>
      <c r="R78" s="145">
        <v>46037</v>
      </c>
      <c r="S78" s="192"/>
    </row>
    <row r="79" spans="1:19" ht="70.8" customHeight="1" x14ac:dyDescent="0.25">
      <c r="A79" s="197" t="str">
        <f t="shared" si="3"/>
        <v>INC20260114078</v>
      </c>
      <c r="B79" s="199">
        <v>46036.7680555556</v>
      </c>
      <c r="C79" s="192" t="s">
        <v>37</v>
      </c>
      <c r="D79" s="157" t="s">
        <v>57</v>
      </c>
      <c r="E79" s="197" t="s">
        <v>69</v>
      </c>
      <c r="F79" s="192" t="s">
        <v>40</v>
      </c>
      <c r="G79" s="192" t="s">
        <v>60</v>
      </c>
      <c r="H79" s="192" t="s">
        <v>79</v>
      </c>
      <c r="I79" s="192" t="s">
        <v>84</v>
      </c>
      <c r="J79" s="121" t="s">
        <v>187</v>
      </c>
      <c r="K79" s="192" t="s">
        <v>63</v>
      </c>
      <c r="L79" s="192" t="s">
        <v>81</v>
      </c>
      <c r="M79" s="146" t="s">
        <v>5</v>
      </c>
      <c r="N79" s="154" t="s">
        <v>188</v>
      </c>
      <c r="O79" s="192" t="s">
        <v>86</v>
      </c>
      <c r="P79" s="192" t="s">
        <v>87</v>
      </c>
      <c r="Q79" s="145">
        <v>46036</v>
      </c>
      <c r="R79" s="145">
        <v>46037</v>
      </c>
      <c r="S79" s="192"/>
    </row>
    <row r="80" spans="1:19" ht="67.2" customHeight="1" x14ac:dyDescent="0.25">
      <c r="A80" s="197" t="str">
        <f t="shared" si="3"/>
        <v>INC20260114079</v>
      </c>
      <c r="B80" s="199">
        <v>46036.840972222199</v>
      </c>
      <c r="C80" s="192" t="s">
        <v>37</v>
      </c>
      <c r="D80" s="194" t="s">
        <v>189</v>
      </c>
      <c r="E80" s="192" t="s">
        <v>116</v>
      </c>
      <c r="F80" s="192" t="s">
        <v>40</v>
      </c>
      <c r="G80" s="192" t="s">
        <v>60</v>
      </c>
      <c r="H80" s="192" t="s">
        <v>79</v>
      </c>
      <c r="I80" s="192" t="s">
        <v>84</v>
      </c>
      <c r="J80" s="121" t="s">
        <v>1776</v>
      </c>
      <c r="K80" s="192" t="s">
        <v>151</v>
      </c>
      <c r="L80" s="192" t="s">
        <v>81</v>
      </c>
      <c r="M80" s="146" t="s">
        <v>5</v>
      </c>
      <c r="N80" s="154" t="s">
        <v>190</v>
      </c>
      <c r="O80" s="192" t="s">
        <v>86</v>
      </c>
      <c r="P80" s="192" t="s">
        <v>87</v>
      </c>
      <c r="Q80" s="145">
        <v>46037</v>
      </c>
      <c r="R80" s="145">
        <v>46037</v>
      </c>
      <c r="S80" s="192"/>
    </row>
    <row r="81" spans="1:19" ht="77.400000000000006" customHeight="1" x14ac:dyDescent="0.25">
      <c r="A81" s="197" t="str">
        <f t="shared" si="3"/>
        <v>INC20260115080</v>
      </c>
      <c r="B81" s="199">
        <v>46037.426388888904</v>
      </c>
      <c r="C81" s="192" t="s">
        <v>37</v>
      </c>
      <c r="D81" s="194" t="s">
        <v>38</v>
      </c>
      <c r="E81" s="192" t="s">
        <v>39</v>
      </c>
      <c r="F81" s="192" t="s">
        <v>40</v>
      </c>
      <c r="G81" s="192" t="s">
        <v>41</v>
      </c>
      <c r="H81" s="192" t="s">
        <v>42</v>
      </c>
      <c r="I81" s="192" t="s">
        <v>43</v>
      </c>
      <c r="J81" s="195" t="s">
        <v>1777</v>
      </c>
      <c r="K81" s="192" t="s">
        <v>44</v>
      </c>
      <c r="L81" s="192" t="s">
        <v>45</v>
      </c>
      <c r="M81" s="143" t="s">
        <v>5</v>
      </c>
      <c r="N81" s="198" t="s">
        <v>191</v>
      </c>
      <c r="O81" s="192"/>
      <c r="P81" s="144" t="s">
        <v>47</v>
      </c>
      <c r="Q81" s="145">
        <v>46038</v>
      </c>
      <c r="R81" s="145">
        <v>46037</v>
      </c>
      <c r="S81" s="192"/>
    </row>
    <row r="82" spans="1:19" ht="88.2" customHeight="1" x14ac:dyDescent="0.25">
      <c r="A82" s="197" t="str">
        <f t="shared" si="3"/>
        <v>INC20260115081</v>
      </c>
      <c r="B82" s="199">
        <v>46037.655555555597</v>
      </c>
      <c r="C82" s="192" t="s">
        <v>37</v>
      </c>
      <c r="D82" s="194" t="s">
        <v>192</v>
      </c>
      <c r="E82" s="192" t="s">
        <v>50</v>
      </c>
      <c r="F82" s="192" t="s">
        <v>40</v>
      </c>
      <c r="G82" s="192" t="s">
        <v>51</v>
      </c>
      <c r="H82" s="192" t="s">
        <v>92</v>
      </c>
      <c r="I82" s="192" t="s">
        <v>93</v>
      </c>
      <c r="J82" s="195" t="s">
        <v>1778</v>
      </c>
      <c r="K82" s="192" t="s">
        <v>54</v>
      </c>
      <c r="L82" s="192" t="s">
        <v>55</v>
      </c>
      <c r="M82" s="146" t="s">
        <v>5</v>
      </c>
      <c r="N82" s="192" t="s">
        <v>193</v>
      </c>
      <c r="O82" s="192" t="s">
        <v>95</v>
      </c>
      <c r="P82" s="192" t="s">
        <v>96</v>
      </c>
      <c r="Q82" s="145">
        <v>46037</v>
      </c>
      <c r="R82" s="145">
        <v>46044</v>
      </c>
      <c r="S82" s="192"/>
    </row>
    <row r="83" spans="1:19" ht="77.400000000000006" customHeight="1" x14ac:dyDescent="0.25">
      <c r="A83" s="197" t="str">
        <f t="shared" si="3"/>
        <v>INC20260115082</v>
      </c>
      <c r="B83" s="199">
        <v>46037.658333333296</v>
      </c>
      <c r="C83" s="192" t="s">
        <v>37</v>
      </c>
      <c r="D83" s="194" t="s">
        <v>49</v>
      </c>
      <c r="E83" s="192" t="s">
        <v>50</v>
      </c>
      <c r="F83" s="192" t="s">
        <v>40</v>
      </c>
      <c r="G83" s="192" t="s">
        <v>51</v>
      </c>
      <c r="H83" s="192" t="s">
        <v>92</v>
      </c>
      <c r="I83" s="192" t="s">
        <v>93</v>
      </c>
      <c r="J83" s="195" t="s">
        <v>1779</v>
      </c>
      <c r="K83" s="192" t="s">
        <v>54</v>
      </c>
      <c r="L83" s="192" t="s">
        <v>55</v>
      </c>
      <c r="M83" s="146" t="s">
        <v>5</v>
      </c>
      <c r="N83" s="192" t="s">
        <v>194</v>
      </c>
      <c r="O83" s="192" t="s">
        <v>95</v>
      </c>
      <c r="P83" s="192" t="s">
        <v>96</v>
      </c>
      <c r="Q83" s="145">
        <v>46041</v>
      </c>
      <c r="R83" s="145">
        <v>46044</v>
      </c>
      <c r="S83" s="192"/>
    </row>
    <row r="84" spans="1:19" ht="82.8" customHeight="1" x14ac:dyDescent="0.25">
      <c r="A84" s="197" t="str">
        <f t="shared" si="3"/>
        <v>INC20260115083</v>
      </c>
      <c r="B84" s="199">
        <v>46037.659027777801</v>
      </c>
      <c r="C84" s="192" t="s">
        <v>37</v>
      </c>
      <c r="D84" s="194" t="s">
        <v>49</v>
      </c>
      <c r="E84" s="192" t="s">
        <v>130</v>
      </c>
      <c r="F84" s="192" t="s">
        <v>40</v>
      </c>
      <c r="G84" s="192" t="s">
        <v>51</v>
      </c>
      <c r="H84" s="192" t="s">
        <v>92</v>
      </c>
      <c r="I84" s="192" t="s">
        <v>93</v>
      </c>
      <c r="J84" s="195" t="s">
        <v>1780</v>
      </c>
      <c r="K84" s="192" t="s">
        <v>54</v>
      </c>
      <c r="L84" s="192" t="s">
        <v>55</v>
      </c>
      <c r="M84" s="146" t="s">
        <v>5</v>
      </c>
      <c r="N84" s="192" t="s">
        <v>195</v>
      </c>
      <c r="O84" s="192" t="s">
        <v>95</v>
      </c>
      <c r="P84" s="192" t="s">
        <v>96</v>
      </c>
      <c r="Q84" s="145">
        <v>46063</v>
      </c>
      <c r="R84" s="145">
        <v>46044</v>
      </c>
      <c r="S84" s="192"/>
    </row>
    <row r="85" spans="1:19" ht="89.4" customHeight="1" x14ac:dyDescent="0.25">
      <c r="A85" s="197" t="str">
        <f t="shared" si="3"/>
        <v>INC20260115084</v>
      </c>
      <c r="B85" s="199">
        <v>46037.720138888901</v>
      </c>
      <c r="C85" s="192" t="s">
        <v>37</v>
      </c>
      <c r="D85" s="194" t="s">
        <v>57</v>
      </c>
      <c r="E85" s="192" t="s">
        <v>69</v>
      </c>
      <c r="F85" s="192" t="s">
        <v>59</v>
      </c>
      <c r="G85" s="192" t="s">
        <v>60</v>
      </c>
      <c r="H85" s="192" t="s">
        <v>61</v>
      </c>
      <c r="I85" s="192" t="s">
        <v>62</v>
      </c>
      <c r="J85" s="121" t="s">
        <v>1781</v>
      </c>
      <c r="K85" s="192" t="s">
        <v>63</v>
      </c>
      <c r="L85" s="192" t="s">
        <v>64</v>
      </c>
      <c r="M85" s="143" t="s">
        <v>5</v>
      </c>
      <c r="N85" s="192" t="s">
        <v>196</v>
      </c>
      <c r="O85" s="192" t="s">
        <v>66</v>
      </c>
      <c r="P85" s="192" t="s">
        <v>67</v>
      </c>
      <c r="Q85" s="145"/>
      <c r="R85" s="145">
        <v>46044</v>
      </c>
      <c r="S85" s="192"/>
    </row>
    <row r="86" spans="1:19" ht="67.2" customHeight="1" x14ac:dyDescent="0.25">
      <c r="A86" s="197" t="str">
        <f t="shared" si="3"/>
        <v>INC20260116085</v>
      </c>
      <c r="B86" s="199">
        <v>46038.356249999997</v>
      </c>
      <c r="C86" s="192" t="s">
        <v>37</v>
      </c>
      <c r="D86" s="194" t="s">
        <v>38</v>
      </c>
      <c r="E86" s="192" t="s">
        <v>39</v>
      </c>
      <c r="F86" s="192" t="s">
        <v>40</v>
      </c>
      <c r="G86" s="192" t="s">
        <v>41</v>
      </c>
      <c r="H86" s="192" t="s">
        <v>42</v>
      </c>
      <c r="I86" s="192" t="s">
        <v>43</v>
      </c>
      <c r="J86" s="195" t="s">
        <v>1782</v>
      </c>
      <c r="K86" s="192" t="s">
        <v>44</v>
      </c>
      <c r="L86" s="192" t="s">
        <v>45</v>
      </c>
      <c r="M86" s="143" t="s">
        <v>5</v>
      </c>
      <c r="N86" s="198" t="s">
        <v>197</v>
      </c>
      <c r="O86" s="192"/>
      <c r="P86" s="144" t="s">
        <v>47</v>
      </c>
      <c r="Q86" s="145">
        <v>46041</v>
      </c>
      <c r="R86" s="145">
        <v>46044</v>
      </c>
      <c r="S86" s="192"/>
    </row>
    <row r="87" spans="1:19" ht="109.2" customHeight="1" x14ac:dyDescent="0.25">
      <c r="A87" s="197" t="str">
        <f t="shared" si="3"/>
        <v>INC20260119086</v>
      </c>
      <c r="B87" s="199">
        <v>46041.351388888899</v>
      </c>
      <c r="C87" s="192" t="s">
        <v>37</v>
      </c>
      <c r="D87" s="194" t="s">
        <v>38</v>
      </c>
      <c r="E87" s="192" t="s">
        <v>39</v>
      </c>
      <c r="F87" s="192" t="s">
        <v>40</v>
      </c>
      <c r="G87" s="192" t="s">
        <v>41</v>
      </c>
      <c r="H87" s="192" t="s">
        <v>42</v>
      </c>
      <c r="I87" s="192" t="s">
        <v>43</v>
      </c>
      <c r="J87" s="195" t="s">
        <v>1783</v>
      </c>
      <c r="K87" s="192" t="s">
        <v>44</v>
      </c>
      <c r="L87" s="192" t="s">
        <v>45</v>
      </c>
      <c r="M87" s="143" t="s">
        <v>5</v>
      </c>
      <c r="N87" s="198" t="s">
        <v>198</v>
      </c>
      <c r="O87" s="192"/>
      <c r="P87" s="144" t="s">
        <v>47</v>
      </c>
      <c r="Q87" s="145">
        <v>46041</v>
      </c>
      <c r="R87" s="145">
        <v>46044</v>
      </c>
      <c r="S87" s="192"/>
    </row>
    <row r="88" spans="1:19" ht="81.599999999999994" customHeight="1" x14ac:dyDescent="0.25">
      <c r="A88" s="197" t="str">
        <f t="shared" si="3"/>
        <v>INC20260115087</v>
      </c>
      <c r="B88" s="199">
        <v>46037.637499999997</v>
      </c>
      <c r="C88" s="192" t="s">
        <v>37</v>
      </c>
      <c r="D88" s="194" t="s">
        <v>49</v>
      </c>
      <c r="E88" s="192" t="s">
        <v>50</v>
      </c>
      <c r="F88" s="192" t="s">
        <v>40</v>
      </c>
      <c r="G88" s="192" t="s">
        <v>51</v>
      </c>
      <c r="H88" s="192" t="s">
        <v>92</v>
      </c>
      <c r="I88" s="192" t="s">
        <v>93</v>
      </c>
      <c r="J88" s="195" t="s">
        <v>1784</v>
      </c>
      <c r="K88" s="192" t="s">
        <v>54</v>
      </c>
      <c r="L88" s="192" t="s">
        <v>55</v>
      </c>
      <c r="M88" s="146" t="s">
        <v>5</v>
      </c>
      <c r="N88" s="192" t="s">
        <v>199</v>
      </c>
      <c r="O88" s="192" t="s">
        <v>95</v>
      </c>
      <c r="P88" s="192" t="s">
        <v>96</v>
      </c>
      <c r="Q88" s="145">
        <v>46039</v>
      </c>
      <c r="R88" s="145">
        <v>46044</v>
      </c>
      <c r="S88" s="192"/>
    </row>
    <row r="89" spans="1:19" ht="103.2" customHeight="1" x14ac:dyDescent="0.25">
      <c r="A89" s="197" t="str">
        <f t="shared" si="3"/>
        <v>INC20260112088</v>
      </c>
      <c r="B89" s="159">
        <v>46034.738194444399</v>
      </c>
      <c r="C89" s="192" t="s">
        <v>77</v>
      </c>
      <c r="D89" s="194" t="s">
        <v>78</v>
      </c>
      <c r="E89" s="192" t="s">
        <v>69</v>
      </c>
      <c r="F89" s="192" t="s">
        <v>40</v>
      </c>
      <c r="G89" s="192" t="s">
        <v>60</v>
      </c>
      <c r="H89" s="192" t="s">
        <v>79</v>
      </c>
      <c r="I89" s="192" t="s">
        <v>84</v>
      </c>
      <c r="J89" s="121" t="s">
        <v>1785</v>
      </c>
      <c r="K89" s="192" t="s">
        <v>151</v>
      </c>
      <c r="L89" s="192" t="s">
        <v>81</v>
      </c>
      <c r="M89" s="146" t="s">
        <v>5</v>
      </c>
      <c r="N89" s="160" t="s">
        <v>200</v>
      </c>
      <c r="O89" s="192" t="s">
        <v>86</v>
      </c>
      <c r="P89" s="192" t="s">
        <v>87</v>
      </c>
      <c r="Q89" s="161">
        <v>46034.739583333299</v>
      </c>
      <c r="R89" s="145">
        <v>46044</v>
      </c>
      <c r="S89" s="192"/>
    </row>
    <row r="90" spans="1:19" ht="103.2" customHeight="1" x14ac:dyDescent="0.25">
      <c r="A90" s="197" t="str">
        <f t="shared" si="3"/>
        <v>INC20260113089</v>
      </c>
      <c r="B90" s="159">
        <v>46035.185416666704</v>
      </c>
      <c r="C90" s="192" t="s">
        <v>77</v>
      </c>
      <c r="D90" s="194" t="s">
        <v>78</v>
      </c>
      <c r="E90" s="192" t="s">
        <v>69</v>
      </c>
      <c r="F90" s="192" t="s">
        <v>40</v>
      </c>
      <c r="G90" s="192" t="s">
        <v>60</v>
      </c>
      <c r="H90" s="192" t="s">
        <v>79</v>
      </c>
      <c r="I90" s="192" t="s">
        <v>80</v>
      </c>
      <c r="J90" s="121" t="s">
        <v>1786</v>
      </c>
      <c r="K90" s="192" t="s">
        <v>110</v>
      </c>
      <c r="L90" s="192" t="s">
        <v>81</v>
      </c>
      <c r="M90" s="146" t="s">
        <v>5</v>
      </c>
      <c r="N90" s="160" t="s">
        <v>201</v>
      </c>
      <c r="O90" s="197" t="s">
        <v>83</v>
      </c>
      <c r="P90" s="197" t="s">
        <v>1366</v>
      </c>
      <c r="Q90" s="161">
        <v>46035.651388888902</v>
      </c>
      <c r="R90" s="145">
        <v>46044</v>
      </c>
      <c r="S90" s="192"/>
    </row>
    <row r="91" spans="1:19" ht="103.2" customHeight="1" x14ac:dyDescent="0.25">
      <c r="A91" s="197" t="str">
        <f t="shared" si="3"/>
        <v>INC20260113090</v>
      </c>
      <c r="B91" s="159">
        <v>46035.470138888901</v>
      </c>
      <c r="C91" s="192" t="s">
        <v>77</v>
      </c>
      <c r="D91" s="194" t="s">
        <v>78</v>
      </c>
      <c r="E91" s="192" t="s">
        <v>69</v>
      </c>
      <c r="F91" s="192" t="s">
        <v>40</v>
      </c>
      <c r="G91" s="192" t="s">
        <v>60</v>
      </c>
      <c r="H91" s="192" t="s">
        <v>79</v>
      </c>
      <c r="I91" s="192" t="s">
        <v>84</v>
      </c>
      <c r="J91" s="121" t="s">
        <v>1787</v>
      </c>
      <c r="K91" s="192" t="s">
        <v>63</v>
      </c>
      <c r="L91" s="192" t="s">
        <v>81</v>
      </c>
      <c r="M91" s="146" t="s">
        <v>5</v>
      </c>
      <c r="N91" s="160" t="s">
        <v>202</v>
      </c>
      <c r="O91" s="192" t="s">
        <v>86</v>
      </c>
      <c r="P91" s="192" t="s">
        <v>87</v>
      </c>
      <c r="Q91" s="161">
        <v>46035.480555555601</v>
      </c>
      <c r="R91" s="145">
        <v>46044</v>
      </c>
      <c r="S91" s="192"/>
    </row>
    <row r="92" spans="1:19" ht="110.4" customHeight="1" x14ac:dyDescent="0.25">
      <c r="A92" s="197" t="str">
        <f t="shared" si="3"/>
        <v>INC20260113091</v>
      </c>
      <c r="B92" s="159">
        <v>46035.597222222197</v>
      </c>
      <c r="C92" s="192" t="s">
        <v>77</v>
      </c>
      <c r="D92" s="194" t="s">
        <v>78</v>
      </c>
      <c r="E92" s="192" t="s">
        <v>74</v>
      </c>
      <c r="F92" s="192" t="s">
        <v>40</v>
      </c>
      <c r="G92" s="192" t="s">
        <v>60</v>
      </c>
      <c r="H92" s="192" t="s">
        <v>79</v>
      </c>
      <c r="I92" s="192" t="s">
        <v>84</v>
      </c>
      <c r="J92" s="121" t="s">
        <v>1788</v>
      </c>
      <c r="K92" s="192" t="s">
        <v>63</v>
      </c>
      <c r="L92" s="192" t="s">
        <v>81</v>
      </c>
      <c r="M92" s="146" t="s">
        <v>5</v>
      </c>
      <c r="N92" s="160" t="s">
        <v>203</v>
      </c>
      <c r="O92" s="192" t="s">
        <v>86</v>
      </c>
      <c r="P92" s="192" t="s">
        <v>87</v>
      </c>
      <c r="Q92" s="161">
        <v>46037.567361111098</v>
      </c>
      <c r="R92" s="145">
        <v>46044</v>
      </c>
      <c r="S92" s="192"/>
    </row>
    <row r="93" spans="1:19" ht="111.6" customHeight="1" x14ac:dyDescent="0.25">
      <c r="A93" s="197" t="str">
        <f t="shared" si="3"/>
        <v>INC20260113092</v>
      </c>
      <c r="B93" s="159">
        <v>46035.4777777778</v>
      </c>
      <c r="C93" s="192" t="s">
        <v>77</v>
      </c>
      <c r="D93" s="194" t="s">
        <v>78</v>
      </c>
      <c r="E93" s="192" t="s">
        <v>69</v>
      </c>
      <c r="F93" s="192" t="s">
        <v>40</v>
      </c>
      <c r="G93" s="192" t="s">
        <v>60</v>
      </c>
      <c r="H93" s="192" t="s">
        <v>79</v>
      </c>
      <c r="I93" s="192" t="s">
        <v>84</v>
      </c>
      <c r="J93" s="121" t="s">
        <v>1789</v>
      </c>
      <c r="K93" s="192" t="s">
        <v>63</v>
      </c>
      <c r="L93" s="192" t="s">
        <v>81</v>
      </c>
      <c r="M93" s="146" t="s">
        <v>5</v>
      </c>
      <c r="N93" s="160" t="s">
        <v>204</v>
      </c>
      <c r="O93" s="192" t="s">
        <v>86</v>
      </c>
      <c r="P93" s="192" t="s">
        <v>87</v>
      </c>
      <c r="Q93" s="161">
        <v>46036.431250000001</v>
      </c>
      <c r="R93" s="145">
        <v>46044</v>
      </c>
      <c r="S93" s="192"/>
    </row>
    <row r="94" spans="1:19" ht="103.2" customHeight="1" x14ac:dyDescent="0.25">
      <c r="A94" s="197" t="str">
        <f t="shared" si="3"/>
        <v>INC20260113093</v>
      </c>
      <c r="B94" s="159">
        <v>46035.502777777801</v>
      </c>
      <c r="C94" s="192" t="s">
        <v>77</v>
      </c>
      <c r="D94" s="194" t="s">
        <v>78</v>
      </c>
      <c r="E94" s="192" t="s">
        <v>69</v>
      </c>
      <c r="F94" s="192" t="s">
        <v>40</v>
      </c>
      <c r="G94" s="192" t="s">
        <v>60</v>
      </c>
      <c r="H94" s="192" t="s">
        <v>79</v>
      </c>
      <c r="I94" s="192" t="s">
        <v>84</v>
      </c>
      <c r="J94" s="121" t="s">
        <v>1790</v>
      </c>
      <c r="K94" s="192" t="s">
        <v>110</v>
      </c>
      <c r="L94" s="192" t="s">
        <v>81</v>
      </c>
      <c r="M94" s="146" t="s">
        <v>5</v>
      </c>
      <c r="N94" s="160" t="s">
        <v>205</v>
      </c>
      <c r="O94" s="192" t="s">
        <v>86</v>
      </c>
      <c r="P94" s="192" t="s">
        <v>87</v>
      </c>
      <c r="Q94" s="161">
        <v>46035.504166666702</v>
      </c>
      <c r="R94" s="145">
        <v>46044</v>
      </c>
      <c r="S94" s="192"/>
    </row>
    <row r="95" spans="1:19" ht="89.4" customHeight="1" x14ac:dyDescent="0.25">
      <c r="A95" s="197" t="str">
        <f t="shared" si="3"/>
        <v>INC20260113094</v>
      </c>
      <c r="B95" s="159">
        <v>46035.387499999997</v>
      </c>
      <c r="C95" s="192" t="s">
        <v>77</v>
      </c>
      <c r="D95" s="194" t="s">
        <v>78</v>
      </c>
      <c r="E95" s="192" t="s">
        <v>58</v>
      </c>
      <c r="F95" s="192" t="s">
        <v>40</v>
      </c>
      <c r="G95" s="192" t="s">
        <v>60</v>
      </c>
      <c r="H95" s="192" t="s">
        <v>79</v>
      </c>
      <c r="I95" s="192" t="s">
        <v>80</v>
      </c>
      <c r="J95" s="121" t="s">
        <v>1791</v>
      </c>
      <c r="K95" s="192" t="s">
        <v>63</v>
      </c>
      <c r="L95" s="192" t="s">
        <v>81</v>
      </c>
      <c r="M95" s="146" t="s">
        <v>5</v>
      </c>
      <c r="N95" s="160" t="s">
        <v>206</v>
      </c>
      <c r="O95" s="197" t="s">
        <v>83</v>
      </c>
      <c r="P95" s="197" t="s">
        <v>1366</v>
      </c>
      <c r="Q95" s="161">
        <v>46036.556944444397</v>
      </c>
      <c r="R95" s="145">
        <v>46044</v>
      </c>
      <c r="S95" s="192"/>
    </row>
    <row r="96" spans="1:19" ht="97.2" customHeight="1" x14ac:dyDescent="0.25">
      <c r="A96" s="197" t="str">
        <f t="shared" si="3"/>
        <v>INC20260113095</v>
      </c>
      <c r="B96" s="159">
        <v>46035.438194444403</v>
      </c>
      <c r="C96" s="192" t="s">
        <v>77</v>
      </c>
      <c r="D96" s="194" t="s">
        <v>78</v>
      </c>
      <c r="E96" s="192" t="s">
        <v>58</v>
      </c>
      <c r="F96" s="192" t="s">
        <v>40</v>
      </c>
      <c r="G96" s="192" t="s">
        <v>60</v>
      </c>
      <c r="H96" s="192" t="s">
        <v>79</v>
      </c>
      <c r="I96" s="192" t="s">
        <v>80</v>
      </c>
      <c r="J96" s="121" t="s">
        <v>1792</v>
      </c>
      <c r="K96" s="192" t="s">
        <v>63</v>
      </c>
      <c r="L96" s="192" t="s">
        <v>81</v>
      </c>
      <c r="M96" s="146" t="s">
        <v>5</v>
      </c>
      <c r="N96" s="160" t="s">
        <v>207</v>
      </c>
      <c r="O96" s="197" t="s">
        <v>83</v>
      </c>
      <c r="P96" s="197" t="s">
        <v>1366</v>
      </c>
      <c r="Q96" s="161">
        <v>46036.557638888902</v>
      </c>
      <c r="R96" s="145">
        <v>46044</v>
      </c>
      <c r="S96" s="192"/>
    </row>
    <row r="97" spans="1:19" ht="102.6" customHeight="1" x14ac:dyDescent="0.25">
      <c r="A97" s="197" t="str">
        <f t="shared" si="3"/>
        <v>INC20260113096</v>
      </c>
      <c r="B97" s="159">
        <v>46035.887499999997</v>
      </c>
      <c r="C97" s="192" t="s">
        <v>77</v>
      </c>
      <c r="D97" s="194" t="s">
        <v>78</v>
      </c>
      <c r="E97" s="192" t="s">
        <v>69</v>
      </c>
      <c r="F97" s="192" t="s">
        <v>40</v>
      </c>
      <c r="G97" s="192" t="s">
        <v>60</v>
      </c>
      <c r="H97" s="192" t="s">
        <v>79</v>
      </c>
      <c r="I97" s="192" t="s">
        <v>84</v>
      </c>
      <c r="J97" s="121" t="s">
        <v>1793</v>
      </c>
      <c r="K97" s="192" t="s">
        <v>110</v>
      </c>
      <c r="L97" s="192" t="s">
        <v>81</v>
      </c>
      <c r="M97" s="146" t="s">
        <v>5</v>
      </c>
      <c r="N97" s="160" t="s">
        <v>208</v>
      </c>
      <c r="O97" s="192" t="s">
        <v>86</v>
      </c>
      <c r="P97" s="192" t="s">
        <v>87</v>
      </c>
      <c r="Q97" s="161">
        <v>46036.431944444397</v>
      </c>
      <c r="R97" s="145">
        <v>46044</v>
      </c>
      <c r="S97" s="192"/>
    </row>
    <row r="98" spans="1:19" ht="95.4" customHeight="1" x14ac:dyDescent="0.25">
      <c r="A98" s="197" t="str">
        <f t="shared" si="3"/>
        <v>INC20260113097</v>
      </c>
      <c r="B98" s="159">
        <v>46035.925000000003</v>
      </c>
      <c r="C98" s="192" t="s">
        <v>77</v>
      </c>
      <c r="D98" s="194" t="s">
        <v>78</v>
      </c>
      <c r="E98" s="192" t="s">
        <v>69</v>
      </c>
      <c r="F98" s="192" t="s">
        <v>40</v>
      </c>
      <c r="G98" s="192" t="s">
        <v>60</v>
      </c>
      <c r="H98" s="192" t="s">
        <v>79</v>
      </c>
      <c r="I98" s="192" t="s">
        <v>84</v>
      </c>
      <c r="J98" s="121" t="s">
        <v>1794</v>
      </c>
      <c r="K98" s="192" t="s">
        <v>107</v>
      </c>
      <c r="L98" s="192" t="s">
        <v>81</v>
      </c>
      <c r="M98" s="146" t="s">
        <v>5</v>
      </c>
      <c r="N98" s="160" t="s">
        <v>209</v>
      </c>
      <c r="O98" s="192" t="s">
        <v>86</v>
      </c>
      <c r="P98" s="192" t="s">
        <v>87</v>
      </c>
      <c r="Q98" s="159">
        <v>46035.930555555598</v>
      </c>
      <c r="R98" s="145">
        <v>46044</v>
      </c>
      <c r="S98" s="192"/>
    </row>
    <row r="99" spans="1:19" ht="112.8" customHeight="1" x14ac:dyDescent="0.25">
      <c r="A99" s="197" t="str">
        <f t="shared" si="3"/>
        <v>INC20260114098</v>
      </c>
      <c r="B99" s="159">
        <v>46036.565277777801</v>
      </c>
      <c r="C99" s="192" t="s">
        <v>77</v>
      </c>
      <c r="D99" s="194" t="s">
        <v>78</v>
      </c>
      <c r="E99" s="192" t="s">
        <v>69</v>
      </c>
      <c r="F99" s="192" t="s">
        <v>40</v>
      </c>
      <c r="G99" s="192" t="s">
        <v>60</v>
      </c>
      <c r="H99" s="192" t="s">
        <v>79</v>
      </c>
      <c r="I99" s="192" t="s">
        <v>84</v>
      </c>
      <c r="J99" s="121" t="s">
        <v>1795</v>
      </c>
      <c r="K99" s="192" t="s">
        <v>63</v>
      </c>
      <c r="L99" s="192" t="s">
        <v>81</v>
      </c>
      <c r="M99" s="146" t="s">
        <v>5</v>
      </c>
      <c r="N99" s="160" t="s">
        <v>210</v>
      </c>
      <c r="O99" s="192" t="s">
        <v>86</v>
      </c>
      <c r="P99" s="192" t="s">
        <v>87</v>
      </c>
      <c r="Q99" s="161">
        <v>46036.567361111098</v>
      </c>
      <c r="R99" s="145">
        <v>46044</v>
      </c>
      <c r="S99" s="192"/>
    </row>
    <row r="100" spans="1:19" ht="122.4" customHeight="1" x14ac:dyDescent="0.25">
      <c r="A100" s="197" t="str">
        <f t="shared" si="3"/>
        <v>INC20260114099</v>
      </c>
      <c r="B100" s="159">
        <v>46036.601388888899</v>
      </c>
      <c r="C100" s="192" t="s">
        <v>77</v>
      </c>
      <c r="D100" s="194" t="s">
        <v>78</v>
      </c>
      <c r="E100" s="192" t="s">
        <v>69</v>
      </c>
      <c r="F100" s="192" t="s">
        <v>40</v>
      </c>
      <c r="G100" s="192" t="s">
        <v>60</v>
      </c>
      <c r="H100" s="192" t="s">
        <v>79</v>
      </c>
      <c r="I100" s="192" t="s">
        <v>84</v>
      </c>
      <c r="J100" s="121" t="s">
        <v>1796</v>
      </c>
      <c r="K100" s="192" t="s">
        <v>151</v>
      </c>
      <c r="L100" s="192" t="s">
        <v>81</v>
      </c>
      <c r="M100" s="146" t="s">
        <v>5</v>
      </c>
      <c r="N100" s="160" t="s">
        <v>210</v>
      </c>
      <c r="O100" s="192" t="s">
        <v>86</v>
      </c>
      <c r="P100" s="192" t="s">
        <v>87</v>
      </c>
      <c r="Q100" s="161">
        <v>46036.6027777778</v>
      </c>
      <c r="R100" s="145">
        <v>46044</v>
      </c>
      <c r="S100" s="192"/>
    </row>
    <row r="101" spans="1:19" ht="114.6" customHeight="1" x14ac:dyDescent="0.25">
      <c r="A101" s="197" t="str">
        <f t="shared" si="3"/>
        <v>INC20260114100</v>
      </c>
      <c r="B101" s="159">
        <v>46036.616666666698</v>
      </c>
      <c r="C101" s="192" t="s">
        <v>77</v>
      </c>
      <c r="D101" s="194" t="s">
        <v>78</v>
      </c>
      <c r="E101" s="192" t="s">
        <v>69</v>
      </c>
      <c r="F101" s="192" t="s">
        <v>40</v>
      </c>
      <c r="G101" s="192" t="s">
        <v>60</v>
      </c>
      <c r="H101" s="192" t="s">
        <v>79</v>
      </c>
      <c r="I101" s="192" t="s">
        <v>80</v>
      </c>
      <c r="J101" s="121" t="s">
        <v>1797</v>
      </c>
      <c r="K101" s="192" t="s">
        <v>110</v>
      </c>
      <c r="L101" s="192" t="s">
        <v>81</v>
      </c>
      <c r="M101" s="146" t="s">
        <v>5</v>
      </c>
      <c r="N101" s="160" t="s">
        <v>211</v>
      </c>
      <c r="O101" s="197" t="s">
        <v>83</v>
      </c>
      <c r="P101" s="197" t="s">
        <v>1366</v>
      </c>
      <c r="Q101" s="161">
        <v>46036.672222222202</v>
      </c>
      <c r="R101" s="145">
        <v>46044</v>
      </c>
      <c r="S101" s="192"/>
    </row>
    <row r="102" spans="1:19" ht="115.2" customHeight="1" x14ac:dyDescent="0.25">
      <c r="A102" s="197" t="str">
        <f t="shared" si="3"/>
        <v>INC20260114101</v>
      </c>
      <c r="B102" s="159">
        <v>46036.970138888901</v>
      </c>
      <c r="C102" s="192" t="s">
        <v>77</v>
      </c>
      <c r="D102" s="194" t="s">
        <v>78</v>
      </c>
      <c r="E102" s="192" t="s">
        <v>69</v>
      </c>
      <c r="F102" s="192" t="s">
        <v>40</v>
      </c>
      <c r="G102" s="192" t="s">
        <v>60</v>
      </c>
      <c r="H102" s="192" t="s">
        <v>79</v>
      </c>
      <c r="I102" s="192" t="s">
        <v>84</v>
      </c>
      <c r="J102" s="121" t="s">
        <v>1798</v>
      </c>
      <c r="K102" s="192" t="s">
        <v>151</v>
      </c>
      <c r="L102" s="192" t="s">
        <v>81</v>
      </c>
      <c r="M102" s="146" t="s">
        <v>5</v>
      </c>
      <c r="N102" s="160" t="s">
        <v>212</v>
      </c>
      <c r="O102" s="192" t="s">
        <v>86</v>
      </c>
      <c r="P102" s="192" t="s">
        <v>87</v>
      </c>
      <c r="Q102" s="159">
        <v>46036.984027777798</v>
      </c>
      <c r="R102" s="145">
        <v>46044</v>
      </c>
      <c r="S102" s="192"/>
    </row>
    <row r="103" spans="1:19" ht="97.2" customHeight="1" x14ac:dyDescent="0.25">
      <c r="A103" s="197" t="str">
        <f t="shared" si="3"/>
        <v>INC20260115102</v>
      </c>
      <c r="B103" s="159">
        <v>46037.559722222199</v>
      </c>
      <c r="C103" s="192" t="s">
        <v>77</v>
      </c>
      <c r="D103" s="194" t="s">
        <v>78</v>
      </c>
      <c r="E103" s="192" t="s">
        <v>69</v>
      </c>
      <c r="F103" s="192" t="s">
        <v>40</v>
      </c>
      <c r="G103" s="192" t="s">
        <v>60</v>
      </c>
      <c r="H103" s="192" t="s">
        <v>79</v>
      </c>
      <c r="I103" s="192" t="s">
        <v>84</v>
      </c>
      <c r="J103" s="121" t="s">
        <v>1799</v>
      </c>
      <c r="K103" s="192" t="s">
        <v>151</v>
      </c>
      <c r="L103" s="192" t="s">
        <v>81</v>
      </c>
      <c r="M103" s="146" t="s">
        <v>5</v>
      </c>
      <c r="N103" s="160" t="s">
        <v>213</v>
      </c>
      <c r="O103" s="192" t="s">
        <v>86</v>
      </c>
      <c r="P103" s="192" t="s">
        <v>87</v>
      </c>
      <c r="Q103" s="159">
        <v>46037.568055555603</v>
      </c>
      <c r="R103" s="145">
        <v>46044</v>
      </c>
      <c r="S103" s="192"/>
    </row>
    <row r="104" spans="1:19" ht="122.4" customHeight="1" x14ac:dyDescent="0.25">
      <c r="A104" s="197" t="str">
        <f t="shared" si="3"/>
        <v>INC20260115103</v>
      </c>
      <c r="B104" s="159">
        <v>46037.564583333296</v>
      </c>
      <c r="C104" s="192" t="s">
        <v>77</v>
      </c>
      <c r="D104" s="194" t="s">
        <v>78</v>
      </c>
      <c r="E104" s="192" t="s">
        <v>69</v>
      </c>
      <c r="F104" s="192" t="s">
        <v>40</v>
      </c>
      <c r="G104" s="192" t="s">
        <v>60</v>
      </c>
      <c r="H104" s="192" t="s">
        <v>79</v>
      </c>
      <c r="I104" s="192" t="s">
        <v>84</v>
      </c>
      <c r="J104" s="121" t="s">
        <v>1800</v>
      </c>
      <c r="K104" s="192" t="s">
        <v>110</v>
      </c>
      <c r="L104" s="192" t="s">
        <v>81</v>
      </c>
      <c r="M104" s="146" t="s">
        <v>5</v>
      </c>
      <c r="N104" s="160" t="s">
        <v>214</v>
      </c>
      <c r="O104" s="192" t="s">
        <v>86</v>
      </c>
      <c r="P104" s="192" t="s">
        <v>87</v>
      </c>
      <c r="Q104" s="159">
        <v>46037.5756944444</v>
      </c>
      <c r="R104" s="145">
        <v>46044</v>
      </c>
      <c r="S104" s="192"/>
    </row>
    <row r="105" spans="1:19" ht="93.6" customHeight="1" x14ac:dyDescent="0.25">
      <c r="A105" s="197" t="str">
        <f t="shared" si="3"/>
        <v>INC20260115104</v>
      </c>
      <c r="B105" s="159">
        <v>46037.770833333299</v>
      </c>
      <c r="C105" s="192" t="s">
        <v>77</v>
      </c>
      <c r="D105" s="194" t="s">
        <v>78</v>
      </c>
      <c r="E105" s="192" t="s">
        <v>74</v>
      </c>
      <c r="F105" s="192" t="s">
        <v>40</v>
      </c>
      <c r="G105" s="192" t="s">
        <v>60</v>
      </c>
      <c r="H105" s="192" t="s">
        <v>79</v>
      </c>
      <c r="I105" s="192" t="s">
        <v>84</v>
      </c>
      <c r="J105" s="121" t="s">
        <v>1801</v>
      </c>
      <c r="K105" s="192" t="s">
        <v>63</v>
      </c>
      <c r="L105" s="192" t="s">
        <v>81</v>
      </c>
      <c r="M105" s="146" t="s">
        <v>5</v>
      </c>
      <c r="N105" s="160" t="s">
        <v>215</v>
      </c>
      <c r="O105" s="192" t="s">
        <v>86</v>
      </c>
      <c r="P105" s="192" t="s">
        <v>87</v>
      </c>
      <c r="Q105" s="161">
        <v>46037.774305555598</v>
      </c>
      <c r="R105" s="145">
        <v>46044</v>
      </c>
      <c r="S105" s="192"/>
    </row>
    <row r="106" spans="1:19" ht="102.6" customHeight="1" x14ac:dyDescent="0.25">
      <c r="A106" s="197" t="str">
        <f t="shared" si="3"/>
        <v>INC20260116105</v>
      </c>
      <c r="B106" s="159">
        <v>46038.603472222203</v>
      </c>
      <c r="C106" s="192" t="s">
        <v>77</v>
      </c>
      <c r="D106" s="194" t="s">
        <v>78</v>
      </c>
      <c r="E106" s="192" t="s">
        <v>69</v>
      </c>
      <c r="F106" s="192" t="s">
        <v>40</v>
      </c>
      <c r="G106" s="192" t="s">
        <v>60</v>
      </c>
      <c r="H106" s="192" t="s">
        <v>79</v>
      </c>
      <c r="I106" s="192" t="s">
        <v>84</v>
      </c>
      <c r="J106" s="121" t="s">
        <v>1802</v>
      </c>
      <c r="K106" s="192" t="s">
        <v>107</v>
      </c>
      <c r="L106" s="192" t="s">
        <v>81</v>
      </c>
      <c r="M106" s="146" t="s">
        <v>5</v>
      </c>
      <c r="N106" s="160" t="s">
        <v>216</v>
      </c>
      <c r="O106" s="192" t="s">
        <v>86</v>
      </c>
      <c r="P106" s="192" t="s">
        <v>87</v>
      </c>
      <c r="Q106" s="159">
        <v>46038.620138888902</v>
      </c>
      <c r="R106" s="145">
        <v>46044</v>
      </c>
      <c r="S106" s="192"/>
    </row>
    <row r="107" spans="1:19" ht="93" customHeight="1" x14ac:dyDescent="0.25">
      <c r="A107" s="197" t="str">
        <f t="shared" si="3"/>
        <v>INC20260116106</v>
      </c>
      <c r="B107" s="159">
        <v>46038.752777777801</v>
      </c>
      <c r="C107" s="192" t="s">
        <v>77</v>
      </c>
      <c r="D107" s="194" t="s">
        <v>78</v>
      </c>
      <c r="E107" s="197" t="s">
        <v>58</v>
      </c>
      <c r="F107" s="192" t="s">
        <v>40</v>
      </c>
      <c r="G107" s="192" t="s">
        <v>60</v>
      </c>
      <c r="H107" s="192" t="s">
        <v>79</v>
      </c>
      <c r="I107" s="192" t="s">
        <v>84</v>
      </c>
      <c r="J107" s="121" t="s">
        <v>1803</v>
      </c>
      <c r="K107" s="192" t="s">
        <v>63</v>
      </c>
      <c r="L107" s="192" t="s">
        <v>81</v>
      </c>
      <c r="M107" s="146" t="s">
        <v>5</v>
      </c>
      <c r="N107" s="160" t="s">
        <v>217</v>
      </c>
      <c r="O107" s="192" t="s">
        <v>86</v>
      </c>
      <c r="P107" s="192" t="s">
        <v>87</v>
      </c>
      <c r="Q107" s="145"/>
      <c r="R107" s="145">
        <v>46044</v>
      </c>
      <c r="S107" s="192"/>
    </row>
    <row r="108" spans="1:19" ht="94.8" customHeight="1" x14ac:dyDescent="0.25">
      <c r="A108" s="197" t="str">
        <f t="shared" si="3"/>
        <v>INC20260116107</v>
      </c>
      <c r="B108" s="159">
        <v>46038.807638888902</v>
      </c>
      <c r="C108" s="192" t="s">
        <v>77</v>
      </c>
      <c r="D108" s="194" t="s">
        <v>78</v>
      </c>
      <c r="E108" s="192" t="s">
        <v>69</v>
      </c>
      <c r="F108" s="192" t="s">
        <v>40</v>
      </c>
      <c r="G108" s="192" t="s">
        <v>60</v>
      </c>
      <c r="H108" s="192" t="s">
        <v>79</v>
      </c>
      <c r="I108" s="192" t="s">
        <v>84</v>
      </c>
      <c r="J108" s="121" t="s">
        <v>1804</v>
      </c>
      <c r="K108" s="192" t="s">
        <v>63</v>
      </c>
      <c r="L108" s="192" t="s">
        <v>81</v>
      </c>
      <c r="M108" s="146" t="s">
        <v>5</v>
      </c>
      <c r="N108" s="160" t="s">
        <v>218</v>
      </c>
      <c r="O108" s="192" t="s">
        <v>86</v>
      </c>
      <c r="P108" s="192" t="s">
        <v>87</v>
      </c>
      <c r="Q108" s="161">
        <v>46038.811805555597</v>
      </c>
      <c r="R108" s="145">
        <v>46044</v>
      </c>
      <c r="S108" s="192"/>
    </row>
    <row r="109" spans="1:19" ht="98.4" customHeight="1" x14ac:dyDescent="0.25">
      <c r="A109" s="197" t="str">
        <f t="shared" si="3"/>
        <v>INC20260116108</v>
      </c>
      <c r="B109" s="159">
        <v>46038.827083333301</v>
      </c>
      <c r="C109" s="192" t="s">
        <v>77</v>
      </c>
      <c r="D109" s="194" t="s">
        <v>78</v>
      </c>
      <c r="E109" s="192" t="s">
        <v>69</v>
      </c>
      <c r="F109" s="192" t="s">
        <v>40</v>
      </c>
      <c r="G109" s="192" t="s">
        <v>60</v>
      </c>
      <c r="H109" s="192" t="s">
        <v>79</v>
      </c>
      <c r="I109" s="192" t="s">
        <v>84</v>
      </c>
      <c r="J109" s="121" t="s">
        <v>1805</v>
      </c>
      <c r="K109" s="192" t="s">
        <v>63</v>
      </c>
      <c r="L109" s="192" t="s">
        <v>81</v>
      </c>
      <c r="M109" s="146" t="s">
        <v>5</v>
      </c>
      <c r="N109" s="160" t="s">
        <v>219</v>
      </c>
      <c r="O109" s="192" t="s">
        <v>86</v>
      </c>
      <c r="P109" s="192" t="s">
        <v>87</v>
      </c>
      <c r="Q109" s="161">
        <v>46038.827777777798</v>
      </c>
      <c r="R109" s="145">
        <v>46044</v>
      </c>
      <c r="S109" s="192"/>
    </row>
    <row r="110" spans="1:19" ht="93" customHeight="1" x14ac:dyDescent="0.25">
      <c r="A110" s="197" t="str">
        <f t="shared" si="3"/>
        <v>INC20260116109</v>
      </c>
      <c r="B110" s="159">
        <v>46038.854861111096</v>
      </c>
      <c r="C110" s="192" t="s">
        <v>77</v>
      </c>
      <c r="D110" s="194" t="s">
        <v>78</v>
      </c>
      <c r="E110" s="192" t="s">
        <v>69</v>
      </c>
      <c r="F110" s="192" t="s">
        <v>40</v>
      </c>
      <c r="G110" s="192" t="s">
        <v>60</v>
      </c>
      <c r="H110" s="192" t="s">
        <v>79</v>
      </c>
      <c r="I110" s="192" t="s">
        <v>84</v>
      </c>
      <c r="J110" s="121" t="s">
        <v>1806</v>
      </c>
      <c r="K110" s="192" t="s">
        <v>63</v>
      </c>
      <c r="L110" s="192" t="s">
        <v>81</v>
      </c>
      <c r="M110" s="146" t="s">
        <v>5</v>
      </c>
      <c r="N110" s="160" t="s">
        <v>220</v>
      </c>
      <c r="O110" s="192" t="s">
        <v>86</v>
      </c>
      <c r="P110" s="192" t="s">
        <v>87</v>
      </c>
      <c r="Q110" s="161">
        <v>46038.8569444444</v>
      </c>
      <c r="R110" s="145">
        <v>46044</v>
      </c>
      <c r="S110" s="192"/>
    </row>
    <row r="111" spans="1:19" ht="95.4" customHeight="1" x14ac:dyDescent="0.25">
      <c r="A111" s="197" t="str">
        <f t="shared" ref="A111:A122" si="4">"INC"&amp;TEXT(B111,"yyyymmdd")&amp;TEXT(ROW(A111)-1,"000")</f>
        <v>INC20260116110</v>
      </c>
      <c r="B111" s="159">
        <v>46038.602083333302</v>
      </c>
      <c r="C111" s="192" t="s">
        <v>77</v>
      </c>
      <c r="D111" s="194" t="s">
        <v>78</v>
      </c>
      <c r="E111" s="192" t="s">
        <v>69</v>
      </c>
      <c r="F111" s="192" t="s">
        <v>40</v>
      </c>
      <c r="G111" s="192" t="s">
        <v>60</v>
      </c>
      <c r="H111" s="192" t="s">
        <v>79</v>
      </c>
      <c r="I111" s="192" t="s">
        <v>84</v>
      </c>
      <c r="J111" s="121" t="s">
        <v>1807</v>
      </c>
      <c r="K111" s="192" t="s">
        <v>63</v>
      </c>
      <c r="L111" s="192" t="s">
        <v>81</v>
      </c>
      <c r="M111" s="146" t="s">
        <v>5</v>
      </c>
      <c r="N111" s="160" t="s">
        <v>221</v>
      </c>
      <c r="O111" s="192" t="s">
        <v>86</v>
      </c>
      <c r="P111" s="192" t="s">
        <v>87</v>
      </c>
      <c r="Q111" s="159">
        <v>46038.604166666701</v>
      </c>
      <c r="R111" s="145">
        <v>46044</v>
      </c>
      <c r="S111" s="192"/>
    </row>
    <row r="112" spans="1:19" ht="100.8" customHeight="1" x14ac:dyDescent="0.25">
      <c r="A112" s="197" t="str">
        <f t="shared" si="4"/>
        <v>INC20260117111</v>
      </c>
      <c r="B112" s="159">
        <v>46039.477083333302</v>
      </c>
      <c r="C112" s="192" t="s">
        <v>77</v>
      </c>
      <c r="D112" s="194" t="s">
        <v>78</v>
      </c>
      <c r="E112" s="192" t="s">
        <v>69</v>
      </c>
      <c r="F112" s="192" t="s">
        <v>40</v>
      </c>
      <c r="G112" s="192" t="s">
        <v>60</v>
      </c>
      <c r="H112" s="192" t="s">
        <v>79</v>
      </c>
      <c r="I112" s="192" t="s">
        <v>84</v>
      </c>
      <c r="J112" s="121" t="s">
        <v>1808</v>
      </c>
      <c r="K112" s="192" t="s">
        <v>151</v>
      </c>
      <c r="L112" s="192" t="s">
        <v>81</v>
      </c>
      <c r="M112" s="146" t="s">
        <v>5</v>
      </c>
      <c r="N112" s="160" t="s">
        <v>222</v>
      </c>
      <c r="O112" s="192" t="s">
        <v>86</v>
      </c>
      <c r="P112" s="192" t="s">
        <v>87</v>
      </c>
      <c r="Q112" s="159">
        <v>46038.4777777778</v>
      </c>
      <c r="R112" s="145">
        <v>46044</v>
      </c>
      <c r="S112" s="192"/>
    </row>
    <row r="113" spans="1:19" ht="104.4" customHeight="1" x14ac:dyDescent="0.25">
      <c r="A113" s="197" t="str">
        <f t="shared" si="4"/>
        <v>INC20260117112</v>
      </c>
      <c r="B113" s="159">
        <v>46039.637499999997</v>
      </c>
      <c r="C113" s="192" t="s">
        <v>77</v>
      </c>
      <c r="D113" s="194" t="s">
        <v>78</v>
      </c>
      <c r="E113" s="192" t="s">
        <v>69</v>
      </c>
      <c r="F113" s="192" t="s">
        <v>40</v>
      </c>
      <c r="G113" s="192" t="s">
        <v>60</v>
      </c>
      <c r="H113" s="192" t="s">
        <v>79</v>
      </c>
      <c r="I113" s="192" t="s">
        <v>84</v>
      </c>
      <c r="J113" s="121" t="s">
        <v>1809</v>
      </c>
      <c r="K113" s="192" t="s">
        <v>151</v>
      </c>
      <c r="L113" s="192" t="s">
        <v>81</v>
      </c>
      <c r="M113" s="146" t="s">
        <v>5</v>
      </c>
      <c r="N113" s="160" t="s">
        <v>223</v>
      </c>
      <c r="O113" s="192" t="s">
        <v>86</v>
      </c>
      <c r="P113" s="192" t="s">
        <v>87</v>
      </c>
      <c r="Q113" s="159">
        <v>46039.670138888898</v>
      </c>
      <c r="R113" s="145">
        <v>46044</v>
      </c>
      <c r="S113" s="192"/>
    </row>
    <row r="114" spans="1:19" ht="95.4" customHeight="1" x14ac:dyDescent="0.25">
      <c r="A114" s="197" t="str">
        <f t="shared" si="4"/>
        <v>INC20260118113</v>
      </c>
      <c r="B114" s="159">
        <v>46040.386111111096</v>
      </c>
      <c r="C114" s="192" t="s">
        <v>77</v>
      </c>
      <c r="D114" s="194" t="s">
        <v>78</v>
      </c>
      <c r="E114" s="192" t="s">
        <v>69</v>
      </c>
      <c r="F114" s="192" t="s">
        <v>40</v>
      </c>
      <c r="G114" s="192" t="s">
        <v>60</v>
      </c>
      <c r="H114" s="192" t="s">
        <v>79</v>
      </c>
      <c r="I114" s="192" t="s">
        <v>84</v>
      </c>
      <c r="J114" s="121" t="s">
        <v>1810</v>
      </c>
      <c r="K114" s="192" t="s">
        <v>151</v>
      </c>
      <c r="L114" s="192" t="s">
        <v>81</v>
      </c>
      <c r="M114" s="146" t="s">
        <v>5</v>
      </c>
      <c r="N114" s="160" t="s">
        <v>224</v>
      </c>
      <c r="O114" s="192" t="s">
        <v>86</v>
      </c>
      <c r="P114" s="192" t="s">
        <v>87</v>
      </c>
      <c r="Q114" s="159">
        <v>46040.387499999997</v>
      </c>
      <c r="R114" s="145">
        <v>46044</v>
      </c>
      <c r="S114" s="192"/>
    </row>
    <row r="115" spans="1:19" ht="105" customHeight="1" x14ac:dyDescent="0.25">
      <c r="A115" s="197" t="str">
        <f t="shared" si="4"/>
        <v>INC20260118114</v>
      </c>
      <c r="B115" s="159">
        <v>46040.334027777797</v>
      </c>
      <c r="C115" s="192" t="s">
        <v>77</v>
      </c>
      <c r="D115" s="194" t="s">
        <v>78</v>
      </c>
      <c r="E115" s="192" t="s">
        <v>225</v>
      </c>
      <c r="F115" s="192" t="s">
        <v>40</v>
      </c>
      <c r="G115" s="192" t="s">
        <v>60</v>
      </c>
      <c r="H115" s="192" t="s">
        <v>79</v>
      </c>
      <c r="I115" s="192" t="s">
        <v>80</v>
      </c>
      <c r="J115" s="121" t="s">
        <v>1811</v>
      </c>
      <c r="K115" s="192" t="s">
        <v>110</v>
      </c>
      <c r="L115" s="192" t="s">
        <v>81</v>
      </c>
      <c r="M115" s="146" t="s">
        <v>5</v>
      </c>
      <c r="N115" s="160" t="s">
        <v>226</v>
      </c>
      <c r="O115" s="197" t="s">
        <v>83</v>
      </c>
      <c r="P115" s="197" t="s">
        <v>1366</v>
      </c>
      <c r="Q115" s="159">
        <v>46040.497916666704</v>
      </c>
      <c r="R115" s="145">
        <v>46044</v>
      </c>
      <c r="S115" s="192"/>
    </row>
    <row r="116" spans="1:19" ht="115.2" customHeight="1" x14ac:dyDescent="0.25">
      <c r="A116" s="197" t="str">
        <f t="shared" si="4"/>
        <v>INC20260118115</v>
      </c>
      <c r="B116" s="159">
        <v>46040.548611111102</v>
      </c>
      <c r="C116" s="192" t="s">
        <v>77</v>
      </c>
      <c r="D116" s="194" t="s">
        <v>78</v>
      </c>
      <c r="E116" s="192" t="s">
        <v>69</v>
      </c>
      <c r="F116" s="192" t="s">
        <v>40</v>
      </c>
      <c r="G116" s="192" t="s">
        <v>60</v>
      </c>
      <c r="H116" s="192" t="s">
        <v>79</v>
      </c>
      <c r="I116" s="192" t="s">
        <v>84</v>
      </c>
      <c r="J116" s="121" t="s">
        <v>1812</v>
      </c>
      <c r="K116" s="192" t="s">
        <v>151</v>
      </c>
      <c r="L116" s="192" t="s">
        <v>81</v>
      </c>
      <c r="M116" s="146" t="s">
        <v>5</v>
      </c>
      <c r="N116" s="160" t="s">
        <v>227</v>
      </c>
      <c r="O116" s="192" t="s">
        <v>86</v>
      </c>
      <c r="P116" s="192" t="s">
        <v>87</v>
      </c>
      <c r="Q116" s="159">
        <v>46040.552777777797</v>
      </c>
      <c r="R116" s="145">
        <v>46044</v>
      </c>
      <c r="S116" s="192"/>
    </row>
    <row r="117" spans="1:19" ht="103.2" customHeight="1" x14ac:dyDescent="0.25">
      <c r="A117" s="197" t="str">
        <f t="shared" si="4"/>
        <v>INC20260118116</v>
      </c>
      <c r="B117" s="159">
        <v>46040.561111111099</v>
      </c>
      <c r="C117" s="192" t="s">
        <v>77</v>
      </c>
      <c r="D117" s="194" t="s">
        <v>78</v>
      </c>
      <c r="E117" s="192" t="s">
        <v>69</v>
      </c>
      <c r="F117" s="192" t="s">
        <v>40</v>
      </c>
      <c r="G117" s="192" t="s">
        <v>60</v>
      </c>
      <c r="H117" s="192" t="s">
        <v>79</v>
      </c>
      <c r="I117" s="192" t="s">
        <v>84</v>
      </c>
      <c r="J117" s="121" t="s">
        <v>1813</v>
      </c>
      <c r="K117" s="192" t="s">
        <v>151</v>
      </c>
      <c r="L117" s="192" t="s">
        <v>81</v>
      </c>
      <c r="M117" s="146" t="s">
        <v>5</v>
      </c>
      <c r="N117" s="160" t="s">
        <v>228</v>
      </c>
      <c r="O117" s="192" t="s">
        <v>86</v>
      </c>
      <c r="P117" s="192" t="s">
        <v>87</v>
      </c>
      <c r="Q117" s="159">
        <v>46040.561805555597</v>
      </c>
      <c r="R117" s="145">
        <v>46044</v>
      </c>
      <c r="S117" s="192"/>
    </row>
    <row r="118" spans="1:19" ht="103.2" customHeight="1" x14ac:dyDescent="0.25">
      <c r="A118" s="197" t="str">
        <f t="shared" si="4"/>
        <v>INC20260118117</v>
      </c>
      <c r="B118" s="159">
        <v>46040.508333333302</v>
      </c>
      <c r="C118" s="192" t="s">
        <v>77</v>
      </c>
      <c r="D118" s="194" t="s">
        <v>78</v>
      </c>
      <c r="E118" s="192" t="s">
        <v>225</v>
      </c>
      <c r="F118" s="192" t="s">
        <v>40</v>
      </c>
      <c r="G118" s="192" t="s">
        <v>60</v>
      </c>
      <c r="H118" s="192" t="s">
        <v>79</v>
      </c>
      <c r="I118" s="192" t="s">
        <v>80</v>
      </c>
      <c r="J118" s="121" t="s">
        <v>1814</v>
      </c>
      <c r="K118" s="192" t="s">
        <v>110</v>
      </c>
      <c r="L118" s="192" t="s">
        <v>81</v>
      </c>
      <c r="M118" s="146" t="s">
        <v>5</v>
      </c>
      <c r="N118" s="160" t="s">
        <v>229</v>
      </c>
      <c r="O118" s="197" t="s">
        <v>83</v>
      </c>
      <c r="P118" s="197" t="s">
        <v>1366</v>
      </c>
      <c r="Q118" s="159">
        <v>46040.558333333298</v>
      </c>
      <c r="R118" s="145">
        <v>46044</v>
      </c>
      <c r="S118" s="192"/>
    </row>
    <row r="119" spans="1:19" ht="95.4" customHeight="1" x14ac:dyDescent="0.25">
      <c r="A119" s="197" t="str">
        <f t="shared" si="4"/>
        <v>INC20260119118</v>
      </c>
      <c r="B119" s="159">
        <v>46041.000694444403</v>
      </c>
      <c r="C119" s="192" t="s">
        <v>77</v>
      </c>
      <c r="D119" s="194" t="s">
        <v>78</v>
      </c>
      <c r="E119" s="197" t="s">
        <v>58</v>
      </c>
      <c r="F119" s="192" t="s">
        <v>40</v>
      </c>
      <c r="G119" s="192" t="s">
        <v>60</v>
      </c>
      <c r="H119" s="192" t="s">
        <v>79</v>
      </c>
      <c r="I119" s="192" t="s">
        <v>80</v>
      </c>
      <c r="J119" s="121" t="s">
        <v>1815</v>
      </c>
      <c r="K119" s="192" t="s">
        <v>63</v>
      </c>
      <c r="L119" s="192" t="s">
        <v>81</v>
      </c>
      <c r="M119" s="146" t="s">
        <v>5</v>
      </c>
      <c r="N119" s="160" t="s">
        <v>230</v>
      </c>
      <c r="O119" s="197" t="s">
        <v>83</v>
      </c>
      <c r="P119" s="197" t="s">
        <v>1366</v>
      </c>
      <c r="Q119" s="145"/>
      <c r="R119" s="145">
        <v>46044</v>
      </c>
      <c r="S119" s="192"/>
    </row>
    <row r="120" spans="1:19" ht="97.2" customHeight="1" x14ac:dyDescent="0.25">
      <c r="A120" s="197" t="str">
        <f t="shared" si="4"/>
        <v>INC20260119119</v>
      </c>
      <c r="B120" s="159">
        <v>46041.036111111098</v>
      </c>
      <c r="C120" s="192" t="s">
        <v>77</v>
      </c>
      <c r="D120" s="194" t="s">
        <v>78</v>
      </c>
      <c r="E120" s="197" t="s">
        <v>58</v>
      </c>
      <c r="F120" s="192" t="s">
        <v>40</v>
      </c>
      <c r="G120" s="192" t="s">
        <v>60</v>
      </c>
      <c r="H120" s="192" t="s">
        <v>79</v>
      </c>
      <c r="I120" s="192" t="s">
        <v>84</v>
      </c>
      <c r="J120" s="121" t="s">
        <v>1816</v>
      </c>
      <c r="K120" s="192" t="s">
        <v>63</v>
      </c>
      <c r="L120" s="192" t="s">
        <v>81</v>
      </c>
      <c r="M120" s="146" t="s">
        <v>5</v>
      </c>
      <c r="N120" s="160" t="s">
        <v>231</v>
      </c>
      <c r="O120" s="192" t="s">
        <v>86</v>
      </c>
      <c r="P120" s="192" t="s">
        <v>87</v>
      </c>
      <c r="Q120" s="145"/>
      <c r="R120" s="145">
        <v>46044</v>
      </c>
      <c r="S120" s="192"/>
    </row>
    <row r="121" spans="1:19" ht="98.4" customHeight="1" x14ac:dyDescent="0.25">
      <c r="A121" s="197" t="str">
        <f t="shared" si="4"/>
        <v>INC20260119120</v>
      </c>
      <c r="B121" s="159">
        <v>46041.084027777797</v>
      </c>
      <c r="C121" s="192" t="s">
        <v>77</v>
      </c>
      <c r="D121" s="194" t="s">
        <v>78</v>
      </c>
      <c r="E121" s="197" t="s">
        <v>58</v>
      </c>
      <c r="F121" s="192" t="s">
        <v>40</v>
      </c>
      <c r="G121" s="192" t="s">
        <v>60</v>
      </c>
      <c r="H121" s="192" t="s">
        <v>79</v>
      </c>
      <c r="I121" s="192" t="s">
        <v>80</v>
      </c>
      <c r="J121" s="121" t="s">
        <v>1817</v>
      </c>
      <c r="K121" s="192" t="s">
        <v>63</v>
      </c>
      <c r="L121" s="192" t="s">
        <v>81</v>
      </c>
      <c r="M121" s="146" t="s">
        <v>5</v>
      </c>
      <c r="N121" s="160" t="s">
        <v>232</v>
      </c>
      <c r="O121" s="197" t="s">
        <v>83</v>
      </c>
      <c r="P121" s="197" t="s">
        <v>1366</v>
      </c>
      <c r="Q121" s="145"/>
      <c r="R121" s="145">
        <v>46044</v>
      </c>
      <c r="S121" s="192"/>
    </row>
    <row r="122" spans="1:19" ht="104.4" customHeight="1" x14ac:dyDescent="0.25">
      <c r="A122" s="197" t="str">
        <f t="shared" si="4"/>
        <v>INC20260119121</v>
      </c>
      <c r="B122" s="159">
        <v>46041.1652777778</v>
      </c>
      <c r="C122" s="192" t="s">
        <v>77</v>
      </c>
      <c r="D122" s="194" t="s">
        <v>78</v>
      </c>
      <c r="E122" s="197" t="s">
        <v>58</v>
      </c>
      <c r="F122" s="192" t="s">
        <v>40</v>
      </c>
      <c r="G122" s="192" t="s">
        <v>60</v>
      </c>
      <c r="H122" s="192" t="s">
        <v>79</v>
      </c>
      <c r="I122" s="192" t="s">
        <v>84</v>
      </c>
      <c r="J122" s="121" t="s">
        <v>1818</v>
      </c>
      <c r="K122" s="192" t="s">
        <v>63</v>
      </c>
      <c r="L122" s="192" t="s">
        <v>81</v>
      </c>
      <c r="M122" s="146" t="s">
        <v>5</v>
      </c>
      <c r="N122" s="160" t="s">
        <v>233</v>
      </c>
      <c r="O122" s="192" t="s">
        <v>86</v>
      </c>
      <c r="P122" s="192" t="s">
        <v>87</v>
      </c>
      <c r="Q122" s="145">
        <v>46042</v>
      </c>
      <c r="R122" s="145">
        <v>46044</v>
      </c>
      <c r="S122" s="192"/>
    </row>
    <row r="123" spans="1:19" ht="138" customHeight="1" x14ac:dyDescent="0.25">
      <c r="A123" s="197" t="str">
        <f t="shared" ref="A123:A160" si="5">"INC"&amp;TEXT(B123,"yyyymmdd")&amp;TEXT(ROW(A123)-1,"000")</f>
        <v>INC20260119122</v>
      </c>
      <c r="B123" s="200">
        <v>46041.710416666698</v>
      </c>
      <c r="C123" s="192" t="s">
        <v>37</v>
      </c>
      <c r="D123" s="194" t="s">
        <v>57</v>
      </c>
      <c r="E123" s="192" t="s">
        <v>74</v>
      </c>
      <c r="F123" s="192" t="s">
        <v>59</v>
      </c>
      <c r="G123" s="192" t="s">
        <v>60</v>
      </c>
      <c r="H123" s="192" t="s">
        <v>61</v>
      </c>
      <c r="I123" s="192" t="s">
        <v>62</v>
      </c>
      <c r="J123" s="121" t="s">
        <v>1819</v>
      </c>
      <c r="K123" s="192" t="s">
        <v>63</v>
      </c>
      <c r="L123" s="192" t="s">
        <v>64</v>
      </c>
      <c r="M123" s="143" t="s">
        <v>5</v>
      </c>
      <c r="N123" s="192" t="s">
        <v>234</v>
      </c>
      <c r="O123" s="192" t="s">
        <v>66</v>
      </c>
      <c r="P123" s="192" t="s">
        <v>67</v>
      </c>
      <c r="Q123" s="145"/>
      <c r="R123" s="145">
        <v>46044</v>
      </c>
      <c r="S123" s="192"/>
    </row>
    <row r="124" spans="1:19" ht="77.400000000000006" customHeight="1" x14ac:dyDescent="0.25">
      <c r="A124" s="197" t="str">
        <f t="shared" si="5"/>
        <v>INC20260119123</v>
      </c>
      <c r="B124" s="199">
        <v>46041.719444444403</v>
      </c>
      <c r="C124" s="192" t="s">
        <v>37</v>
      </c>
      <c r="D124" s="194" t="s">
        <v>49</v>
      </c>
      <c r="E124" s="192" t="s">
        <v>50</v>
      </c>
      <c r="F124" s="192" t="s">
        <v>40</v>
      </c>
      <c r="G124" s="192" t="s">
        <v>51</v>
      </c>
      <c r="H124" s="192" t="s">
        <v>92</v>
      </c>
      <c r="I124" s="192" t="s">
        <v>93</v>
      </c>
      <c r="J124" s="195" t="s">
        <v>1820</v>
      </c>
      <c r="K124" s="192" t="s">
        <v>54</v>
      </c>
      <c r="L124" s="192" t="s">
        <v>55</v>
      </c>
      <c r="M124" s="146" t="s">
        <v>5</v>
      </c>
      <c r="N124" s="192" t="s">
        <v>235</v>
      </c>
      <c r="O124" s="192" t="s">
        <v>95</v>
      </c>
      <c r="P124" s="192" t="s">
        <v>96</v>
      </c>
      <c r="Q124" s="145"/>
      <c r="R124" s="145">
        <v>46044</v>
      </c>
      <c r="S124" s="192"/>
    </row>
    <row r="125" spans="1:19" ht="89.4" customHeight="1" x14ac:dyDescent="0.25">
      <c r="A125" s="197" t="str">
        <f t="shared" si="5"/>
        <v>INC20260119124</v>
      </c>
      <c r="B125" s="199">
        <v>46041.735416666699</v>
      </c>
      <c r="C125" s="192" t="s">
        <v>37</v>
      </c>
      <c r="D125" s="194" t="s">
        <v>49</v>
      </c>
      <c r="E125" s="192" t="s">
        <v>50</v>
      </c>
      <c r="F125" s="192" t="s">
        <v>40</v>
      </c>
      <c r="G125" s="192" t="s">
        <v>51</v>
      </c>
      <c r="H125" s="192" t="s">
        <v>92</v>
      </c>
      <c r="I125" s="192" t="s">
        <v>93</v>
      </c>
      <c r="J125" s="195" t="s">
        <v>1821</v>
      </c>
      <c r="K125" s="192" t="s">
        <v>54</v>
      </c>
      <c r="L125" s="192" t="s">
        <v>55</v>
      </c>
      <c r="M125" s="146" t="s">
        <v>5</v>
      </c>
      <c r="N125" s="192" t="s">
        <v>236</v>
      </c>
      <c r="O125" s="192" t="s">
        <v>95</v>
      </c>
      <c r="P125" s="192" t="s">
        <v>96</v>
      </c>
      <c r="Q125" s="145">
        <v>46042</v>
      </c>
      <c r="R125" s="145">
        <v>46044</v>
      </c>
      <c r="S125" s="192"/>
    </row>
    <row r="126" spans="1:19" ht="93.6" customHeight="1" x14ac:dyDescent="0.25">
      <c r="A126" s="197" t="str">
        <f t="shared" si="5"/>
        <v>INC20260120125</v>
      </c>
      <c r="B126" s="199">
        <v>46042.340972222199</v>
      </c>
      <c r="C126" s="192" t="s">
        <v>37</v>
      </c>
      <c r="D126" s="194" t="s">
        <v>38</v>
      </c>
      <c r="E126" s="192" t="s">
        <v>39</v>
      </c>
      <c r="F126" s="192" t="s">
        <v>40</v>
      </c>
      <c r="G126" s="192" t="s">
        <v>41</v>
      </c>
      <c r="H126" s="192" t="s">
        <v>42</v>
      </c>
      <c r="I126" s="192" t="s">
        <v>43</v>
      </c>
      <c r="J126" s="195" t="s">
        <v>1822</v>
      </c>
      <c r="K126" s="192" t="s">
        <v>44</v>
      </c>
      <c r="L126" s="192" t="s">
        <v>45</v>
      </c>
      <c r="M126" s="143" t="s">
        <v>5</v>
      </c>
      <c r="N126" s="198" t="s">
        <v>237</v>
      </c>
      <c r="O126" s="192"/>
      <c r="P126" s="144" t="s">
        <v>47</v>
      </c>
      <c r="Q126" s="145">
        <v>46042</v>
      </c>
      <c r="R126" s="145">
        <v>46044</v>
      </c>
      <c r="S126" s="192"/>
    </row>
    <row r="127" spans="1:19" ht="97.2" customHeight="1" x14ac:dyDescent="0.25">
      <c r="A127" s="197" t="str">
        <f t="shared" si="5"/>
        <v>INC20260120126</v>
      </c>
      <c r="B127" s="199">
        <v>46042.563888888901</v>
      </c>
      <c r="C127" s="192" t="s">
        <v>37</v>
      </c>
      <c r="D127" s="194" t="s">
        <v>238</v>
      </c>
      <c r="E127" s="192" t="s">
        <v>50</v>
      </c>
      <c r="F127" s="192" t="s">
        <v>40</v>
      </c>
      <c r="G127" s="192" t="s">
        <v>51</v>
      </c>
      <c r="H127" s="192" t="s">
        <v>92</v>
      </c>
      <c r="I127" s="192" t="s">
        <v>93</v>
      </c>
      <c r="J127" s="195" t="s">
        <v>1823</v>
      </c>
      <c r="K127" s="192" t="s">
        <v>54</v>
      </c>
      <c r="L127" s="192" t="s">
        <v>55</v>
      </c>
      <c r="M127" s="146" t="s">
        <v>5</v>
      </c>
      <c r="N127" s="192" t="s">
        <v>239</v>
      </c>
      <c r="O127" s="192" t="s">
        <v>95</v>
      </c>
      <c r="P127" s="192" t="s">
        <v>96</v>
      </c>
      <c r="Q127" s="145">
        <v>46042</v>
      </c>
      <c r="R127" s="145">
        <v>46044</v>
      </c>
      <c r="S127" s="192"/>
    </row>
    <row r="128" spans="1:19" ht="114.6" customHeight="1" x14ac:dyDescent="0.25">
      <c r="A128" s="197" t="str">
        <f t="shared" si="5"/>
        <v>INC20260120127</v>
      </c>
      <c r="B128" s="199">
        <v>46042.5715277778</v>
      </c>
      <c r="C128" s="192" t="s">
        <v>37</v>
      </c>
      <c r="D128" s="194" t="s">
        <v>240</v>
      </c>
      <c r="E128" s="192" t="s">
        <v>69</v>
      </c>
      <c r="F128" s="192" t="s">
        <v>40</v>
      </c>
      <c r="G128" s="192" t="s">
        <v>60</v>
      </c>
      <c r="H128" s="192" t="s">
        <v>79</v>
      </c>
      <c r="I128" s="192" t="s">
        <v>84</v>
      </c>
      <c r="J128" s="121" t="s">
        <v>1689</v>
      </c>
      <c r="K128" s="192" t="s">
        <v>151</v>
      </c>
      <c r="L128" s="192" t="s">
        <v>81</v>
      </c>
      <c r="M128" s="146" t="s">
        <v>5</v>
      </c>
      <c r="N128" s="160" t="s">
        <v>241</v>
      </c>
      <c r="O128" s="192" t="s">
        <v>86</v>
      </c>
      <c r="P128" s="192" t="s">
        <v>87</v>
      </c>
      <c r="Q128" s="145">
        <v>46042</v>
      </c>
      <c r="R128" s="145">
        <v>46044</v>
      </c>
      <c r="S128" s="192"/>
    </row>
    <row r="129" spans="1:19" ht="111.6" customHeight="1" x14ac:dyDescent="0.25">
      <c r="A129" s="197" t="str">
        <f t="shared" si="5"/>
        <v>INC20260120128</v>
      </c>
      <c r="B129" s="199">
        <v>46042.594444444403</v>
      </c>
      <c r="C129" s="192" t="s">
        <v>37</v>
      </c>
      <c r="D129" s="194" t="s">
        <v>57</v>
      </c>
      <c r="E129" s="192" t="s">
        <v>242</v>
      </c>
      <c r="F129" s="192" t="s">
        <v>59</v>
      </c>
      <c r="G129" s="192" t="s">
        <v>60</v>
      </c>
      <c r="H129" s="192" t="s">
        <v>61</v>
      </c>
      <c r="I129" s="192" t="s">
        <v>62</v>
      </c>
      <c r="J129" s="121" t="s">
        <v>1824</v>
      </c>
      <c r="K129" s="192" t="s">
        <v>63</v>
      </c>
      <c r="L129" s="192" t="s">
        <v>64</v>
      </c>
      <c r="M129" s="143" t="s">
        <v>5</v>
      </c>
      <c r="N129" s="192" t="s">
        <v>243</v>
      </c>
      <c r="O129" s="192" t="s">
        <v>66</v>
      </c>
      <c r="P129" s="192" t="s">
        <v>67</v>
      </c>
      <c r="Q129" s="145"/>
      <c r="R129" s="145">
        <v>46044</v>
      </c>
      <c r="S129" s="192"/>
    </row>
    <row r="130" spans="1:19" ht="97.2" customHeight="1" x14ac:dyDescent="0.25">
      <c r="A130" s="197" t="str">
        <f t="shared" si="5"/>
        <v>INC20260121129</v>
      </c>
      <c r="B130" s="199">
        <v>46043.34375</v>
      </c>
      <c r="C130" s="192" t="s">
        <v>37</v>
      </c>
      <c r="D130" s="194" t="s">
        <v>38</v>
      </c>
      <c r="E130" s="192" t="s">
        <v>39</v>
      </c>
      <c r="F130" s="192" t="s">
        <v>40</v>
      </c>
      <c r="G130" s="192" t="s">
        <v>41</v>
      </c>
      <c r="H130" s="192" t="s">
        <v>42</v>
      </c>
      <c r="I130" s="192" t="s">
        <v>43</v>
      </c>
      <c r="J130" s="195" t="s">
        <v>1825</v>
      </c>
      <c r="K130" s="192" t="s">
        <v>44</v>
      </c>
      <c r="L130" s="192" t="s">
        <v>45</v>
      </c>
      <c r="M130" s="143" t="s">
        <v>5</v>
      </c>
      <c r="N130" s="198" t="s">
        <v>244</v>
      </c>
      <c r="O130" s="192"/>
      <c r="P130" s="144" t="s">
        <v>47</v>
      </c>
      <c r="Q130" s="145">
        <v>46043</v>
      </c>
      <c r="R130" s="145">
        <v>46044</v>
      </c>
      <c r="S130" s="192"/>
    </row>
    <row r="131" spans="1:19" ht="113.4" customHeight="1" x14ac:dyDescent="0.25">
      <c r="A131" s="197" t="str">
        <f t="shared" si="5"/>
        <v>INC20260121130</v>
      </c>
      <c r="B131" s="199">
        <v>46043.315972222197</v>
      </c>
      <c r="C131" s="192" t="s">
        <v>37</v>
      </c>
      <c r="D131" s="194" t="s">
        <v>245</v>
      </c>
      <c r="E131" s="192" t="s">
        <v>74</v>
      </c>
      <c r="F131" s="192" t="s">
        <v>59</v>
      </c>
      <c r="G131" s="192" t="s">
        <v>60</v>
      </c>
      <c r="H131" s="192" t="s">
        <v>61</v>
      </c>
      <c r="I131" s="192" t="s">
        <v>62</v>
      </c>
      <c r="J131" s="121" t="s">
        <v>1826</v>
      </c>
      <c r="K131" s="192" t="s">
        <v>63</v>
      </c>
      <c r="L131" s="192" t="s">
        <v>64</v>
      </c>
      <c r="M131" s="143" t="s">
        <v>5</v>
      </c>
      <c r="N131" s="192" t="s">
        <v>246</v>
      </c>
      <c r="O131" s="192" t="s">
        <v>66</v>
      </c>
      <c r="P131" s="192" t="s">
        <v>67</v>
      </c>
      <c r="Q131" s="145">
        <v>46052</v>
      </c>
      <c r="R131" s="145">
        <v>46044</v>
      </c>
      <c r="S131" s="192" t="s">
        <v>247</v>
      </c>
    </row>
    <row r="132" spans="1:19" ht="107.4" customHeight="1" x14ac:dyDescent="0.25">
      <c r="A132" s="197" t="str">
        <f t="shared" si="5"/>
        <v>INC20260120131</v>
      </c>
      <c r="B132" s="199">
        <v>46042.723611111098</v>
      </c>
      <c r="C132" s="192" t="s">
        <v>37</v>
      </c>
      <c r="D132" s="194" t="s">
        <v>49</v>
      </c>
      <c r="E132" s="192" t="s">
        <v>50</v>
      </c>
      <c r="F132" s="192" t="s">
        <v>40</v>
      </c>
      <c r="G132" s="192" t="s">
        <v>51</v>
      </c>
      <c r="H132" s="192" t="s">
        <v>92</v>
      </c>
      <c r="I132" s="192" t="s">
        <v>93</v>
      </c>
      <c r="J132" s="195" t="s">
        <v>1827</v>
      </c>
      <c r="K132" s="192" t="s">
        <v>54</v>
      </c>
      <c r="L132" s="192" t="s">
        <v>55</v>
      </c>
      <c r="M132" s="146" t="s">
        <v>5</v>
      </c>
      <c r="N132" s="192" t="s">
        <v>248</v>
      </c>
      <c r="O132" s="192" t="s">
        <v>95</v>
      </c>
      <c r="P132" s="192" t="s">
        <v>96</v>
      </c>
      <c r="Q132" s="145">
        <v>46043</v>
      </c>
      <c r="R132" s="145">
        <v>46044</v>
      </c>
      <c r="S132" s="192"/>
    </row>
    <row r="133" spans="1:19" ht="111.6" customHeight="1" x14ac:dyDescent="0.25">
      <c r="A133" s="197" t="str">
        <f t="shared" si="5"/>
        <v>INC20260120132</v>
      </c>
      <c r="B133" s="199">
        <v>46042.725694444402</v>
      </c>
      <c r="C133" s="192" t="s">
        <v>37</v>
      </c>
      <c r="D133" s="194" t="s">
        <v>49</v>
      </c>
      <c r="E133" s="192" t="s">
        <v>50</v>
      </c>
      <c r="F133" s="192" t="s">
        <v>40</v>
      </c>
      <c r="G133" s="192" t="s">
        <v>51</v>
      </c>
      <c r="H133" s="192" t="s">
        <v>92</v>
      </c>
      <c r="I133" s="192" t="s">
        <v>93</v>
      </c>
      <c r="J133" s="195" t="s">
        <v>1827</v>
      </c>
      <c r="K133" s="192" t="s">
        <v>54</v>
      </c>
      <c r="L133" s="192" t="s">
        <v>55</v>
      </c>
      <c r="M133" s="146" t="s">
        <v>5</v>
      </c>
      <c r="N133" s="192" t="s">
        <v>249</v>
      </c>
      <c r="O133" s="192" t="s">
        <v>95</v>
      </c>
      <c r="P133" s="192" t="s">
        <v>96</v>
      </c>
      <c r="Q133" s="145">
        <v>46043</v>
      </c>
      <c r="R133" s="145">
        <v>46044</v>
      </c>
      <c r="S133" s="192"/>
    </row>
    <row r="134" spans="1:19" ht="125.4" customHeight="1" x14ac:dyDescent="0.25">
      <c r="A134" s="197" t="str">
        <f t="shared" si="5"/>
        <v>INC20260119133</v>
      </c>
      <c r="B134" s="162">
        <v>46041.359027777798</v>
      </c>
      <c r="C134" s="192" t="s">
        <v>77</v>
      </c>
      <c r="D134" s="194" t="s">
        <v>78</v>
      </c>
      <c r="E134" s="197" t="s">
        <v>69</v>
      </c>
      <c r="F134" s="192" t="s">
        <v>40</v>
      </c>
      <c r="G134" s="192" t="s">
        <v>60</v>
      </c>
      <c r="H134" s="192" t="s">
        <v>79</v>
      </c>
      <c r="I134" s="192" t="s">
        <v>80</v>
      </c>
      <c r="J134" s="121" t="s">
        <v>1828</v>
      </c>
      <c r="K134" s="192" t="s">
        <v>110</v>
      </c>
      <c r="L134" s="192" t="s">
        <v>81</v>
      </c>
      <c r="M134" s="146" t="s">
        <v>5</v>
      </c>
      <c r="N134" s="163" t="s">
        <v>250</v>
      </c>
      <c r="O134" s="197" t="s">
        <v>83</v>
      </c>
      <c r="P134" s="197" t="s">
        <v>1366</v>
      </c>
      <c r="Q134" s="162">
        <v>46041.397916666698</v>
      </c>
      <c r="R134" s="145">
        <v>46044</v>
      </c>
      <c r="S134" s="192"/>
    </row>
    <row r="135" spans="1:19" ht="129" customHeight="1" x14ac:dyDescent="0.25">
      <c r="A135" s="197" t="str">
        <f t="shared" si="5"/>
        <v>INC20260119134</v>
      </c>
      <c r="B135" s="162">
        <v>46041.363888888904</v>
      </c>
      <c r="C135" s="192" t="s">
        <v>77</v>
      </c>
      <c r="D135" s="194" t="s">
        <v>78</v>
      </c>
      <c r="E135" s="197" t="s">
        <v>69</v>
      </c>
      <c r="F135" s="192" t="s">
        <v>40</v>
      </c>
      <c r="G135" s="192" t="s">
        <v>60</v>
      </c>
      <c r="H135" s="192" t="s">
        <v>79</v>
      </c>
      <c r="I135" s="192" t="s">
        <v>80</v>
      </c>
      <c r="J135" s="121" t="s">
        <v>1829</v>
      </c>
      <c r="K135" s="192" t="s">
        <v>110</v>
      </c>
      <c r="L135" s="192" t="s">
        <v>81</v>
      </c>
      <c r="M135" s="146" t="s">
        <v>5</v>
      </c>
      <c r="N135" s="163" t="s">
        <v>251</v>
      </c>
      <c r="O135" s="197" t="s">
        <v>83</v>
      </c>
      <c r="P135" s="197" t="s">
        <v>1366</v>
      </c>
      <c r="Q135" s="162">
        <v>46041.398611111101</v>
      </c>
      <c r="R135" s="145">
        <v>46044</v>
      </c>
      <c r="S135" s="192"/>
    </row>
    <row r="136" spans="1:19" ht="129.6" customHeight="1" x14ac:dyDescent="0.25">
      <c r="A136" s="197" t="str">
        <f t="shared" si="5"/>
        <v>INC20260119135</v>
      </c>
      <c r="B136" s="162">
        <v>46041.568055555603</v>
      </c>
      <c r="C136" s="192" t="s">
        <v>77</v>
      </c>
      <c r="D136" s="194" t="s">
        <v>78</v>
      </c>
      <c r="E136" s="197" t="s">
        <v>69</v>
      </c>
      <c r="F136" s="192" t="s">
        <v>40</v>
      </c>
      <c r="G136" s="192" t="s">
        <v>60</v>
      </c>
      <c r="H136" s="192" t="s">
        <v>79</v>
      </c>
      <c r="I136" s="192" t="s">
        <v>84</v>
      </c>
      <c r="J136" s="121" t="s">
        <v>1830</v>
      </c>
      <c r="K136" s="192" t="s">
        <v>151</v>
      </c>
      <c r="L136" s="192" t="s">
        <v>81</v>
      </c>
      <c r="M136" s="146" t="s">
        <v>5</v>
      </c>
      <c r="N136" s="163" t="s">
        <v>252</v>
      </c>
      <c r="O136" s="192" t="s">
        <v>86</v>
      </c>
      <c r="P136" s="192" t="s">
        <v>87</v>
      </c>
      <c r="Q136" s="162">
        <v>46040.569444444402</v>
      </c>
      <c r="R136" s="145">
        <v>46044</v>
      </c>
      <c r="S136" s="192"/>
    </row>
    <row r="137" spans="1:19" ht="105" customHeight="1" x14ac:dyDescent="0.25">
      <c r="A137" s="197" t="str">
        <f t="shared" si="5"/>
        <v>INC20260119136</v>
      </c>
      <c r="B137" s="162">
        <v>46041.557638888902</v>
      </c>
      <c r="C137" s="192" t="s">
        <v>77</v>
      </c>
      <c r="D137" s="194" t="s">
        <v>253</v>
      </c>
      <c r="E137" s="192" t="s">
        <v>50</v>
      </c>
      <c r="F137" s="192" t="s">
        <v>40</v>
      </c>
      <c r="G137" s="192" t="s">
        <v>51</v>
      </c>
      <c r="H137" s="192" t="s">
        <v>92</v>
      </c>
      <c r="I137" s="192" t="s">
        <v>93</v>
      </c>
      <c r="J137" s="195" t="s">
        <v>1831</v>
      </c>
      <c r="K137" s="192" t="s">
        <v>54</v>
      </c>
      <c r="L137" s="192" t="s">
        <v>55</v>
      </c>
      <c r="M137" s="146" t="s">
        <v>5</v>
      </c>
      <c r="N137" s="163" t="s">
        <v>254</v>
      </c>
      <c r="O137" s="192" t="s">
        <v>95</v>
      </c>
      <c r="P137" s="192" t="s">
        <v>96</v>
      </c>
      <c r="Q137" s="162">
        <v>46041.577777777798</v>
      </c>
      <c r="R137" s="145">
        <v>46044</v>
      </c>
      <c r="S137" s="192"/>
    </row>
    <row r="138" spans="1:19" ht="109.2" customHeight="1" x14ac:dyDescent="0.25">
      <c r="A138" s="197" t="str">
        <f t="shared" si="5"/>
        <v>INC20260119137</v>
      </c>
      <c r="B138" s="162">
        <v>46041.806250000001</v>
      </c>
      <c r="C138" s="192" t="s">
        <v>77</v>
      </c>
      <c r="D138" s="194" t="s">
        <v>78</v>
      </c>
      <c r="E138" s="197" t="s">
        <v>58</v>
      </c>
      <c r="F138" s="192" t="s">
        <v>40</v>
      </c>
      <c r="G138" s="192" t="s">
        <v>60</v>
      </c>
      <c r="H138" s="192" t="s">
        <v>79</v>
      </c>
      <c r="I138" s="192" t="s">
        <v>84</v>
      </c>
      <c r="J138" s="121" t="s">
        <v>1832</v>
      </c>
      <c r="K138" s="192" t="s">
        <v>63</v>
      </c>
      <c r="L138" s="192" t="s">
        <v>81</v>
      </c>
      <c r="M138" s="146" t="s">
        <v>5</v>
      </c>
      <c r="N138" s="163" t="s">
        <v>255</v>
      </c>
      <c r="O138" s="192" t="s">
        <v>86</v>
      </c>
      <c r="P138" s="192" t="s">
        <v>87</v>
      </c>
      <c r="Q138" s="162">
        <v>46041.820138888899</v>
      </c>
      <c r="R138" s="145">
        <v>46044</v>
      </c>
      <c r="S138" s="192"/>
    </row>
    <row r="139" spans="1:19" ht="120.6" customHeight="1" x14ac:dyDescent="0.25">
      <c r="A139" s="197" t="str">
        <f t="shared" si="5"/>
        <v>INC20260120138</v>
      </c>
      <c r="B139" s="162">
        <v>46042.532638888901</v>
      </c>
      <c r="C139" s="192" t="s">
        <v>77</v>
      </c>
      <c r="D139" s="194" t="s">
        <v>78</v>
      </c>
      <c r="E139" s="197" t="s">
        <v>69</v>
      </c>
      <c r="F139" s="192" t="s">
        <v>40</v>
      </c>
      <c r="G139" s="192" t="s">
        <v>60</v>
      </c>
      <c r="H139" s="192" t="s">
        <v>79</v>
      </c>
      <c r="I139" s="192" t="s">
        <v>84</v>
      </c>
      <c r="J139" s="121" t="s">
        <v>1833</v>
      </c>
      <c r="K139" s="192" t="s">
        <v>63</v>
      </c>
      <c r="L139" s="192" t="s">
        <v>81</v>
      </c>
      <c r="M139" s="146" t="s">
        <v>5</v>
      </c>
      <c r="N139" s="163" t="s">
        <v>256</v>
      </c>
      <c r="O139" s="192" t="s">
        <v>86</v>
      </c>
      <c r="P139" s="192" t="s">
        <v>87</v>
      </c>
      <c r="Q139" s="162">
        <v>46041.547916666699</v>
      </c>
      <c r="R139" s="145">
        <v>46044</v>
      </c>
      <c r="S139" s="192"/>
    </row>
    <row r="140" spans="1:19" ht="116.4" customHeight="1" x14ac:dyDescent="0.25">
      <c r="A140" s="197" t="str">
        <f t="shared" si="5"/>
        <v>INC20260120139</v>
      </c>
      <c r="B140" s="162">
        <v>46042.583333333299</v>
      </c>
      <c r="C140" s="192" t="s">
        <v>77</v>
      </c>
      <c r="D140" s="194" t="s">
        <v>78</v>
      </c>
      <c r="E140" s="197" t="s">
        <v>69</v>
      </c>
      <c r="F140" s="192" t="s">
        <v>40</v>
      </c>
      <c r="G140" s="192" t="s">
        <v>60</v>
      </c>
      <c r="H140" s="192" t="s">
        <v>79</v>
      </c>
      <c r="I140" s="192" t="s">
        <v>84</v>
      </c>
      <c r="J140" s="121" t="s">
        <v>1834</v>
      </c>
      <c r="K140" s="192" t="s">
        <v>63</v>
      </c>
      <c r="L140" s="192" t="s">
        <v>81</v>
      </c>
      <c r="M140" s="146" t="s">
        <v>5</v>
      </c>
      <c r="N140" s="163" t="s">
        <v>257</v>
      </c>
      <c r="O140" s="192" t="s">
        <v>86</v>
      </c>
      <c r="P140" s="192" t="s">
        <v>87</v>
      </c>
      <c r="Q140" s="162">
        <v>46041.584027777797</v>
      </c>
      <c r="R140" s="145">
        <v>46044</v>
      </c>
      <c r="S140" s="192"/>
    </row>
    <row r="141" spans="1:19" ht="121.2" customHeight="1" x14ac:dyDescent="0.25">
      <c r="A141" s="197" t="str">
        <f t="shared" si="5"/>
        <v>INC20260120140</v>
      </c>
      <c r="B141" s="162">
        <v>46042.563888888901</v>
      </c>
      <c r="C141" s="192" t="s">
        <v>77</v>
      </c>
      <c r="D141" s="194" t="s">
        <v>238</v>
      </c>
      <c r="E141" s="192" t="s">
        <v>50</v>
      </c>
      <c r="F141" s="192" t="s">
        <v>40</v>
      </c>
      <c r="G141" s="192" t="s">
        <v>51</v>
      </c>
      <c r="H141" s="192" t="s">
        <v>92</v>
      </c>
      <c r="I141" s="192" t="s">
        <v>93</v>
      </c>
      <c r="J141" s="195" t="s">
        <v>1835</v>
      </c>
      <c r="K141" s="192" t="s">
        <v>54</v>
      </c>
      <c r="L141" s="192" t="s">
        <v>55</v>
      </c>
      <c r="M141" s="146" t="s">
        <v>5</v>
      </c>
      <c r="N141" s="163" t="s">
        <v>258</v>
      </c>
      <c r="O141" s="192" t="s">
        <v>95</v>
      </c>
      <c r="P141" s="192" t="s">
        <v>96</v>
      </c>
      <c r="Q141" s="162">
        <v>46042.576388888898</v>
      </c>
      <c r="R141" s="145">
        <v>46044</v>
      </c>
      <c r="S141" s="192"/>
    </row>
    <row r="142" spans="1:19" ht="130.80000000000001" customHeight="1" x14ac:dyDescent="0.25">
      <c r="A142" s="197" t="str">
        <f t="shared" si="5"/>
        <v>INC20260120141</v>
      </c>
      <c r="B142" s="162">
        <v>46042.646527777797</v>
      </c>
      <c r="C142" s="192" t="s">
        <v>77</v>
      </c>
      <c r="D142" s="194" t="s">
        <v>78</v>
      </c>
      <c r="E142" s="197" t="s">
        <v>225</v>
      </c>
      <c r="F142" s="192" t="s">
        <v>40</v>
      </c>
      <c r="G142" s="192" t="s">
        <v>60</v>
      </c>
      <c r="H142" s="192" t="s">
        <v>79</v>
      </c>
      <c r="I142" s="192" t="s">
        <v>80</v>
      </c>
      <c r="J142" s="121" t="s">
        <v>1836</v>
      </c>
      <c r="K142" s="192" t="s">
        <v>110</v>
      </c>
      <c r="L142" s="192" t="s">
        <v>81</v>
      </c>
      <c r="M142" s="146" t="s">
        <v>5</v>
      </c>
      <c r="N142" s="163" t="s">
        <v>259</v>
      </c>
      <c r="O142" s="197" t="s">
        <v>83</v>
      </c>
      <c r="P142" s="197" t="s">
        <v>1366</v>
      </c>
      <c r="Q142" s="162">
        <v>46042.710416666698</v>
      </c>
      <c r="R142" s="145">
        <v>46044</v>
      </c>
      <c r="S142" s="192"/>
    </row>
    <row r="143" spans="1:19" ht="111" customHeight="1" x14ac:dyDescent="0.25">
      <c r="A143" s="197" t="str">
        <f t="shared" si="5"/>
        <v>INC20260120142</v>
      </c>
      <c r="B143" s="162">
        <v>46042.779861111099</v>
      </c>
      <c r="C143" s="192" t="s">
        <v>77</v>
      </c>
      <c r="D143" s="194" t="s">
        <v>78</v>
      </c>
      <c r="E143" s="197" t="s">
        <v>69</v>
      </c>
      <c r="F143" s="192" t="s">
        <v>40</v>
      </c>
      <c r="G143" s="192" t="s">
        <v>60</v>
      </c>
      <c r="H143" s="192" t="s">
        <v>79</v>
      </c>
      <c r="I143" s="192" t="s">
        <v>84</v>
      </c>
      <c r="J143" s="121" t="s">
        <v>1837</v>
      </c>
      <c r="K143" s="192" t="s">
        <v>151</v>
      </c>
      <c r="L143" s="192" t="s">
        <v>81</v>
      </c>
      <c r="M143" s="146" t="s">
        <v>5</v>
      </c>
      <c r="N143" s="163" t="s">
        <v>260</v>
      </c>
      <c r="O143" s="192" t="s">
        <v>86</v>
      </c>
      <c r="P143" s="192" t="s">
        <v>87</v>
      </c>
      <c r="Q143" s="162">
        <v>46042.78125</v>
      </c>
      <c r="R143" s="145">
        <v>46044</v>
      </c>
      <c r="S143" s="192"/>
    </row>
    <row r="144" spans="1:19" ht="110.4" customHeight="1" x14ac:dyDescent="0.25">
      <c r="A144" s="197" t="str">
        <f t="shared" si="5"/>
        <v>INC20260121143</v>
      </c>
      <c r="B144" s="162">
        <v>46043.316666666702</v>
      </c>
      <c r="C144" s="192" t="s">
        <v>77</v>
      </c>
      <c r="D144" s="194" t="s">
        <v>78</v>
      </c>
      <c r="E144" s="197" t="s">
        <v>69</v>
      </c>
      <c r="F144" s="192" t="s">
        <v>40</v>
      </c>
      <c r="G144" s="192" t="s">
        <v>60</v>
      </c>
      <c r="H144" s="192" t="s">
        <v>79</v>
      </c>
      <c r="I144" s="192" t="s">
        <v>84</v>
      </c>
      <c r="J144" s="121" t="s">
        <v>1838</v>
      </c>
      <c r="K144" s="192" t="s">
        <v>63</v>
      </c>
      <c r="L144" s="192" t="s">
        <v>81</v>
      </c>
      <c r="M144" s="146" t="s">
        <v>5</v>
      </c>
      <c r="N144" s="162" t="s">
        <v>261</v>
      </c>
      <c r="O144" s="192" t="s">
        <v>86</v>
      </c>
      <c r="P144" s="192" t="s">
        <v>87</v>
      </c>
      <c r="Q144" s="145"/>
      <c r="R144" s="145">
        <v>46044</v>
      </c>
      <c r="S144" s="192"/>
    </row>
    <row r="145" spans="1:19" ht="118.2" customHeight="1" x14ac:dyDescent="0.25">
      <c r="A145" s="197" t="str">
        <f t="shared" si="5"/>
        <v>INC20260121144</v>
      </c>
      <c r="B145" s="199">
        <v>46043.698611111096</v>
      </c>
      <c r="C145" s="192" t="s">
        <v>37</v>
      </c>
      <c r="D145" s="194" t="s">
        <v>262</v>
      </c>
      <c r="E145" s="197" t="s">
        <v>69</v>
      </c>
      <c r="F145" s="192" t="s">
        <v>59</v>
      </c>
      <c r="G145" s="192" t="s">
        <v>60</v>
      </c>
      <c r="H145" s="192" t="s">
        <v>61</v>
      </c>
      <c r="I145" s="192" t="s">
        <v>62</v>
      </c>
      <c r="J145" s="121" t="s">
        <v>1839</v>
      </c>
      <c r="K145" s="192" t="s">
        <v>63</v>
      </c>
      <c r="L145" s="192" t="s">
        <v>64</v>
      </c>
      <c r="M145" s="143" t="s">
        <v>5</v>
      </c>
      <c r="N145" s="192" t="s">
        <v>263</v>
      </c>
      <c r="O145" s="192" t="s">
        <v>66</v>
      </c>
      <c r="P145" s="192" t="s">
        <v>67</v>
      </c>
      <c r="Q145" s="145">
        <v>46051</v>
      </c>
      <c r="R145" s="145">
        <v>46044</v>
      </c>
      <c r="S145" s="192"/>
    </row>
    <row r="146" spans="1:19" ht="103.2" customHeight="1" x14ac:dyDescent="0.25">
      <c r="A146" s="197" t="str">
        <f t="shared" si="5"/>
        <v>INC20260121145</v>
      </c>
      <c r="B146" s="199">
        <v>46043.786111111098</v>
      </c>
      <c r="C146" s="192" t="s">
        <v>37</v>
      </c>
      <c r="D146" s="194" t="s">
        <v>49</v>
      </c>
      <c r="E146" s="192" t="s">
        <v>50</v>
      </c>
      <c r="F146" s="192" t="s">
        <v>40</v>
      </c>
      <c r="G146" s="192" t="s">
        <v>51</v>
      </c>
      <c r="H146" s="192" t="s">
        <v>52</v>
      </c>
      <c r="I146" s="192" t="s">
        <v>53</v>
      </c>
      <c r="J146" s="195" t="s">
        <v>1840</v>
      </c>
      <c r="K146" s="192" t="s">
        <v>54</v>
      </c>
      <c r="L146" s="192" t="s">
        <v>55</v>
      </c>
      <c r="M146" s="146" t="s">
        <v>5</v>
      </c>
      <c r="N146" s="192" t="s">
        <v>264</v>
      </c>
      <c r="O146" s="192"/>
      <c r="P146" s="192"/>
      <c r="Q146" s="145"/>
      <c r="R146" s="145">
        <v>46044</v>
      </c>
      <c r="S146" s="192"/>
    </row>
    <row r="147" spans="1:19" ht="113.4" customHeight="1" x14ac:dyDescent="0.25">
      <c r="A147" s="197" t="str">
        <f t="shared" si="5"/>
        <v>INC20260122146</v>
      </c>
      <c r="B147" s="199">
        <v>46044.353472222203</v>
      </c>
      <c r="C147" s="192" t="s">
        <v>37</v>
      </c>
      <c r="D147" s="194" t="s">
        <v>38</v>
      </c>
      <c r="E147" s="192" t="s">
        <v>39</v>
      </c>
      <c r="F147" s="192" t="s">
        <v>40</v>
      </c>
      <c r="G147" s="192" t="s">
        <v>41</v>
      </c>
      <c r="H147" s="192" t="s">
        <v>42</v>
      </c>
      <c r="I147" s="192" t="s">
        <v>43</v>
      </c>
      <c r="J147" s="195" t="s">
        <v>1841</v>
      </c>
      <c r="K147" s="192" t="s">
        <v>44</v>
      </c>
      <c r="L147" s="192" t="s">
        <v>45</v>
      </c>
      <c r="M147" s="143" t="s">
        <v>5</v>
      </c>
      <c r="N147" s="198" t="s">
        <v>265</v>
      </c>
      <c r="O147" s="192"/>
      <c r="P147" s="144" t="s">
        <v>47</v>
      </c>
      <c r="Q147" s="145">
        <v>46044</v>
      </c>
      <c r="R147" s="145">
        <v>46044</v>
      </c>
      <c r="S147" s="192"/>
    </row>
    <row r="148" spans="1:19" ht="124.2" customHeight="1" x14ac:dyDescent="0.25">
      <c r="A148" s="197" t="str">
        <f t="shared" si="5"/>
        <v>INC20260122147</v>
      </c>
      <c r="B148" s="199">
        <v>46044.402777777803</v>
      </c>
      <c r="C148" s="192" t="s">
        <v>37</v>
      </c>
      <c r="D148" s="194" t="s">
        <v>49</v>
      </c>
      <c r="E148" s="192" t="s">
        <v>50</v>
      </c>
      <c r="F148" s="192" t="s">
        <v>40</v>
      </c>
      <c r="G148" s="192" t="s">
        <v>51</v>
      </c>
      <c r="H148" s="192" t="s">
        <v>52</v>
      </c>
      <c r="I148" s="192" t="s">
        <v>53</v>
      </c>
      <c r="J148" s="195" t="s">
        <v>1842</v>
      </c>
      <c r="K148" s="192" t="s">
        <v>54</v>
      </c>
      <c r="L148" s="192" t="s">
        <v>55</v>
      </c>
      <c r="M148" s="146" t="s">
        <v>5</v>
      </c>
      <c r="N148" s="192" t="s">
        <v>266</v>
      </c>
      <c r="O148" s="192"/>
      <c r="P148" s="192"/>
      <c r="Q148" s="145"/>
      <c r="R148" s="145">
        <v>46044</v>
      </c>
      <c r="S148" s="192"/>
    </row>
    <row r="149" spans="1:19" ht="110.4" customHeight="1" x14ac:dyDescent="0.25">
      <c r="A149" s="197" t="str">
        <f t="shared" si="5"/>
        <v>INC20260122148</v>
      </c>
      <c r="B149" s="199">
        <v>46044.6472222222</v>
      </c>
      <c r="C149" s="192" t="s">
        <v>37</v>
      </c>
      <c r="D149" s="194" t="s">
        <v>57</v>
      </c>
      <c r="E149" s="192" t="s">
        <v>242</v>
      </c>
      <c r="F149" s="192" t="s">
        <v>59</v>
      </c>
      <c r="G149" s="192" t="s">
        <v>60</v>
      </c>
      <c r="H149" s="192" t="s">
        <v>61</v>
      </c>
      <c r="I149" s="192" t="s">
        <v>62</v>
      </c>
      <c r="J149" s="121" t="s">
        <v>1843</v>
      </c>
      <c r="K149" s="192" t="s">
        <v>63</v>
      </c>
      <c r="L149" s="192" t="s">
        <v>64</v>
      </c>
      <c r="M149" s="143" t="s">
        <v>5</v>
      </c>
      <c r="N149" s="192" t="s">
        <v>267</v>
      </c>
      <c r="O149" s="192" t="s">
        <v>66</v>
      </c>
      <c r="P149" s="192" t="s">
        <v>67</v>
      </c>
      <c r="Q149" s="145">
        <v>46052</v>
      </c>
      <c r="R149" s="145">
        <v>46044</v>
      </c>
      <c r="S149" s="192"/>
    </row>
    <row r="150" spans="1:19" ht="122.4" customHeight="1" x14ac:dyDescent="0.25">
      <c r="A150" s="197" t="str">
        <f t="shared" si="5"/>
        <v>INC20260122149</v>
      </c>
      <c r="B150" s="199">
        <v>46044.660416666702</v>
      </c>
      <c r="C150" s="192" t="s">
        <v>37</v>
      </c>
      <c r="D150" s="194" t="s">
        <v>57</v>
      </c>
      <c r="E150" s="192" t="s">
        <v>242</v>
      </c>
      <c r="F150" s="192" t="s">
        <v>59</v>
      </c>
      <c r="G150" s="192" t="s">
        <v>60</v>
      </c>
      <c r="H150" s="192" t="s">
        <v>61</v>
      </c>
      <c r="I150" s="192" t="s">
        <v>62</v>
      </c>
      <c r="J150" s="121" t="s">
        <v>1844</v>
      </c>
      <c r="K150" s="192" t="s">
        <v>63</v>
      </c>
      <c r="L150" s="192" t="s">
        <v>64</v>
      </c>
      <c r="M150" s="143" t="s">
        <v>5</v>
      </c>
      <c r="N150" s="192" t="s">
        <v>268</v>
      </c>
      <c r="O150" s="192" t="s">
        <v>66</v>
      </c>
      <c r="P150" s="192" t="s">
        <v>67</v>
      </c>
      <c r="Q150" s="145"/>
      <c r="R150" s="145">
        <v>46044</v>
      </c>
      <c r="S150" s="192"/>
    </row>
    <row r="151" spans="1:19" ht="121.8" customHeight="1" x14ac:dyDescent="0.25">
      <c r="A151" s="197" t="str">
        <f t="shared" si="5"/>
        <v>INC20260123150</v>
      </c>
      <c r="B151" s="199">
        <v>46045.363194444399</v>
      </c>
      <c r="C151" s="192" t="s">
        <v>37</v>
      </c>
      <c r="D151" s="194" t="s">
        <v>38</v>
      </c>
      <c r="E151" s="192" t="s">
        <v>39</v>
      </c>
      <c r="F151" s="192" t="s">
        <v>40</v>
      </c>
      <c r="G151" s="192" t="s">
        <v>41</v>
      </c>
      <c r="H151" s="192" t="s">
        <v>42</v>
      </c>
      <c r="I151" s="192" t="s">
        <v>43</v>
      </c>
      <c r="J151" s="195" t="s">
        <v>1845</v>
      </c>
      <c r="K151" s="192" t="s">
        <v>44</v>
      </c>
      <c r="L151" s="192" t="s">
        <v>45</v>
      </c>
      <c r="M151" s="143" t="s">
        <v>5</v>
      </c>
      <c r="N151" s="198" t="s">
        <v>269</v>
      </c>
      <c r="O151" s="192"/>
      <c r="P151" s="144" t="s">
        <v>47</v>
      </c>
      <c r="Q151" s="145">
        <v>46045</v>
      </c>
      <c r="R151" s="145">
        <v>46051</v>
      </c>
      <c r="S151" s="192"/>
    </row>
    <row r="152" spans="1:19" ht="118.8" customHeight="1" x14ac:dyDescent="0.25">
      <c r="A152" s="197" t="str">
        <f t="shared" si="5"/>
        <v>INC20260121151</v>
      </c>
      <c r="B152" s="164">
        <v>46043.661805555603</v>
      </c>
      <c r="C152" s="192" t="s">
        <v>77</v>
      </c>
      <c r="D152" s="194" t="s">
        <v>78</v>
      </c>
      <c r="E152" s="197" t="s">
        <v>109</v>
      </c>
      <c r="F152" s="192" t="s">
        <v>40</v>
      </c>
      <c r="G152" s="192" t="s">
        <v>60</v>
      </c>
      <c r="H152" s="192" t="s">
        <v>79</v>
      </c>
      <c r="I152" s="192" t="s">
        <v>80</v>
      </c>
      <c r="J152" s="121" t="s">
        <v>1846</v>
      </c>
      <c r="K152" s="192" t="s">
        <v>151</v>
      </c>
      <c r="L152" s="192" t="s">
        <v>81</v>
      </c>
      <c r="M152" s="146" t="s">
        <v>5</v>
      </c>
      <c r="N152" s="164" t="s">
        <v>270</v>
      </c>
      <c r="O152" s="197" t="s">
        <v>83</v>
      </c>
      <c r="P152" s="197" t="s">
        <v>1366</v>
      </c>
      <c r="Q152" s="164">
        <v>46043.7590277778</v>
      </c>
      <c r="R152" s="145">
        <v>46051</v>
      </c>
      <c r="S152" s="192"/>
    </row>
    <row r="153" spans="1:19" ht="124.2" customHeight="1" x14ac:dyDescent="0.25">
      <c r="A153" s="197" t="str">
        <f t="shared" si="5"/>
        <v>INC20260121152</v>
      </c>
      <c r="B153" s="164">
        <v>46043.686111111099</v>
      </c>
      <c r="C153" s="192" t="s">
        <v>77</v>
      </c>
      <c r="D153" s="194" t="s">
        <v>78</v>
      </c>
      <c r="E153" s="197" t="s">
        <v>69</v>
      </c>
      <c r="F153" s="192" t="s">
        <v>40</v>
      </c>
      <c r="G153" s="192" t="s">
        <v>60</v>
      </c>
      <c r="H153" s="192" t="s">
        <v>79</v>
      </c>
      <c r="I153" s="192" t="s">
        <v>84</v>
      </c>
      <c r="J153" s="121" t="s">
        <v>1847</v>
      </c>
      <c r="K153" s="192" t="s">
        <v>63</v>
      </c>
      <c r="L153" s="192" t="s">
        <v>81</v>
      </c>
      <c r="M153" s="146" t="s">
        <v>5</v>
      </c>
      <c r="N153" s="164" t="s">
        <v>271</v>
      </c>
      <c r="O153" s="192" t="s">
        <v>86</v>
      </c>
      <c r="P153" s="192" t="s">
        <v>87</v>
      </c>
      <c r="Q153" s="164">
        <v>46043.693055555603</v>
      </c>
      <c r="R153" s="145">
        <v>46051</v>
      </c>
      <c r="S153" s="192"/>
    </row>
    <row r="154" spans="1:19" ht="127.2" customHeight="1" x14ac:dyDescent="0.25">
      <c r="A154" s="197" t="str">
        <f t="shared" si="5"/>
        <v>INC20260122153</v>
      </c>
      <c r="B154" s="164">
        <v>46044.547916666699</v>
      </c>
      <c r="C154" s="192" t="s">
        <v>77</v>
      </c>
      <c r="D154" s="194" t="s">
        <v>78</v>
      </c>
      <c r="E154" s="192" t="s">
        <v>74</v>
      </c>
      <c r="F154" s="192" t="s">
        <v>40</v>
      </c>
      <c r="G154" s="192" t="s">
        <v>60</v>
      </c>
      <c r="H154" s="192" t="s">
        <v>79</v>
      </c>
      <c r="I154" s="192" t="s">
        <v>84</v>
      </c>
      <c r="J154" s="121" t="s">
        <v>1848</v>
      </c>
      <c r="K154" s="192" t="s">
        <v>63</v>
      </c>
      <c r="L154" s="192" t="s">
        <v>81</v>
      </c>
      <c r="M154" s="146" t="s">
        <v>5</v>
      </c>
      <c r="N154" s="165" t="s">
        <v>272</v>
      </c>
      <c r="O154" s="192" t="s">
        <v>86</v>
      </c>
      <c r="P154" s="192" t="s">
        <v>87</v>
      </c>
      <c r="Q154" s="164">
        <v>46044.5534722222</v>
      </c>
      <c r="R154" s="145">
        <v>46051</v>
      </c>
      <c r="S154" s="192"/>
    </row>
    <row r="155" spans="1:19" ht="126" customHeight="1" x14ac:dyDescent="0.25">
      <c r="A155" s="197" t="str">
        <f t="shared" si="5"/>
        <v>INC20260122154</v>
      </c>
      <c r="B155" s="164">
        <v>46044.5493055556</v>
      </c>
      <c r="C155" s="192" t="s">
        <v>77</v>
      </c>
      <c r="D155" s="194" t="s">
        <v>78</v>
      </c>
      <c r="E155" s="197" t="s">
        <v>180</v>
      </c>
      <c r="F155" s="192" t="s">
        <v>40</v>
      </c>
      <c r="G155" s="192" t="s">
        <v>60</v>
      </c>
      <c r="H155" s="192" t="s">
        <v>79</v>
      </c>
      <c r="I155" s="192" t="s">
        <v>80</v>
      </c>
      <c r="J155" s="121" t="s">
        <v>1849</v>
      </c>
      <c r="K155" s="192" t="s">
        <v>63</v>
      </c>
      <c r="L155" s="192" t="s">
        <v>81</v>
      </c>
      <c r="M155" s="146" t="s">
        <v>5</v>
      </c>
      <c r="N155" s="164" t="s">
        <v>273</v>
      </c>
      <c r="O155" s="197" t="s">
        <v>83</v>
      </c>
      <c r="P155" s="197" t="s">
        <v>1366</v>
      </c>
      <c r="Q155" s="164">
        <v>46044.615277777797</v>
      </c>
      <c r="R155" s="145">
        <v>46051</v>
      </c>
      <c r="S155" s="192"/>
    </row>
    <row r="156" spans="1:19" ht="113.4" customHeight="1" x14ac:dyDescent="0.25">
      <c r="A156" s="197" t="str">
        <f t="shared" si="5"/>
        <v>INC20260122155</v>
      </c>
      <c r="B156" s="164">
        <v>46044.652083333298</v>
      </c>
      <c r="C156" s="192" t="s">
        <v>77</v>
      </c>
      <c r="D156" s="194" t="s">
        <v>78</v>
      </c>
      <c r="E156" s="192" t="s">
        <v>74</v>
      </c>
      <c r="F156" s="192" t="s">
        <v>40</v>
      </c>
      <c r="G156" s="192" t="s">
        <v>60</v>
      </c>
      <c r="H156" s="192" t="s">
        <v>79</v>
      </c>
      <c r="I156" s="192" t="s">
        <v>84</v>
      </c>
      <c r="J156" s="121" t="s">
        <v>1850</v>
      </c>
      <c r="K156" s="192" t="s">
        <v>63</v>
      </c>
      <c r="L156" s="192" t="s">
        <v>81</v>
      </c>
      <c r="M156" s="146" t="s">
        <v>5</v>
      </c>
      <c r="N156" s="165" t="s">
        <v>274</v>
      </c>
      <c r="O156" s="192" t="s">
        <v>86</v>
      </c>
      <c r="P156" s="192" t="s">
        <v>87</v>
      </c>
      <c r="Q156" s="166">
        <v>46044.662499999999</v>
      </c>
      <c r="R156" s="145">
        <v>46051</v>
      </c>
      <c r="S156" s="192"/>
    </row>
    <row r="157" spans="1:19" ht="118.8" customHeight="1" x14ac:dyDescent="0.25">
      <c r="A157" s="197" t="str">
        <f t="shared" si="5"/>
        <v>INC20260122156</v>
      </c>
      <c r="B157" s="164">
        <v>46044.671527777798</v>
      </c>
      <c r="C157" s="192" t="s">
        <v>77</v>
      </c>
      <c r="D157" s="194" t="s">
        <v>78</v>
      </c>
      <c r="E157" s="197" t="s">
        <v>69</v>
      </c>
      <c r="F157" s="192" t="s">
        <v>40</v>
      </c>
      <c r="G157" s="192" t="s">
        <v>60</v>
      </c>
      <c r="H157" s="192" t="s">
        <v>79</v>
      </c>
      <c r="I157" s="192" t="s">
        <v>84</v>
      </c>
      <c r="J157" s="121" t="s">
        <v>1851</v>
      </c>
      <c r="K157" s="192" t="s">
        <v>151</v>
      </c>
      <c r="L157" s="192" t="s">
        <v>81</v>
      </c>
      <c r="M157" s="146" t="s">
        <v>5</v>
      </c>
      <c r="N157" s="165" t="s">
        <v>275</v>
      </c>
      <c r="O157" s="192" t="s">
        <v>86</v>
      </c>
      <c r="P157" s="192" t="s">
        <v>87</v>
      </c>
      <c r="Q157" s="145">
        <v>46045</v>
      </c>
      <c r="R157" s="145">
        <v>46051</v>
      </c>
      <c r="S157" s="192"/>
    </row>
    <row r="158" spans="1:19" ht="131.4" customHeight="1" x14ac:dyDescent="0.25">
      <c r="A158" s="197" t="str">
        <f t="shared" si="5"/>
        <v>INC20260122157</v>
      </c>
      <c r="B158" s="164">
        <v>46044.671527777798</v>
      </c>
      <c r="C158" s="192" t="s">
        <v>77</v>
      </c>
      <c r="D158" s="194" t="s">
        <v>78</v>
      </c>
      <c r="E158" s="197" t="s">
        <v>225</v>
      </c>
      <c r="F158" s="192" t="s">
        <v>40</v>
      </c>
      <c r="G158" s="192" t="s">
        <v>60</v>
      </c>
      <c r="H158" s="192" t="s">
        <v>79</v>
      </c>
      <c r="I158" s="192" t="s">
        <v>84</v>
      </c>
      <c r="J158" s="121" t="s">
        <v>1852</v>
      </c>
      <c r="K158" s="192" t="s">
        <v>151</v>
      </c>
      <c r="L158" s="192" t="s">
        <v>81</v>
      </c>
      <c r="M158" s="146" t="s">
        <v>5</v>
      </c>
      <c r="N158" s="165" t="s">
        <v>276</v>
      </c>
      <c r="O158" s="192" t="s">
        <v>86</v>
      </c>
      <c r="P158" s="192" t="s">
        <v>87</v>
      </c>
      <c r="Q158" s="145">
        <v>46045</v>
      </c>
      <c r="R158" s="145">
        <v>46051</v>
      </c>
      <c r="S158" s="192"/>
    </row>
    <row r="159" spans="1:19" ht="123" customHeight="1" x14ac:dyDescent="0.25">
      <c r="A159" s="197" t="str">
        <f t="shared" si="5"/>
        <v>INC20260122158</v>
      </c>
      <c r="B159" s="164">
        <v>46044.784027777801</v>
      </c>
      <c r="C159" s="192" t="s">
        <v>77</v>
      </c>
      <c r="D159" s="194" t="s">
        <v>78</v>
      </c>
      <c r="E159" s="197" t="s">
        <v>69</v>
      </c>
      <c r="F159" s="192" t="s">
        <v>40</v>
      </c>
      <c r="G159" s="192" t="s">
        <v>60</v>
      </c>
      <c r="H159" s="192" t="s">
        <v>79</v>
      </c>
      <c r="I159" s="192" t="s">
        <v>84</v>
      </c>
      <c r="J159" s="121" t="s">
        <v>1853</v>
      </c>
      <c r="K159" s="192" t="s">
        <v>63</v>
      </c>
      <c r="L159" s="192" t="s">
        <v>81</v>
      </c>
      <c r="M159" s="146" t="s">
        <v>5</v>
      </c>
      <c r="N159" s="165" t="s">
        <v>277</v>
      </c>
      <c r="O159" s="192" t="s">
        <v>86</v>
      </c>
      <c r="P159" s="192" t="s">
        <v>87</v>
      </c>
      <c r="Q159" s="166">
        <v>46044.791666666701</v>
      </c>
      <c r="R159" s="145">
        <v>46051</v>
      </c>
      <c r="S159" s="192"/>
    </row>
    <row r="160" spans="1:19" ht="102.6" customHeight="1" x14ac:dyDescent="0.25">
      <c r="A160" s="197" t="str">
        <f t="shared" si="5"/>
        <v>INC20260123159</v>
      </c>
      <c r="B160" s="199">
        <v>46045.576388888898</v>
      </c>
      <c r="C160" s="192" t="s">
        <v>37</v>
      </c>
      <c r="D160" s="194" t="s">
        <v>278</v>
      </c>
      <c r="E160" s="197" t="s">
        <v>279</v>
      </c>
      <c r="F160" s="192" t="s">
        <v>59</v>
      </c>
      <c r="G160" s="192" t="s">
        <v>60</v>
      </c>
      <c r="H160" s="192" t="s">
        <v>61</v>
      </c>
      <c r="I160" s="192" t="s">
        <v>62</v>
      </c>
      <c r="J160" s="121" t="s">
        <v>1854</v>
      </c>
      <c r="K160" s="192" t="s">
        <v>63</v>
      </c>
      <c r="L160" s="192" t="s">
        <v>64</v>
      </c>
      <c r="M160" s="143" t="s">
        <v>5</v>
      </c>
      <c r="N160" s="192" t="s">
        <v>280</v>
      </c>
      <c r="O160" s="192" t="s">
        <v>66</v>
      </c>
      <c r="P160" s="192" t="s">
        <v>67</v>
      </c>
      <c r="Q160" s="145">
        <v>46077</v>
      </c>
      <c r="R160" s="145">
        <v>46051</v>
      </c>
      <c r="S160" s="192"/>
    </row>
    <row r="161" spans="1:19" ht="103.2" customHeight="1" x14ac:dyDescent="0.25">
      <c r="A161" s="197" t="str">
        <f t="shared" ref="A161:A229" si="6">"INC"&amp;TEXT(B161,"yyyymmdd")&amp;TEXT(ROW(A161)-1,"000")</f>
        <v>INC20260123160</v>
      </c>
      <c r="B161" s="199">
        <v>46045.587500000001</v>
      </c>
      <c r="C161" s="192" t="s">
        <v>37</v>
      </c>
      <c r="D161" s="194" t="s">
        <v>129</v>
      </c>
      <c r="E161" s="192" t="s">
        <v>130</v>
      </c>
      <c r="F161" s="192" t="s">
        <v>40</v>
      </c>
      <c r="G161" s="192" t="s">
        <v>51</v>
      </c>
      <c r="H161" s="192" t="s">
        <v>92</v>
      </c>
      <c r="I161" s="192" t="s">
        <v>93</v>
      </c>
      <c r="J161" s="195" t="s">
        <v>1855</v>
      </c>
      <c r="K161" s="192" t="s">
        <v>54</v>
      </c>
      <c r="L161" s="192" t="s">
        <v>55</v>
      </c>
      <c r="M161" s="146" t="s">
        <v>5</v>
      </c>
      <c r="N161" s="163" t="s">
        <v>281</v>
      </c>
      <c r="O161" s="192" t="s">
        <v>95</v>
      </c>
      <c r="P161" s="192" t="s">
        <v>96</v>
      </c>
      <c r="Q161" s="145"/>
      <c r="R161" s="145">
        <v>46051</v>
      </c>
      <c r="S161" s="192"/>
    </row>
    <row r="162" spans="1:19" ht="119.4" customHeight="1" x14ac:dyDescent="0.25">
      <c r="A162" s="197" t="str">
        <f t="shared" si="6"/>
        <v>INC20260126161</v>
      </c>
      <c r="B162" s="199">
        <v>46048.224999999999</v>
      </c>
      <c r="C162" s="192" t="s">
        <v>37</v>
      </c>
      <c r="D162" s="194" t="s">
        <v>38</v>
      </c>
      <c r="E162" s="192" t="s">
        <v>39</v>
      </c>
      <c r="F162" s="192" t="s">
        <v>40</v>
      </c>
      <c r="G162" s="192" t="s">
        <v>41</v>
      </c>
      <c r="H162" s="192" t="s">
        <v>42</v>
      </c>
      <c r="I162" s="192" t="s">
        <v>43</v>
      </c>
      <c r="J162" s="195" t="s">
        <v>1856</v>
      </c>
      <c r="K162" s="192" t="s">
        <v>44</v>
      </c>
      <c r="L162" s="192" t="s">
        <v>45</v>
      </c>
      <c r="M162" s="143" t="s">
        <v>5</v>
      </c>
      <c r="N162" s="198" t="s">
        <v>282</v>
      </c>
      <c r="O162" s="192"/>
      <c r="P162" s="144" t="s">
        <v>47</v>
      </c>
      <c r="Q162" s="145">
        <v>46048</v>
      </c>
      <c r="R162" s="145">
        <v>46051</v>
      </c>
      <c r="S162" s="192"/>
    </row>
    <row r="163" spans="1:19" ht="106.8" customHeight="1" x14ac:dyDescent="0.25">
      <c r="A163" s="197" t="str">
        <f t="shared" si="6"/>
        <v>INC20260126162</v>
      </c>
      <c r="B163" s="199">
        <v>46048.747222222199</v>
      </c>
      <c r="C163" s="192" t="s">
        <v>37</v>
      </c>
      <c r="D163" s="194" t="s">
        <v>49</v>
      </c>
      <c r="E163" s="192" t="s">
        <v>50</v>
      </c>
      <c r="F163" s="192" t="s">
        <v>40</v>
      </c>
      <c r="G163" s="192" t="s">
        <v>51</v>
      </c>
      <c r="H163" s="192" t="s">
        <v>92</v>
      </c>
      <c r="I163" s="192" t="s">
        <v>93</v>
      </c>
      <c r="J163" s="195" t="s">
        <v>1857</v>
      </c>
      <c r="K163" s="192" t="s">
        <v>54</v>
      </c>
      <c r="L163" s="192" t="s">
        <v>55</v>
      </c>
      <c r="M163" s="146" t="s">
        <v>5</v>
      </c>
      <c r="N163" s="192" t="s">
        <v>283</v>
      </c>
      <c r="O163" s="192" t="s">
        <v>95</v>
      </c>
      <c r="P163" s="192" t="s">
        <v>96</v>
      </c>
      <c r="Q163" s="145">
        <v>46048</v>
      </c>
      <c r="R163" s="145">
        <v>46051</v>
      </c>
      <c r="S163" s="192"/>
    </row>
    <row r="164" spans="1:19" ht="118.2" customHeight="1" x14ac:dyDescent="0.25">
      <c r="A164" s="197" t="str">
        <f t="shared" si="6"/>
        <v>INC20260127163</v>
      </c>
      <c r="B164" s="199">
        <v>46049.382638888899</v>
      </c>
      <c r="C164" s="192" t="s">
        <v>37</v>
      </c>
      <c r="D164" s="194" t="s">
        <v>49</v>
      </c>
      <c r="E164" s="192" t="s">
        <v>50</v>
      </c>
      <c r="F164" s="192" t="s">
        <v>40</v>
      </c>
      <c r="G164" s="192" t="s">
        <v>51</v>
      </c>
      <c r="H164" s="192" t="s">
        <v>52</v>
      </c>
      <c r="I164" s="192" t="s">
        <v>53</v>
      </c>
      <c r="J164" s="195" t="s">
        <v>1858</v>
      </c>
      <c r="K164" s="192" t="s">
        <v>54</v>
      </c>
      <c r="L164" s="192" t="s">
        <v>55</v>
      </c>
      <c r="M164" s="146" t="s">
        <v>5</v>
      </c>
      <c r="N164" s="192" t="s">
        <v>284</v>
      </c>
      <c r="O164" s="192"/>
      <c r="P164" s="192"/>
      <c r="Q164" s="145">
        <v>46049</v>
      </c>
      <c r="R164" s="145">
        <v>46051</v>
      </c>
      <c r="S164" s="192"/>
    </row>
    <row r="165" spans="1:19" ht="118.2" customHeight="1" x14ac:dyDescent="0.25">
      <c r="A165" s="197" t="str">
        <f t="shared" si="6"/>
        <v>INC20260127164</v>
      </c>
      <c r="B165" s="199">
        <v>46049.433333333298</v>
      </c>
      <c r="C165" s="192" t="s">
        <v>37</v>
      </c>
      <c r="D165" s="194" t="s">
        <v>38</v>
      </c>
      <c r="E165" s="192" t="s">
        <v>39</v>
      </c>
      <c r="F165" s="192" t="s">
        <v>40</v>
      </c>
      <c r="G165" s="192" t="s">
        <v>41</v>
      </c>
      <c r="H165" s="192" t="s">
        <v>42</v>
      </c>
      <c r="I165" s="192" t="s">
        <v>43</v>
      </c>
      <c r="J165" s="195" t="s">
        <v>1859</v>
      </c>
      <c r="K165" s="192" t="s">
        <v>44</v>
      </c>
      <c r="L165" s="192" t="s">
        <v>45</v>
      </c>
      <c r="M165" s="143" t="s">
        <v>5</v>
      </c>
      <c r="N165" s="198" t="s">
        <v>285</v>
      </c>
      <c r="O165" s="192"/>
      <c r="P165" s="144" t="s">
        <v>47</v>
      </c>
      <c r="Q165" s="145">
        <v>46049</v>
      </c>
      <c r="R165" s="145">
        <v>46051</v>
      </c>
      <c r="S165" s="192"/>
    </row>
    <row r="166" spans="1:19" ht="108.6" customHeight="1" x14ac:dyDescent="0.25">
      <c r="A166" s="197" t="str">
        <f t="shared" si="6"/>
        <v>INC20260127165</v>
      </c>
      <c r="B166" s="199">
        <v>46049.672916666699</v>
      </c>
      <c r="C166" s="192" t="s">
        <v>37</v>
      </c>
      <c r="D166" s="192" t="s">
        <v>286</v>
      </c>
      <c r="E166" s="192" t="s">
        <v>125</v>
      </c>
      <c r="F166" s="192" t="s">
        <v>40</v>
      </c>
      <c r="G166" s="192" t="s">
        <v>41</v>
      </c>
      <c r="H166" s="192" t="s">
        <v>79</v>
      </c>
      <c r="I166" s="192" t="s">
        <v>287</v>
      </c>
      <c r="J166" s="195" t="s">
        <v>288</v>
      </c>
      <c r="K166" s="192" t="s">
        <v>44</v>
      </c>
      <c r="L166" s="192" t="s">
        <v>81</v>
      </c>
      <c r="M166" s="146" t="s">
        <v>5</v>
      </c>
      <c r="N166" s="192" t="s">
        <v>289</v>
      </c>
      <c r="O166" s="192" t="s">
        <v>86</v>
      </c>
      <c r="P166" s="192" t="s">
        <v>290</v>
      </c>
      <c r="Q166" s="145">
        <v>46049</v>
      </c>
      <c r="R166" s="145">
        <v>46051</v>
      </c>
      <c r="S166" s="192"/>
    </row>
    <row r="167" spans="1:19" ht="114.6" customHeight="1" x14ac:dyDescent="0.25">
      <c r="A167" s="197" t="str">
        <f t="shared" si="6"/>
        <v>INC20260127166</v>
      </c>
      <c r="B167" s="199">
        <v>46049.731249999997</v>
      </c>
      <c r="C167" s="192" t="s">
        <v>37</v>
      </c>
      <c r="D167" s="194" t="s">
        <v>291</v>
      </c>
      <c r="E167" s="197" t="s">
        <v>69</v>
      </c>
      <c r="F167" s="192" t="s">
        <v>59</v>
      </c>
      <c r="G167" s="192" t="s">
        <v>60</v>
      </c>
      <c r="H167" s="192" t="s">
        <v>61</v>
      </c>
      <c r="I167" s="192" t="s">
        <v>62</v>
      </c>
      <c r="J167" s="121" t="s">
        <v>1860</v>
      </c>
      <c r="K167" s="192" t="s">
        <v>63</v>
      </c>
      <c r="L167" s="192" t="s">
        <v>64</v>
      </c>
      <c r="M167" s="143" t="s">
        <v>5</v>
      </c>
      <c r="N167" s="192" t="s">
        <v>292</v>
      </c>
      <c r="O167" s="192" t="s">
        <v>66</v>
      </c>
      <c r="P167" s="192" t="s">
        <v>67</v>
      </c>
      <c r="Q167" s="145"/>
      <c r="R167" s="145">
        <v>46051</v>
      </c>
      <c r="S167" s="192"/>
    </row>
    <row r="168" spans="1:19" ht="113.4" customHeight="1" x14ac:dyDescent="0.25">
      <c r="A168" s="197" t="str">
        <f t="shared" si="6"/>
        <v>INC20260128167</v>
      </c>
      <c r="B168" s="199">
        <v>46050.326388888898</v>
      </c>
      <c r="C168" s="192" t="s">
        <v>37</v>
      </c>
      <c r="D168" s="194" t="s">
        <v>293</v>
      </c>
      <c r="E168" s="192" t="s">
        <v>50</v>
      </c>
      <c r="F168" s="192" t="s">
        <v>40</v>
      </c>
      <c r="G168" s="192" t="s">
        <v>51</v>
      </c>
      <c r="H168" s="192" t="s">
        <v>92</v>
      </c>
      <c r="I168" s="192" t="s">
        <v>93</v>
      </c>
      <c r="J168" s="195" t="s">
        <v>1861</v>
      </c>
      <c r="K168" s="192" t="s">
        <v>54</v>
      </c>
      <c r="L168" s="192" t="s">
        <v>55</v>
      </c>
      <c r="M168" s="146" t="s">
        <v>5</v>
      </c>
      <c r="N168" s="192" t="s">
        <v>294</v>
      </c>
      <c r="O168" s="192" t="s">
        <v>95</v>
      </c>
      <c r="P168" s="192" t="s">
        <v>96</v>
      </c>
      <c r="Q168" s="145">
        <v>46050</v>
      </c>
      <c r="R168" s="145">
        <v>46051</v>
      </c>
      <c r="S168" s="192"/>
    </row>
    <row r="169" spans="1:19" ht="114" customHeight="1" x14ac:dyDescent="0.25">
      <c r="A169" s="197" t="str">
        <f t="shared" si="6"/>
        <v>INC20260128168</v>
      </c>
      <c r="B169" s="199">
        <v>46050.355555555601</v>
      </c>
      <c r="C169" s="192" t="s">
        <v>37</v>
      </c>
      <c r="D169" s="194" t="s">
        <v>38</v>
      </c>
      <c r="E169" s="192" t="s">
        <v>39</v>
      </c>
      <c r="F169" s="192" t="s">
        <v>40</v>
      </c>
      <c r="G169" s="192" t="s">
        <v>41</v>
      </c>
      <c r="H169" s="192" t="s">
        <v>42</v>
      </c>
      <c r="I169" s="192" t="s">
        <v>43</v>
      </c>
      <c r="J169" s="195" t="s">
        <v>1862</v>
      </c>
      <c r="K169" s="192" t="s">
        <v>44</v>
      </c>
      <c r="L169" s="192" t="s">
        <v>45</v>
      </c>
      <c r="M169" s="143" t="s">
        <v>5</v>
      </c>
      <c r="N169" s="198" t="s">
        <v>295</v>
      </c>
      <c r="O169" s="192"/>
      <c r="P169" s="144" t="s">
        <v>47</v>
      </c>
      <c r="Q169" s="145">
        <v>46051</v>
      </c>
      <c r="R169" s="145">
        <v>46051</v>
      </c>
      <c r="S169" s="192"/>
    </row>
    <row r="170" spans="1:19" ht="130.80000000000001" customHeight="1" x14ac:dyDescent="0.25">
      <c r="A170" s="197" t="str">
        <f t="shared" si="6"/>
        <v>INC20260126169</v>
      </c>
      <c r="B170" s="199">
        <v>46048.749305555597</v>
      </c>
      <c r="C170" s="192" t="s">
        <v>37</v>
      </c>
      <c r="D170" s="194" t="s">
        <v>49</v>
      </c>
      <c r="E170" s="192" t="s">
        <v>50</v>
      </c>
      <c r="F170" s="192" t="s">
        <v>40</v>
      </c>
      <c r="G170" s="192" t="s">
        <v>51</v>
      </c>
      <c r="H170" s="192" t="s">
        <v>92</v>
      </c>
      <c r="I170" s="192" t="s">
        <v>93</v>
      </c>
      <c r="J170" s="195" t="s">
        <v>1863</v>
      </c>
      <c r="K170" s="192" t="s">
        <v>54</v>
      </c>
      <c r="L170" s="192" t="s">
        <v>55</v>
      </c>
      <c r="M170" s="146" t="s">
        <v>5</v>
      </c>
      <c r="N170" s="192" t="s">
        <v>296</v>
      </c>
      <c r="O170" s="192" t="s">
        <v>95</v>
      </c>
      <c r="P170" s="192" t="s">
        <v>96</v>
      </c>
      <c r="Q170" s="145">
        <v>46049</v>
      </c>
      <c r="R170" s="145">
        <v>46051</v>
      </c>
      <c r="S170" s="192"/>
    </row>
    <row r="171" spans="1:19" ht="114" customHeight="1" x14ac:dyDescent="0.25">
      <c r="A171" s="197" t="str">
        <f t="shared" si="6"/>
        <v>INC20260123170</v>
      </c>
      <c r="B171" s="167">
        <v>46045.631249999999</v>
      </c>
      <c r="C171" s="192" t="s">
        <v>77</v>
      </c>
      <c r="D171" s="194" t="s">
        <v>78</v>
      </c>
      <c r="E171" s="197" t="s">
        <v>180</v>
      </c>
      <c r="F171" s="192" t="s">
        <v>40</v>
      </c>
      <c r="G171" s="192" t="s">
        <v>60</v>
      </c>
      <c r="H171" s="192" t="s">
        <v>79</v>
      </c>
      <c r="I171" s="192" t="s">
        <v>80</v>
      </c>
      <c r="J171" s="121" t="s">
        <v>1864</v>
      </c>
      <c r="K171" s="192" t="s">
        <v>110</v>
      </c>
      <c r="L171" s="192" t="s">
        <v>81</v>
      </c>
      <c r="M171" s="146" t="s">
        <v>5</v>
      </c>
      <c r="N171" s="167" t="s">
        <v>297</v>
      </c>
      <c r="O171" s="197" t="s">
        <v>83</v>
      </c>
      <c r="P171" s="197" t="s">
        <v>1366</v>
      </c>
      <c r="Q171" s="167">
        <v>46045.658333333296</v>
      </c>
      <c r="R171" s="145">
        <v>46051</v>
      </c>
      <c r="S171" s="192"/>
    </row>
    <row r="172" spans="1:19" ht="126" customHeight="1" x14ac:dyDescent="0.25">
      <c r="A172" s="197" t="str">
        <f t="shared" si="6"/>
        <v>INC20260123171</v>
      </c>
      <c r="B172" s="167">
        <v>46045.640277777798</v>
      </c>
      <c r="C172" s="192" t="s">
        <v>77</v>
      </c>
      <c r="D172" s="194" t="s">
        <v>78</v>
      </c>
      <c r="E172" s="197" t="s">
        <v>225</v>
      </c>
      <c r="F172" s="192" t="s">
        <v>40</v>
      </c>
      <c r="G172" s="192" t="s">
        <v>60</v>
      </c>
      <c r="H172" s="192" t="s">
        <v>79</v>
      </c>
      <c r="I172" s="192" t="s">
        <v>80</v>
      </c>
      <c r="J172" s="121" t="s">
        <v>1865</v>
      </c>
      <c r="K172" s="192" t="s">
        <v>110</v>
      </c>
      <c r="L172" s="192" t="s">
        <v>81</v>
      </c>
      <c r="M172" s="146" t="s">
        <v>5</v>
      </c>
      <c r="N172" s="167" t="s">
        <v>298</v>
      </c>
      <c r="O172" s="197" t="s">
        <v>83</v>
      </c>
      <c r="P172" s="197" t="s">
        <v>1366</v>
      </c>
      <c r="Q172" s="167">
        <v>46045.665972222203</v>
      </c>
      <c r="R172" s="145">
        <v>46051</v>
      </c>
      <c r="S172" s="192"/>
    </row>
    <row r="173" spans="1:19" ht="126.6" customHeight="1" x14ac:dyDescent="0.25">
      <c r="A173" s="197" t="str">
        <f t="shared" si="6"/>
        <v>INC20260123172</v>
      </c>
      <c r="B173" s="167">
        <v>46045.657638888901</v>
      </c>
      <c r="C173" s="192" t="s">
        <v>77</v>
      </c>
      <c r="D173" s="194" t="s">
        <v>78</v>
      </c>
      <c r="E173" s="197" t="s">
        <v>69</v>
      </c>
      <c r="F173" s="192" t="s">
        <v>40</v>
      </c>
      <c r="G173" s="192" t="s">
        <v>60</v>
      </c>
      <c r="H173" s="192" t="s">
        <v>79</v>
      </c>
      <c r="I173" s="192" t="s">
        <v>84</v>
      </c>
      <c r="J173" s="121" t="s">
        <v>1866</v>
      </c>
      <c r="K173" s="192" t="s">
        <v>151</v>
      </c>
      <c r="L173" s="192" t="s">
        <v>81</v>
      </c>
      <c r="M173" s="146" t="s">
        <v>5</v>
      </c>
      <c r="N173" s="167" t="s">
        <v>299</v>
      </c>
      <c r="O173" s="192" t="s">
        <v>86</v>
      </c>
      <c r="P173" s="192" t="s">
        <v>87</v>
      </c>
      <c r="Q173" s="167">
        <v>46045.667361111096</v>
      </c>
      <c r="R173" s="145">
        <v>46051</v>
      </c>
      <c r="S173" s="192"/>
    </row>
    <row r="174" spans="1:19" ht="124.2" customHeight="1" x14ac:dyDescent="0.25">
      <c r="A174" s="197" t="str">
        <f t="shared" si="6"/>
        <v>INC20260123173</v>
      </c>
      <c r="B174" s="167">
        <v>46045.6694444444</v>
      </c>
      <c r="C174" s="192" t="s">
        <v>77</v>
      </c>
      <c r="D174" s="194" t="s">
        <v>78</v>
      </c>
      <c r="E174" s="197" t="s">
        <v>69</v>
      </c>
      <c r="F174" s="192" t="s">
        <v>40</v>
      </c>
      <c r="G174" s="192" t="s">
        <v>60</v>
      </c>
      <c r="H174" s="192" t="s">
        <v>79</v>
      </c>
      <c r="I174" s="192" t="s">
        <v>84</v>
      </c>
      <c r="J174" s="121" t="s">
        <v>1867</v>
      </c>
      <c r="K174" s="192" t="s">
        <v>63</v>
      </c>
      <c r="L174" s="192" t="s">
        <v>81</v>
      </c>
      <c r="M174" s="146" t="s">
        <v>5</v>
      </c>
      <c r="N174" s="167" t="s">
        <v>300</v>
      </c>
      <c r="O174" s="192" t="s">
        <v>86</v>
      </c>
      <c r="P174" s="192" t="s">
        <v>87</v>
      </c>
      <c r="Q174" s="167">
        <v>46045.688888888901</v>
      </c>
      <c r="R174" s="145">
        <v>46051</v>
      </c>
      <c r="S174" s="192"/>
    </row>
    <row r="175" spans="1:19" ht="117.6" customHeight="1" x14ac:dyDescent="0.25">
      <c r="A175" s="197" t="str">
        <f t="shared" si="6"/>
        <v>INC20260123174</v>
      </c>
      <c r="B175" s="167">
        <v>46045.713194444397</v>
      </c>
      <c r="C175" s="192" t="s">
        <v>77</v>
      </c>
      <c r="D175" s="194" t="s">
        <v>78</v>
      </c>
      <c r="E175" s="197" t="s">
        <v>69</v>
      </c>
      <c r="F175" s="192" t="s">
        <v>40</v>
      </c>
      <c r="G175" s="192" t="s">
        <v>60</v>
      </c>
      <c r="H175" s="192" t="s">
        <v>79</v>
      </c>
      <c r="I175" s="192" t="s">
        <v>84</v>
      </c>
      <c r="J175" s="121" t="s">
        <v>1868</v>
      </c>
      <c r="K175" s="192" t="s">
        <v>63</v>
      </c>
      <c r="L175" s="192" t="s">
        <v>81</v>
      </c>
      <c r="M175" s="146" t="s">
        <v>5</v>
      </c>
      <c r="N175" s="168" t="s">
        <v>301</v>
      </c>
      <c r="O175" s="192" t="s">
        <v>86</v>
      </c>
      <c r="P175" s="192" t="s">
        <v>87</v>
      </c>
      <c r="Q175" s="167">
        <v>46045.795833333301</v>
      </c>
      <c r="R175" s="145">
        <v>46051</v>
      </c>
      <c r="S175" s="192"/>
    </row>
    <row r="176" spans="1:19" ht="126.6" customHeight="1" x14ac:dyDescent="0.25">
      <c r="A176" s="197" t="str">
        <f t="shared" si="6"/>
        <v>INC20260123175</v>
      </c>
      <c r="B176" s="167">
        <v>46045.795833333301</v>
      </c>
      <c r="C176" s="192" t="s">
        <v>77</v>
      </c>
      <c r="D176" s="194" t="s">
        <v>78</v>
      </c>
      <c r="E176" s="197" t="s">
        <v>58</v>
      </c>
      <c r="F176" s="192" t="s">
        <v>40</v>
      </c>
      <c r="G176" s="192" t="s">
        <v>60</v>
      </c>
      <c r="H176" s="192" t="s">
        <v>79</v>
      </c>
      <c r="I176" s="192" t="s">
        <v>84</v>
      </c>
      <c r="J176" s="121" t="s">
        <v>1869</v>
      </c>
      <c r="K176" s="192" t="s">
        <v>110</v>
      </c>
      <c r="L176" s="192" t="s">
        <v>81</v>
      </c>
      <c r="M176" s="146" t="s">
        <v>5</v>
      </c>
      <c r="N176" s="167" t="s">
        <v>302</v>
      </c>
      <c r="O176" s="192" t="s">
        <v>86</v>
      </c>
      <c r="P176" s="192" t="s">
        <v>87</v>
      </c>
      <c r="Q176" s="167">
        <v>46045.863888888904</v>
      </c>
      <c r="R176" s="145">
        <v>46051</v>
      </c>
      <c r="S176" s="192"/>
    </row>
    <row r="177" spans="1:19" ht="118.2" customHeight="1" x14ac:dyDescent="0.25">
      <c r="A177" s="197" t="str">
        <f t="shared" si="6"/>
        <v>INC20260123176</v>
      </c>
      <c r="B177" s="167">
        <v>46045.848611111098</v>
      </c>
      <c r="C177" s="192" t="s">
        <v>77</v>
      </c>
      <c r="D177" s="194" t="s">
        <v>78</v>
      </c>
      <c r="E177" s="197" t="s">
        <v>58</v>
      </c>
      <c r="F177" s="192" t="s">
        <v>40</v>
      </c>
      <c r="G177" s="192" t="s">
        <v>60</v>
      </c>
      <c r="H177" s="192" t="s">
        <v>79</v>
      </c>
      <c r="I177" s="192" t="s">
        <v>84</v>
      </c>
      <c r="J177" s="121" t="s">
        <v>1870</v>
      </c>
      <c r="K177" s="192" t="s">
        <v>110</v>
      </c>
      <c r="L177" s="192" t="s">
        <v>81</v>
      </c>
      <c r="M177" s="146" t="s">
        <v>5</v>
      </c>
      <c r="N177" s="167" t="s">
        <v>303</v>
      </c>
      <c r="O177" s="192" t="s">
        <v>86</v>
      </c>
      <c r="P177" s="192" t="s">
        <v>87</v>
      </c>
      <c r="Q177" s="167">
        <v>46045.863888888904</v>
      </c>
      <c r="R177" s="145">
        <v>46051</v>
      </c>
      <c r="S177" s="192"/>
    </row>
    <row r="178" spans="1:19" ht="112.2" customHeight="1" x14ac:dyDescent="0.25">
      <c r="A178" s="197" t="str">
        <f t="shared" si="6"/>
        <v>INC20260123177</v>
      </c>
      <c r="B178" s="167">
        <v>46045.849305555603</v>
      </c>
      <c r="C178" s="192" t="s">
        <v>77</v>
      </c>
      <c r="D178" s="194" t="s">
        <v>78</v>
      </c>
      <c r="E178" s="197" t="s">
        <v>58</v>
      </c>
      <c r="F178" s="192" t="s">
        <v>40</v>
      </c>
      <c r="G178" s="192" t="s">
        <v>60</v>
      </c>
      <c r="H178" s="192" t="s">
        <v>79</v>
      </c>
      <c r="I178" s="192" t="s">
        <v>84</v>
      </c>
      <c r="J178" s="121" t="s">
        <v>1871</v>
      </c>
      <c r="K178" s="192" t="s">
        <v>110</v>
      </c>
      <c r="L178" s="192" t="s">
        <v>81</v>
      </c>
      <c r="M178" s="146" t="s">
        <v>5</v>
      </c>
      <c r="N178" s="167" t="s">
        <v>303</v>
      </c>
      <c r="O178" s="192" t="s">
        <v>86</v>
      </c>
      <c r="P178" s="192" t="s">
        <v>87</v>
      </c>
      <c r="Q178" s="167">
        <v>46045.863888888904</v>
      </c>
      <c r="R178" s="145">
        <v>46051</v>
      </c>
      <c r="S178" s="192"/>
    </row>
    <row r="179" spans="1:19" ht="112.2" customHeight="1" x14ac:dyDescent="0.25">
      <c r="A179" s="197" t="str">
        <f t="shared" si="6"/>
        <v>INC20260125178</v>
      </c>
      <c r="B179" s="167">
        <v>46047.547916666699</v>
      </c>
      <c r="C179" s="192" t="s">
        <v>77</v>
      </c>
      <c r="D179" s="194" t="s">
        <v>78</v>
      </c>
      <c r="E179" s="192" t="s">
        <v>50</v>
      </c>
      <c r="F179" s="192" t="s">
        <v>40</v>
      </c>
      <c r="G179" s="192" t="s">
        <v>51</v>
      </c>
      <c r="H179" s="192" t="s">
        <v>79</v>
      </c>
      <c r="I179" s="192" t="s">
        <v>84</v>
      </c>
      <c r="J179" s="195" t="s">
        <v>1872</v>
      </c>
      <c r="K179" s="192" t="s">
        <v>54</v>
      </c>
      <c r="L179" s="192" t="s">
        <v>55</v>
      </c>
      <c r="M179" s="146" t="s">
        <v>5</v>
      </c>
      <c r="N179" s="168" t="s">
        <v>304</v>
      </c>
      <c r="O179" s="192"/>
      <c r="P179" s="192"/>
      <c r="Q179" s="169">
        <v>46047.555555555598</v>
      </c>
      <c r="R179" s="145">
        <v>46051</v>
      </c>
      <c r="S179" s="192"/>
    </row>
    <row r="180" spans="1:19" ht="112.2" customHeight="1" x14ac:dyDescent="0.25">
      <c r="A180" s="197" t="str">
        <f t="shared" si="6"/>
        <v>INC20260125179</v>
      </c>
      <c r="B180" s="167">
        <v>46047.570833333302</v>
      </c>
      <c r="C180" s="192" t="s">
        <v>77</v>
      </c>
      <c r="D180" s="194" t="s">
        <v>78</v>
      </c>
      <c r="E180" s="197" t="s">
        <v>58</v>
      </c>
      <c r="F180" s="192" t="s">
        <v>40</v>
      </c>
      <c r="G180" s="192" t="s">
        <v>60</v>
      </c>
      <c r="H180" s="192" t="s">
        <v>79</v>
      </c>
      <c r="I180" s="192" t="s">
        <v>84</v>
      </c>
      <c r="J180" s="121" t="s">
        <v>1873</v>
      </c>
      <c r="K180" s="192" t="s">
        <v>110</v>
      </c>
      <c r="L180" s="192" t="s">
        <v>81</v>
      </c>
      <c r="M180" s="146" t="s">
        <v>5</v>
      </c>
      <c r="N180" s="168" t="s">
        <v>305</v>
      </c>
      <c r="O180" s="192" t="s">
        <v>86</v>
      </c>
      <c r="P180" s="192" t="s">
        <v>87</v>
      </c>
      <c r="Q180" s="167">
        <v>46047.572916666701</v>
      </c>
      <c r="R180" s="145">
        <v>46051</v>
      </c>
      <c r="S180" s="192"/>
    </row>
    <row r="181" spans="1:19" ht="120" customHeight="1" x14ac:dyDescent="0.25">
      <c r="A181" s="197" t="str">
        <f t="shared" si="6"/>
        <v>INC20260125180</v>
      </c>
      <c r="B181" s="167">
        <v>46047.909722222197</v>
      </c>
      <c r="C181" s="192" t="s">
        <v>77</v>
      </c>
      <c r="D181" s="194" t="s">
        <v>78</v>
      </c>
      <c r="E181" s="192" t="s">
        <v>50</v>
      </c>
      <c r="F181" s="192" t="s">
        <v>40</v>
      </c>
      <c r="G181" s="192" t="s">
        <v>51</v>
      </c>
      <c r="H181" s="192" t="s">
        <v>79</v>
      </c>
      <c r="I181" s="192" t="s">
        <v>84</v>
      </c>
      <c r="J181" s="195" t="s">
        <v>1874</v>
      </c>
      <c r="K181" s="192" t="s">
        <v>54</v>
      </c>
      <c r="L181" s="192" t="s">
        <v>55</v>
      </c>
      <c r="M181" s="146" t="s">
        <v>5</v>
      </c>
      <c r="N181" s="170" t="s">
        <v>304</v>
      </c>
      <c r="O181" s="192" t="s">
        <v>306</v>
      </c>
      <c r="P181" s="192" t="s">
        <v>307</v>
      </c>
      <c r="Q181" s="169">
        <v>45682.911805555603</v>
      </c>
      <c r="R181" s="145">
        <v>46051</v>
      </c>
      <c r="S181" s="192"/>
    </row>
    <row r="182" spans="1:19" ht="107.4" customHeight="1" x14ac:dyDescent="0.25">
      <c r="A182" s="197" t="str">
        <f t="shared" si="6"/>
        <v>INC20260126181</v>
      </c>
      <c r="B182" s="167">
        <v>46048.034027777801</v>
      </c>
      <c r="C182" s="192" t="s">
        <v>77</v>
      </c>
      <c r="D182" s="194" t="s">
        <v>78</v>
      </c>
      <c r="E182" s="197" t="s">
        <v>58</v>
      </c>
      <c r="F182" s="192" t="s">
        <v>40</v>
      </c>
      <c r="G182" s="192" t="s">
        <v>60</v>
      </c>
      <c r="H182" s="192" t="s">
        <v>79</v>
      </c>
      <c r="I182" s="192" t="s">
        <v>84</v>
      </c>
      <c r="J182" s="121" t="s">
        <v>1875</v>
      </c>
      <c r="K182" s="192" t="s">
        <v>63</v>
      </c>
      <c r="L182" s="192" t="s">
        <v>81</v>
      </c>
      <c r="M182" s="146" t="s">
        <v>5</v>
      </c>
      <c r="N182" s="168" t="s">
        <v>308</v>
      </c>
      <c r="O182" s="192" t="s">
        <v>86</v>
      </c>
      <c r="P182" s="192" t="s">
        <v>87</v>
      </c>
      <c r="Q182" s="169">
        <v>46048.818055555603</v>
      </c>
      <c r="R182" s="145">
        <v>46051</v>
      </c>
      <c r="S182" s="192"/>
    </row>
    <row r="183" spans="1:19" ht="120.6" customHeight="1" x14ac:dyDescent="0.25">
      <c r="A183" s="197" t="str">
        <f t="shared" si="6"/>
        <v>INC20260126182</v>
      </c>
      <c r="B183" s="167">
        <v>46048.087500000001</v>
      </c>
      <c r="C183" s="192" t="s">
        <v>77</v>
      </c>
      <c r="D183" s="194" t="s">
        <v>78</v>
      </c>
      <c r="E183" s="197" t="s">
        <v>58</v>
      </c>
      <c r="F183" s="192" t="s">
        <v>40</v>
      </c>
      <c r="G183" s="192" t="s">
        <v>60</v>
      </c>
      <c r="H183" s="192" t="s">
        <v>79</v>
      </c>
      <c r="I183" s="192" t="s">
        <v>84</v>
      </c>
      <c r="J183" s="121" t="s">
        <v>1876</v>
      </c>
      <c r="K183" s="192" t="s">
        <v>63</v>
      </c>
      <c r="L183" s="192" t="s">
        <v>81</v>
      </c>
      <c r="M183" s="146" t="s">
        <v>5</v>
      </c>
      <c r="N183" s="168" t="s">
        <v>309</v>
      </c>
      <c r="O183" s="192" t="s">
        <v>86</v>
      </c>
      <c r="P183" s="192" t="s">
        <v>87</v>
      </c>
      <c r="Q183" s="169">
        <v>46048.818055555603</v>
      </c>
      <c r="R183" s="145">
        <v>46051</v>
      </c>
      <c r="S183" s="192"/>
    </row>
    <row r="184" spans="1:19" ht="107.4" customHeight="1" x14ac:dyDescent="0.25">
      <c r="A184" s="197" t="str">
        <f t="shared" si="6"/>
        <v>INC20260126183</v>
      </c>
      <c r="B184" s="167">
        <v>46048.543055555601</v>
      </c>
      <c r="C184" s="192" t="s">
        <v>77</v>
      </c>
      <c r="D184" s="194" t="s">
        <v>78</v>
      </c>
      <c r="E184" s="197" t="s">
        <v>69</v>
      </c>
      <c r="F184" s="192" t="s">
        <v>40</v>
      </c>
      <c r="G184" s="192" t="s">
        <v>60</v>
      </c>
      <c r="H184" s="192" t="s">
        <v>79</v>
      </c>
      <c r="I184" s="192" t="s">
        <v>84</v>
      </c>
      <c r="J184" s="121" t="s">
        <v>1877</v>
      </c>
      <c r="K184" s="192" t="s">
        <v>63</v>
      </c>
      <c r="L184" s="192" t="s">
        <v>81</v>
      </c>
      <c r="M184" s="146" t="s">
        <v>5</v>
      </c>
      <c r="N184" s="168" t="s">
        <v>310</v>
      </c>
      <c r="O184" s="192" t="s">
        <v>86</v>
      </c>
      <c r="P184" s="192" t="s">
        <v>87</v>
      </c>
      <c r="Q184" s="169">
        <v>45683.5493055556</v>
      </c>
      <c r="R184" s="145">
        <v>46051</v>
      </c>
      <c r="S184" s="192"/>
    </row>
    <row r="185" spans="1:19" ht="107.4" customHeight="1" x14ac:dyDescent="0.25">
      <c r="A185" s="197" t="str">
        <f t="shared" si="6"/>
        <v>INC20260126184</v>
      </c>
      <c r="B185" s="167">
        <v>46048.5493055556</v>
      </c>
      <c r="C185" s="192" t="s">
        <v>77</v>
      </c>
      <c r="D185" s="194" t="s">
        <v>78</v>
      </c>
      <c r="E185" s="197" t="s">
        <v>69</v>
      </c>
      <c r="F185" s="192" t="s">
        <v>40</v>
      </c>
      <c r="G185" s="192" t="s">
        <v>60</v>
      </c>
      <c r="H185" s="192" t="s">
        <v>79</v>
      </c>
      <c r="I185" s="192" t="s">
        <v>84</v>
      </c>
      <c r="J185" s="121" t="s">
        <v>1878</v>
      </c>
      <c r="K185" s="192" t="s">
        <v>107</v>
      </c>
      <c r="L185" s="192" t="s">
        <v>81</v>
      </c>
      <c r="M185" s="146" t="s">
        <v>5</v>
      </c>
      <c r="N185" s="168" t="s">
        <v>311</v>
      </c>
      <c r="O185" s="192" t="s">
        <v>86</v>
      </c>
      <c r="P185" s="192" t="s">
        <v>87</v>
      </c>
      <c r="Q185" s="169">
        <v>45683.5534722222</v>
      </c>
      <c r="R185" s="145">
        <v>46051</v>
      </c>
      <c r="S185" s="192"/>
    </row>
    <row r="186" spans="1:19" ht="114" customHeight="1" x14ac:dyDescent="0.25">
      <c r="A186" s="197" t="str">
        <f t="shared" si="6"/>
        <v>INC20260126185</v>
      </c>
      <c r="B186" s="167">
        <v>46048.573611111096</v>
      </c>
      <c r="C186" s="192" t="s">
        <v>77</v>
      </c>
      <c r="D186" s="194" t="s">
        <v>78</v>
      </c>
      <c r="E186" s="197" t="s">
        <v>69</v>
      </c>
      <c r="F186" s="192" t="s">
        <v>40</v>
      </c>
      <c r="G186" s="192" t="s">
        <v>60</v>
      </c>
      <c r="H186" s="192" t="s">
        <v>79</v>
      </c>
      <c r="I186" s="192" t="s">
        <v>84</v>
      </c>
      <c r="J186" s="121" t="s">
        <v>1848</v>
      </c>
      <c r="K186" s="192" t="s">
        <v>63</v>
      </c>
      <c r="L186" s="192" t="s">
        <v>81</v>
      </c>
      <c r="M186" s="146" t="s">
        <v>5</v>
      </c>
      <c r="N186" s="168" t="s">
        <v>312</v>
      </c>
      <c r="O186" s="192" t="s">
        <v>86</v>
      </c>
      <c r="P186" s="192" t="s">
        <v>87</v>
      </c>
      <c r="Q186" s="169">
        <v>45683.579166666699</v>
      </c>
      <c r="R186" s="145">
        <v>46051</v>
      </c>
      <c r="S186" s="192"/>
    </row>
    <row r="187" spans="1:19" ht="126" customHeight="1" x14ac:dyDescent="0.25">
      <c r="A187" s="197" t="str">
        <f t="shared" si="6"/>
        <v>INC20260126186</v>
      </c>
      <c r="B187" s="167">
        <v>46048.7</v>
      </c>
      <c r="C187" s="192" t="s">
        <v>77</v>
      </c>
      <c r="D187" s="194" t="s">
        <v>78</v>
      </c>
      <c r="E187" s="197" t="s">
        <v>69</v>
      </c>
      <c r="F187" s="192" t="s">
        <v>40</v>
      </c>
      <c r="G187" s="192" t="s">
        <v>60</v>
      </c>
      <c r="H187" s="192" t="s">
        <v>79</v>
      </c>
      <c r="I187" s="192" t="s">
        <v>84</v>
      </c>
      <c r="J187" s="121" t="s">
        <v>1879</v>
      </c>
      <c r="K187" s="192" t="s">
        <v>63</v>
      </c>
      <c r="L187" s="192" t="s">
        <v>81</v>
      </c>
      <c r="M187" s="146" t="s">
        <v>5</v>
      </c>
      <c r="N187" s="167" t="s">
        <v>313</v>
      </c>
      <c r="O187" s="192" t="s">
        <v>86</v>
      </c>
      <c r="P187" s="192" t="s">
        <v>87</v>
      </c>
      <c r="Q187" s="167">
        <v>46049.45</v>
      </c>
      <c r="R187" s="145">
        <v>46051</v>
      </c>
      <c r="S187" s="192"/>
    </row>
    <row r="188" spans="1:19" ht="126.6" customHeight="1" x14ac:dyDescent="0.25">
      <c r="A188" s="197" t="str">
        <f t="shared" si="6"/>
        <v>INC20260126187</v>
      </c>
      <c r="B188" s="167">
        <v>46048.767361111102</v>
      </c>
      <c r="C188" s="192" t="s">
        <v>77</v>
      </c>
      <c r="D188" s="194" t="s">
        <v>78</v>
      </c>
      <c r="E188" s="197" t="s">
        <v>69</v>
      </c>
      <c r="F188" s="192" t="s">
        <v>40</v>
      </c>
      <c r="G188" s="192" t="s">
        <v>60</v>
      </c>
      <c r="H188" s="192" t="s">
        <v>79</v>
      </c>
      <c r="I188" s="192" t="s">
        <v>84</v>
      </c>
      <c r="J188" s="121" t="s">
        <v>1880</v>
      </c>
      <c r="K188" s="192" t="s">
        <v>314</v>
      </c>
      <c r="L188" s="192" t="s">
        <v>81</v>
      </c>
      <c r="M188" s="146" t="s">
        <v>5</v>
      </c>
      <c r="N188" s="167" t="s">
        <v>315</v>
      </c>
      <c r="O188" s="192" t="s">
        <v>86</v>
      </c>
      <c r="P188" s="192" t="s">
        <v>87</v>
      </c>
      <c r="Q188" s="167">
        <v>46048.572916666701</v>
      </c>
      <c r="R188" s="145">
        <v>46051</v>
      </c>
      <c r="S188" s="192"/>
    </row>
    <row r="189" spans="1:19" ht="115.8" customHeight="1" x14ac:dyDescent="0.25">
      <c r="A189" s="197" t="str">
        <f t="shared" si="6"/>
        <v>INC20260126188</v>
      </c>
      <c r="B189" s="167">
        <v>46048.820138888899</v>
      </c>
      <c r="C189" s="192" t="s">
        <v>77</v>
      </c>
      <c r="D189" s="194" t="s">
        <v>78</v>
      </c>
      <c r="E189" s="197" t="s">
        <v>225</v>
      </c>
      <c r="F189" s="192" t="s">
        <v>40</v>
      </c>
      <c r="G189" s="192" t="s">
        <v>60</v>
      </c>
      <c r="H189" s="192" t="s">
        <v>79</v>
      </c>
      <c r="I189" s="192" t="s">
        <v>80</v>
      </c>
      <c r="J189" s="121" t="s">
        <v>1881</v>
      </c>
      <c r="K189" s="192" t="s">
        <v>151</v>
      </c>
      <c r="L189" s="192" t="s">
        <v>81</v>
      </c>
      <c r="M189" s="146" t="s">
        <v>5</v>
      </c>
      <c r="N189" s="167" t="s">
        <v>316</v>
      </c>
      <c r="O189" s="197" t="s">
        <v>83</v>
      </c>
      <c r="P189" s="197" t="s">
        <v>1366</v>
      </c>
      <c r="Q189" s="167">
        <v>46049.6743055556</v>
      </c>
      <c r="R189" s="145">
        <v>46051</v>
      </c>
      <c r="S189" s="192"/>
    </row>
    <row r="190" spans="1:19" ht="130.19999999999999" customHeight="1" x14ac:dyDescent="0.25">
      <c r="A190" s="197" t="str">
        <f t="shared" si="6"/>
        <v>INC20260126189</v>
      </c>
      <c r="B190" s="167">
        <v>46048.838888888902</v>
      </c>
      <c r="C190" s="192" t="s">
        <v>77</v>
      </c>
      <c r="D190" s="194" t="s">
        <v>78</v>
      </c>
      <c r="E190" s="197" t="s">
        <v>317</v>
      </c>
      <c r="F190" s="192" t="s">
        <v>40</v>
      </c>
      <c r="G190" s="192" t="s">
        <v>60</v>
      </c>
      <c r="H190" s="192" t="s">
        <v>79</v>
      </c>
      <c r="I190" s="192" t="s">
        <v>84</v>
      </c>
      <c r="J190" s="121" t="s">
        <v>1882</v>
      </c>
      <c r="K190" s="192" t="s">
        <v>44</v>
      </c>
      <c r="L190" s="192" t="s">
        <v>81</v>
      </c>
      <c r="M190" s="146" t="s">
        <v>5</v>
      </c>
      <c r="N190" s="167" t="s">
        <v>318</v>
      </c>
      <c r="O190" s="192" t="s">
        <v>86</v>
      </c>
      <c r="P190" s="192" t="s">
        <v>87</v>
      </c>
      <c r="Q190" s="167">
        <v>46048.850694444402</v>
      </c>
      <c r="R190" s="145">
        <v>46051</v>
      </c>
      <c r="S190" s="192"/>
    </row>
    <row r="191" spans="1:19" ht="98.4" customHeight="1" x14ac:dyDescent="0.25">
      <c r="A191" s="197" t="str">
        <f t="shared" si="6"/>
        <v>INC20260127190</v>
      </c>
      <c r="B191" s="167">
        <v>46049.085416666698</v>
      </c>
      <c r="C191" s="192" t="s">
        <v>77</v>
      </c>
      <c r="D191" s="194" t="s">
        <v>78</v>
      </c>
      <c r="E191" s="197" t="s">
        <v>58</v>
      </c>
      <c r="F191" s="192" t="s">
        <v>40</v>
      </c>
      <c r="G191" s="192" t="s">
        <v>60</v>
      </c>
      <c r="H191" s="192" t="s">
        <v>79</v>
      </c>
      <c r="I191" s="192" t="s">
        <v>80</v>
      </c>
      <c r="J191" s="121" t="s">
        <v>1883</v>
      </c>
      <c r="K191" s="192" t="s">
        <v>63</v>
      </c>
      <c r="L191" s="192" t="s">
        <v>81</v>
      </c>
      <c r="M191" s="146" t="s">
        <v>5</v>
      </c>
      <c r="N191" s="167" t="s">
        <v>319</v>
      </c>
      <c r="O191" s="197" t="s">
        <v>83</v>
      </c>
      <c r="P191" s="197" t="s">
        <v>1366</v>
      </c>
      <c r="Q191" s="167">
        <v>46049.451388888898</v>
      </c>
      <c r="R191" s="145">
        <v>46051</v>
      </c>
      <c r="S191" s="192"/>
    </row>
    <row r="192" spans="1:19" ht="112.2" customHeight="1" x14ac:dyDescent="0.25">
      <c r="A192" s="197" t="str">
        <f t="shared" si="6"/>
        <v>INC20260127191</v>
      </c>
      <c r="B192" s="167">
        <v>46049.439583333296</v>
      </c>
      <c r="C192" s="192" t="s">
        <v>77</v>
      </c>
      <c r="D192" s="194" t="s">
        <v>78</v>
      </c>
      <c r="E192" s="197" t="s">
        <v>116</v>
      </c>
      <c r="F192" s="192" t="s">
        <v>40</v>
      </c>
      <c r="G192" s="192" t="s">
        <v>60</v>
      </c>
      <c r="H192" s="192" t="s">
        <v>79</v>
      </c>
      <c r="I192" s="192" t="s">
        <v>84</v>
      </c>
      <c r="J192" s="121" t="s">
        <v>1884</v>
      </c>
      <c r="K192" s="192" t="s">
        <v>151</v>
      </c>
      <c r="L192" s="192" t="s">
        <v>81</v>
      </c>
      <c r="M192" s="146" t="s">
        <v>5</v>
      </c>
      <c r="N192" s="168" t="s">
        <v>320</v>
      </c>
      <c r="O192" s="192" t="s">
        <v>86</v>
      </c>
      <c r="P192" s="192" t="s">
        <v>87</v>
      </c>
      <c r="Q192" s="169">
        <v>46049.456250000003</v>
      </c>
      <c r="R192" s="145">
        <v>46051</v>
      </c>
      <c r="S192" s="192"/>
    </row>
    <row r="193" spans="1:19" ht="123.6" customHeight="1" x14ac:dyDescent="0.25">
      <c r="A193" s="197" t="str">
        <f t="shared" si="6"/>
        <v>INC20260127192</v>
      </c>
      <c r="B193" s="167">
        <v>46049.490277777797</v>
      </c>
      <c r="C193" s="192" t="s">
        <v>77</v>
      </c>
      <c r="D193" s="194" t="s">
        <v>78</v>
      </c>
      <c r="E193" s="197" t="s">
        <v>74</v>
      </c>
      <c r="F193" s="192" t="s">
        <v>40</v>
      </c>
      <c r="G193" s="192" t="s">
        <v>60</v>
      </c>
      <c r="H193" s="192" t="s">
        <v>79</v>
      </c>
      <c r="I193" s="192" t="s">
        <v>84</v>
      </c>
      <c r="J193" s="121" t="s">
        <v>1848</v>
      </c>
      <c r="K193" s="192" t="s">
        <v>63</v>
      </c>
      <c r="L193" s="192" t="s">
        <v>81</v>
      </c>
      <c r="M193" s="146" t="s">
        <v>5</v>
      </c>
      <c r="N193" s="168" t="s">
        <v>321</v>
      </c>
      <c r="O193" s="192" t="s">
        <v>86</v>
      </c>
      <c r="P193" s="192" t="s">
        <v>87</v>
      </c>
      <c r="Q193" s="169">
        <v>46049.579166666699</v>
      </c>
      <c r="R193" s="145">
        <v>46051</v>
      </c>
      <c r="S193" s="192"/>
    </row>
    <row r="194" spans="1:19" ht="114" customHeight="1" x14ac:dyDescent="0.25">
      <c r="A194" s="197" t="str">
        <f t="shared" si="6"/>
        <v>INC20260127193</v>
      </c>
      <c r="B194" s="167">
        <v>46049.5805555556</v>
      </c>
      <c r="C194" s="192" t="s">
        <v>77</v>
      </c>
      <c r="D194" s="194" t="s">
        <v>78</v>
      </c>
      <c r="E194" s="197" t="s">
        <v>69</v>
      </c>
      <c r="F194" s="192" t="s">
        <v>40</v>
      </c>
      <c r="G194" s="192" t="s">
        <v>60</v>
      </c>
      <c r="H194" s="192" t="s">
        <v>79</v>
      </c>
      <c r="I194" s="192" t="s">
        <v>84</v>
      </c>
      <c r="J194" s="121" t="s">
        <v>1885</v>
      </c>
      <c r="K194" s="192" t="s">
        <v>107</v>
      </c>
      <c r="L194" s="192" t="s">
        <v>81</v>
      </c>
      <c r="M194" s="146" t="s">
        <v>5</v>
      </c>
      <c r="N194" s="168" t="s">
        <v>322</v>
      </c>
      <c r="O194" s="192" t="s">
        <v>86</v>
      </c>
      <c r="P194" s="192" t="s">
        <v>87</v>
      </c>
      <c r="Q194" s="169">
        <v>46049.498611111099</v>
      </c>
      <c r="R194" s="145">
        <v>46051</v>
      </c>
      <c r="S194" s="192"/>
    </row>
    <row r="195" spans="1:19" ht="108" customHeight="1" x14ac:dyDescent="0.25">
      <c r="A195" s="197" t="str">
        <f t="shared" si="6"/>
        <v>INC20260127194</v>
      </c>
      <c r="B195" s="167">
        <v>46049.866666666698</v>
      </c>
      <c r="C195" s="192" t="s">
        <v>77</v>
      </c>
      <c r="D195" s="194" t="s">
        <v>78</v>
      </c>
      <c r="E195" s="197" t="s">
        <v>69</v>
      </c>
      <c r="F195" s="192" t="s">
        <v>40</v>
      </c>
      <c r="G195" s="192" t="s">
        <v>60</v>
      </c>
      <c r="H195" s="192" t="s">
        <v>79</v>
      </c>
      <c r="I195" s="192" t="s">
        <v>84</v>
      </c>
      <c r="J195" s="121" t="s">
        <v>1886</v>
      </c>
      <c r="K195" s="192" t="s">
        <v>63</v>
      </c>
      <c r="L195" s="192" t="s">
        <v>81</v>
      </c>
      <c r="M195" s="146" t="s">
        <v>5</v>
      </c>
      <c r="N195" s="168" t="s">
        <v>323</v>
      </c>
      <c r="O195" s="192" t="s">
        <v>86</v>
      </c>
      <c r="P195" s="192" t="s">
        <v>87</v>
      </c>
      <c r="Q195" s="169">
        <v>46049.871527777803</v>
      </c>
      <c r="R195" s="145">
        <v>46051</v>
      </c>
      <c r="S195" s="192"/>
    </row>
    <row r="196" spans="1:19" ht="103.8" customHeight="1" x14ac:dyDescent="0.25">
      <c r="A196" s="197" t="str">
        <f t="shared" si="6"/>
        <v>INC20260127195</v>
      </c>
      <c r="B196" s="167">
        <v>46049.8881944444</v>
      </c>
      <c r="C196" s="192" t="s">
        <v>77</v>
      </c>
      <c r="D196" s="194" t="s">
        <v>78</v>
      </c>
      <c r="E196" s="192" t="s">
        <v>50</v>
      </c>
      <c r="F196" s="192" t="s">
        <v>40</v>
      </c>
      <c r="G196" s="192" t="s">
        <v>51</v>
      </c>
      <c r="H196" s="192" t="s">
        <v>79</v>
      </c>
      <c r="I196" s="192" t="s">
        <v>84</v>
      </c>
      <c r="J196" s="195" t="s">
        <v>1887</v>
      </c>
      <c r="K196" s="192" t="s">
        <v>54</v>
      </c>
      <c r="L196" s="192" t="s">
        <v>55</v>
      </c>
      <c r="M196" s="146" t="s">
        <v>5</v>
      </c>
      <c r="N196" s="170" t="s">
        <v>324</v>
      </c>
      <c r="O196" s="192" t="s">
        <v>325</v>
      </c>
      <c r="P196" s="192" t="s">
        <v>307</v>
      </c>
      <c r="Q196" s="169">
        <v>46049.890277777798</v>
      </c>
      <c r="R196" s="145">
        <v>46051</v>
      </c>
      <c r="S196" s="192"/>
    </row>
    <row r="197" spans="1:19" ht="107.4" customHeight="1" x14ac:dyDescent="0.25">
      <c r="A197" s="197" t="str">
        <f t="shared" si="6"/>
        <v>INC20260128196</v>
      </c>
      <c r="B197" s="199">
        <v>46050.473611111098</v>
      </c>
      <c r="C197" s="192" t="s">
        <v>37</v>
      </c>
      <c r="D197" s="194" t="s">
        <v>326</v>
      </c>
      <c r="E197" s="192" t="s">
        <v>50</v>
      </c>
      <c r="F197" s="192" t="s">
        <v>40</v>
      </c>
      <c r="G197" s="192" t="s">
        <v>51</v>
      </c>
      <c r="H197" s="192" t="s">
        <v>92</v>
      </c>
      <c r="I197" s="192" t="s">
        <v>93</v>
      </c>
      <c r="J197" s="195" t="s">
        <v>1888</v>
      </c>
      <c r="K197" s="192" t="s">
        <v>54</v>
      </c>
      <c r="L197" s="192" t="s">
        <v>55</v>
      </c>
      <c r="M197" s="146" t="s">
        <v>5</v>
      </c>
      <c r="N197" s="192" t="s">
        <v>327</v>
      </c>
      <c r="O197" s="192" t="s">
        <v>95</v>
      </c>
      <c r="P197" s="192" t="s">
        <v>96</v>
      </c>
      <c r="Q197" s="145">
        <v>46056</v>
      </c>
      <c r="R197" s="145">
        <v>46051</v>
      </c>
      <c r="S197" s="192"/>
    </row>
    <row r="198" spans="1:19" ht="113.4" customHeight="1" x14ac:dyDescent="0.25">
      <c r="A198" s="197" t="str">
        <f t="shared" si="6"/>
        <v>INC20260128197</v>
      </c>
      <c r="B198" s="199">
        <v>46050.543055555601</v>
      </c>
      <c r="C198" s="192" t="s">
        <v>37</v>
      </c>
      <c r="D198" s="194" t="s">
        <v>328</v>
      </c>
      <c r="E198" s="192" t="s">
        <v>50</v>
      </c>
      <c r="F198" s="192" t="s">
        <v>40</v>
      </c>
      <c r="G198" s="192" t="s">
        <v>51</v>
      </c>
      <c r="H198" s="192" t="s">
        <v>92</v>
      </c>
      <c r="I198" s="192" t="s">
        <v>93</v>
      </c>
      <c r="J198" s="195" t="s">
        <v>1889</v>
      </c>
      <c r="K198" s="192" t="s">
        <v>54</v>
      </c>
      <c r="L198" s="192" t="s">
        <v>55</v>
      </c>
      <c r="M198" s="146" t="s">
        <v>5</v>
      </c>
      <c r="N198" s="192" t="s">
        <v>329</v>
      </c>
      <c r="O198" s="192" t="s">
        <v>95</v>
      </c>
      <c r="P198" s="192" t="s">
        <v>96</v>
      </c>
      <c r="Q198" s="145">
        <v>46050</v>
      </c>
      <c r="R198" s="145">
        <v>46051</v>
      </c>
      <c r="S198" s="192"/>
    </row>
    <row r="199" spans="1:19" ht="116.4" customHeight="1" x14ac:dyDescent="0.25">
      <c r="A199" s="197" t="str">
        <f t="shared" si="6"/>
        <v>INC20260128198</v>
      </c>
      <c r="B199" s="199">
        <v>46050.55</v>
      </c>
      <c r="C199" s="192" t="s">
        <v>37</v>
      </c>
      <c r="D199" s="194" t="s">
        <v>330</v>
      </c>
      <c r="E199" s="192" t="s">
        <v>50</v>
      </c>
      <c r="F199" s="192" t="s">
        <v>40</v>
      </c>
      <c r="G199" s="192" t="s">
        <v>51</v>
      </c>
      <c r="H199" s="192" t="s">
        <v>92</v>
      </c>
      <c r="I199" s="192" t="s">
        <v>93</v>
      </c>
      <c r="J199" s="195" t="s">
        <v>1889</v>
      </c>
      <c r="K199" s="192" t="s">
        <v>54</v>
      </c>
      <c r="L199" s="192" t="s">
        <v>55</v>
      </c>
      <c r="M199" s="146" t="s">
        <v>5</v>
      </c>
      <c r="N199" s="192" t="s">
        <v>331</v>
      </c>
      <c r="O199" s="192" t="s">
        <v>95</v>
      </c>
      <c r="P199" s="192" t="s">
        <v>96</v>
      </c>
      <c r="Q199" s="145">
        <v>46050</v>
      </c>
      <c r="R199" s="145">
        <v>46051</v>
      </c>
      <c r="S199" s="192"/>
    </row>
    <row r="200" spans="1:19" ht="123" customHeight="1" x14ac:dyDescent="0.25">
      <c r="A200" s="197" t="str">
        <f t="shared" si="6"/>
        <v>INC20260128199</v>
      </c>
      <c r="B200" s="199">
        <v>46050.659722222197</v>
      </c>
      <c r="C200" s="192" t="s">
        <v>37</v>
      </c>
      <c r="D200" s="194" t="s">
        <v>332</v>
      </c>
      <c r="E200" s="197" t="s">
        <v>69</v>
      </c>
      <c r="F200" s="192" t="s">
        <v>59</v>
      </c>
      <c r="G200" s="192" t="s">
        <v>60</v>
      </c>
      <c r="H200" s="192" t="s">
        <v>61</v>
      </c>
      <c r="I200" s="192" t="s">
        <v>62</v>
      </c>
      <c r="J200" s="121" t="s">
        <v>1890</v>
      </c>
      <c r="K200" s="192" t="s">
        <v>63</v>
      </c>
      <c r="L200" s="192" t="s">
        <v>64</v>
      </c>
      <c r="M200" s="143" t="s">
        <v>5</v>
      </c>
      <c r="N200" s="192" t="s">
        <v>333</v>
      </c>
      <c r="O200" s="192" t="s">
        <v>66</v>
      </c>
      <c r="P200" s="192" t="s">
        <v>67</v>
      </c>
      <c r="Q200" s="145"/>
      <c r="R200" s="145">
        <v>46051</v>
      </c>
      <c r="S200" s="192"/>
    </row>
    <row r="201" spans="1:19" ht="108.6" customHeight="1" x14ac:dyDescent="0.25">
      <c r="A201" s="197" t="str">
        <f t="shared" si="6"/>
        <v>INC20260128200</v>
      </c>
      <c r="B201" s="199">
        <v>46050.748611111099</v>
      </c>
      <c r="C201" s="192" t="s">
        <v>37</v>
      </c>
      <c r="D201" s="194" t="s">
        <v>57</v>
      </c>
      <c r="E201" s="197" t="s">
        <v>74</v>
      </c>
      <c r="F201" s="192" t="s">
        <v>40</v>
      </c>
      <c r="G201" s="192" t="s">
        <v>60</v>
      </c>
      <c r="H201" s="192" t="s">
        <v>79</v>
      </c>
      <c r="I201" s="192" t="s">
        <v>84</v>
      </c>
      <c r="J201" s="121" t="s">
        <v>1891</v>
      </c>
      <c r="K201" s="192" t="s">
        <v>63</v>
      </c>
      <c r="L201" s="192" t="s">
        <v>81</v>
      </c>
      <c r="M201" s="146" t="s">
        <v>5</v>
      </c>
      <c r="N201" s="168" t="s">
        <v>334</v>
      </c>
      <c r="O201" s="192" t="s">
        <v>86</v>
      </c>
      <c r="P201" s="192" t="s">
        <v>87</v>
      </c>
      <c r="Q201" s="145">
        <v>46050</v>
      </c>
      <c r="R201" s="145">
        <v>46051</v>
      </c>
      <c r="S201" s="192"/>
    </row>
    <row r="202" spans="1:19" ht="112.2" customHeight="1" x14ac:dyDescent="0.25">
      <c r="A202" s="197" t="str">
        <f t="shared" si="6"/>
        <v>INC20260129201</v>
      </c>
      <c r="B202" s="199">
        <v>46051.420138888898</v>
      </c>
      <c r="C202" s="192" t="s">
        <v>37</v>
      </c>
      <c r="D202" s="194" t="s">
        <v>38</v>
      </c>
      <c r="E202" s="192" t="s">
        <v>39</v>
      </c>
      <c r="F202" s="192" t="s">
        <v>40</v>
      </c>
      <c r="G202" s="192" t="s">
        <v>41</v>
      </c>
      <c r="H202" s="192" t="s">
        <v>42</v>
      </c>
      <c r="I202" s="192" t="s">
        <v>43</v>
      </c>
      <c r="J202" s="195" t="s">
        <v>1892</v>
      </c>
      <c r="K202" s="192" t="s">
        <v>44</v>
      </c>
      <c r="L202" s="192" t="s">
        <v>45</v>
      </c>
      <c r="M202" s="143" t="s">
        <v>5</v>
      </c>
      <c r="N202" s="198" t="s">
        <v>335</v>
      </c>
      <c r="O202" s="192"/>
      <c r="P202" s="144" t="s">
        <v>47</v>
      </c>
      <c r="Q202" s="145">
        <v>46052</v>
      </c>
      <c r="R202" s="145">
        <v>46051</v>
      </c>
      <c r="S202" s="192"/>
    </row>
    <row r="203" spans="1:19" ht="108" customHeight="1" x14ac:dyDescent="0.25">
      <c r="A203" s="197" t="str">
        <f t="shared" si="6"/>
        <v>INC20260128202</v>
      </c>
      <c r="B203" s="193">
        <v>46050.5715277778</v>
      </c>
      <c r="C203" s="192" t="s">
        <v>77</v>
      </c>
      <c r="D203" s="194" t="s">
        <v>78</v>
      </c>
      <c r="E203" s="192" t="s">
        <v>50</v>
      </c>
      <c r="F203" s="192" t="s">
        <v>40</v>
      </c>
      <c r="G203" s="192" t="s">
        <v>51</v>
      </c>
      <c r="H203" s="192" t="s">
        <v>79</v>
      </c>
      <c r="I203" s="192" t="s">
        <v>84</v>
      </c>
      <c r="J203" s="195" t="s">
        <v>1893</v>
      </c>
      <c r="K203" s="192" t="s">
        <v>54</v>
      </c>
      <c r="L203" s="192" t="s">
        <v>55</v>
      </c>
      <c r="M203" s="146" t="s">
        <v>5</v>
      </c>
      <c r="N203" s="170" t="s">
        <v>336</v>
      </c>
      <c r="O203" s="192" t="s">
        <v>325</v>
      </c>
      <c r="P203" s="192" t="s">
        <v>307</v>
      </c>
      <c r="Q203" s="196">
        <v>46050.576388888898</v>
      </c>
      <c r="R203" s="145">
        <v>46051</v>
      </c>
      <c r="S203" s="192"/>
    </row>
    <row r="204" spans="1:19" ht="110.4" customHeight="1" x14ac:dyDescent="0.25">
      <c r="A204" s="197" t="str">
        <f t="shared" si="6"/>
        <v>INC20260129203</v>
      </c>
      <c r="B204" s="193">
        <v>46051.371527777803</v>
      </c>
      <c r="C204" s="192" t="s">
        <v>77</v>
      </c>
      <c r="D204" s="194" t="s">
        <v>78</v>
      </c>
      <c r="E204" s="197" t="s">
        <v>337</v>
      </c>
      <c r="F204" s="192" t="s">
        <v>40</v>
      </c>
      <c r="G204" s="192" t="s">
        <v>99</v>
      </c>
      <c r="H204" s="192" t="s">
        <v>79</v>
      </c>
      <c r="I204" s="192" t="s">
        <v>84</v>
      </c>
      <c r="J204" s="121" t="s">
        <v>1894</v>
      </c>
      <c r="K204" s="192" t="s">
        <v>63</v>
      </c>
      <c r="L204" s="192" t="s">
        <v>81</v>
      </c>
      <c r="M204" s="146" t="s">
        <v>5</v>
      </c>
      <c r="N204" s="192" t="s">
        <v>338</v>
      </c>
      <c r="O204" s="192" t="s">
        <v>86</v>
      </c>
      <c r="P204" s="192" t="s">
        <v>87</v>
      </c>
      <c r="Q204" s="145"/>
      <c r="R204" s="145">
        <v>46051</v>
      </c>
      <c r="S204" s="192"/>
    </row>
    <row r="205" spans="1:19" ht="124.8" customHeight="1" x14ac:dyDescent="0.25">
      <c r="A205" s="197" t="str">
        <f t="shared" si="6"/>
        <v>INC20260129204</v>
      </c>
      <c r="B205" s="199">
        <v>46051.465972222199</v>
      </c>
      <c r="C205" s="192" t="s">
        <v>37</v>
      </c>
      <c r="D205" s="194" t="s">
        <v>57</v>
      </c>
      <c r="E205" s="197" t="s">
        <v>69</v>
      </c>
      <c r="F205" s="192" t="s">
        <v>59</v>
      </c>
      <c r="G205" s="192" t="s">
        <v>60</v>
      </c>
      <c r="H205" s="192" t="s">
        <v>61</v>
      </c>
      <c r="I205" s="192" t="s">
        <v>62</v>
      </c>
      <c r="J205" s="121" t="s">
        <v>1895</v>
      </c>
      <c r="K205" s="192" t="s">
        <v>63</v>
      </c>
      <c r="L205" s="192" t="s">
        <v>81</v>
      </c>
      <c r="M205" s="146" t="s">
        <v>5</v>
      </c>
      <c r="N205" s="168" t="s">
        <v>339</v>
      </c>
      <c r="O205" s="192" t="s">
        <v>86</v>
      </c>
      <c r="P205" s="192" t="s">
        <v>87</v>
      </c>
      <c r="Q205" s="145"/>
      <c r="R205" s="145">
        <v>46051</v>
      </c>
      <c r="S205" s="192"/>
    </row>
    <row r="206" spans="1:19" ht="112.2" customHeight="1" x14ac:dyDescent="0.25">
      <c r="A206" s="197" t="str">
        <f t="shared" si="6"/>
        <v>INC20260129205</v>
      </c>
      <c r="B206" s="199">
        <v>46051.650694444397</v>
      </c>
      <c r="C206" s="192" t="s">
        <v>37</v>
      </c>
      <c r="D206" s="194" t="s">
        <v>340</v>
      </c>
      <c r="E206" s="192" t="s">
        <v>50</v>
      </c>
      <c r="F206" s="192" t="s">
        <v>40</v>
      </c>
      <c r="G206" s="192" t="s">
        <v>51</v>
      </c>
      <c r="H206" s="192" t="s">
        <v>92</v>
      </c>
      <c r="I206" s="192" t="s">
        <v>93</v>
      </c>
      <c r="J206" s="195" t="s">
        <v>1896</v>
      </c>
      <c r="K206" s="192" t="s">
        <v>54</v>
      </c>
      <c r="L206" s="192" t="s">
        <v>55</v>
      </c>
      <c r="M206" s="146" t="s">
        <v>5</v>
      </c>
      <c r="N206" s="192" t="s">
        <v>341</v>
      </c>
      <c r="O206" s="192" t="s">
        <v>95</v>
      </c>
      <c r="P206" s="192" t="s">
        <v>96</v>
      </c>
      <c r="Q206" s="145">
        <v>46051</v>
      </c>
      <c r="R206" s="145">
        <v>46063</v>
      </c>
      <c r="S206" s="192"/>
    </row>
    <row r="207" spans="1:19" ht="118.2" customHeight="1" x14ac:dyDescent="0.25">
      <c r="A207" s="197" t="str">
        <f t="shared" si="6"/>
        <v>INC20260129206</v>
      </c>
      <c r="B207" s="199">
        <v>46051.75</v>
      </c>
      <c r="C207" s="192" t="s">
        <v>37</v>
      </c>
      <c r="D207" s="194" t="s">
        <v>57</v>
      </c>
      <c r="E207" s="197" t="s">
        <v>69</v>
      </c>
      <c r="F207" s="192" t="s">
        <v>40</v>
      </c>
      <c r="G207" s="192" t="s">
        <v>60</v>
      </c>
      <c r="H207" s="192" t="s">
        <v>79</v>
      </c>
      <c r="I207" s="192" t="s">
        <v>84</v>
      </c>
      <c r="J207" s="121" t="s">
        <v>1690</v>
      </c>
      <c r="K207" s="192" t="s">
        <v>63</v>
      </c>
      <c r="L207" s="192" t="s">
        <v>81</v>
      </c>
      <c r="M207" s="146" t="s">
        <v>5</v>
      </c>
      <c r="N207" s="192" t="s">
        <v>342</v>
      </c>
      <c r="O207" s="192" t="s">
        <v>86</v>
      </c>
      <c r="P207" s="192" t="s">
        <v>87</v>
      </c>
      <c r="Q207" s="145">
        <v>46052</v>
      </c>
      <c r="R207" s="145">
        <v>46063</v>
      </c>
      <c r="S207" s="192"/>
    </row>
    <row r="208" spans="1:19" ht="114.6" customHeight="1" x14ac:dyDescent="0.25">
      <c r="A208" s="197" t="str">
        <f t="shared" si="6"/>
        <v>INC20260130207</v>
      </c>
      <c r="B208" s="199">
        <v>46052.350694444402</v>
      </c>
      <c r="C208" s="192" t="s">
        <v>37</v>
      </c>
      <c r="D208" s="194" t="s">
        <v>38</v>
      </c>
      <c r="E208" s="192" t="s">
        <v>39</v>
      </c>
      <c r="F208" s="192" t="s">
        <v>40</v>
      </c>
      <c r="G208" s="192" t="s">
        <v>41</v>
      </c>
      <c r="H208" s="192" t="s">
        <v>42</v>
      </c>
      <c r="I208" s="192" t="s">
        <v>43</v>
      </c>
      <c r="J208" s="195" t="s">
        <v>1897</v>
      </c>
      <c r="K208" s="192" t="s">
        <v>44</v>
      </c>
      <c r="L208" s="192" t="s">
        <v>45</v>
      </c>
      <c r="M208" s="143" t="s">
        <v>5</v>
      </c>
      <c r="N208" s="198" t="s">
        <v>343</v>
      </c>
      <c r="O208" s="192"/>
      <c r="P208" s="144" t="s">
        <v>47</v>
      </c>
      <c r="Q208" s="145" t="s">
        <v>344</v>
      </c>
      <c r="R208" s="145">
        <v>46063</v>
      </c>
      <c r="S208" s="192"/>
    </row>
    <row r="209" spans="1:19" ht="116.4" customHeight="1" x14ac:dyDescent="0.25">
      <c r="A209" s="197" t="str">
        <f t="shared" si="6"/>
        <v>INC20260130208</v>
      </c>
      <c r="B209" s="199">
        <v>46052.389583333301</v>
      </c>
      <c r="C209" s="192" t="s">
        <v>37</v>
      </c>
      <c r="D209" s="194" t="s">
        <v>129</v>
      </c>
      <c r="E209" s="192" t="s">
        <v>50</v>
      </c>
      <c r="F209" s="192" t="s">
        <v>40</v>
      </c>
      <c r="G209" s="192" t="s">
        <v>51</v>
      </c>
      <c r="H209" s="192" t="s">
        <v>92</v>
      </c>
      <c r="I209" s="192" t="s">
        <v>93</v>
      </c>
      <c r="J209" s="195" t="s">
        <v>1898</v>
      </c>
      <c r="K209" s="192" t="s">
        <v>54</v>
      </c>
      <c r="L209" s="192" t="s">
        <v>55</v>
      </c>
      <c r="M209" s="146" t="s">
        <v>5</v>
      </c>
      <c r="N209" s="192" t="s">
        <v>345</v>
      </c>
      <c r="O209" s="192" t="s">
        <v>95</v>
      </c>
      <c r="P209" s="192" t="s">
        <v>96</v>
      </c>
      <c r="Q209" s="145">
        <v>46052</v>
      </c>
      <c r="R209" s="145">
        <v>46063</v>
      </c>
      <c r="S209" s="192"/>
    </row>
    <row r="210" spans="1:19" ht="112.2" customHeight="1" x14ac:dyDescent="0.25">
      <c r="A210" s="197" t="str">
        <f t="shared" si="6"/>
        <v>INC20260130209</v>
      </c>
      <c r="B210" s="199">
        <v>46052.680555555598</v>
      </c>
      <c r="C210" s="192" t="s">
        <v>37</v>
      </c>
      <c r="D210" s="194" t="s">
        <v>49</v>
      </c>
      <c r="E210" s="192" t="s">
        <v>50</v>
      </c>
      <c r="F210" s="192" t="s">
        <v>40</v>
      </c>
      <c r="G210" s="192" t="s">
        <v>51</v>
      </c>
      <c r="H210" s="192" t="s">
        <v>92</v>
      </c>
      <c r="I210" s="192" t="s">
        <v>93</v>
      </c>
      <c r="J210" s="195" t="s">
        <v>1899</v>
      </c>
      <c r="K210" s="192" t="s">
        <v>54</v>
      </c>
      <c r="L210" s="192" t="s">
        <v>55</v>
      </c>
      <c r="M210" s="146" t="s">
        <v>5</v>
      </c>
      <c r="N210" s="192" t="s">
        <v>346</v>
      </c>
      <c r="O210" s="192" t="s">
        <v>95</v>
      </c>
      <c r="P210" s="192" t="s">
        <v>96</v>
      </c>
      <c r="Q210" s="145">
        <v>46056</v>
      </c>
      <c r="R210" s="145">
        <v>46063</v>
      </c>
      <c r="S210" s="192"/>
    </row>
    <row r="211" spans="1:19" ht="121.8" customHeight="1" x14ac:dyDescent="0.25">
      <c r="A211" s="197" t="str">
        <f t="shared" si="6"/>
        <v>INC20260130210</v>
      </c>
      <c r="B211" s="199">
        <v>46052.682638888902</v>
      </c>
      <c r="C211" s="192" t="s">
        <v>37</v>
      </c>
      <c r="D211" s="194" t="s">
        <v>49</v>
      </c>
      <c r="E211" s="192" t="s">
        <v>130</v>
      </c>
      <c r="F211" s="192" t="s">
        <v>40</v>
      </c>
      <c r="G211" s="192" t="s">
        <v>51</v>
      </c>
      <c r="H211" s="192" t="s">
        <v>92</v>
      </c>
      <c r="I211" s="192" t="s">
        <v>93</v>
      </c>
      <c r="J211" s="195" t="s">
        <v>1900</v>
      </c>
      <c r="K211" s="192" t="s">
        <v>54</v>
      </c>
      <c r="L211" s="192" t="s">
        <v>55</v>
      </c>
      <c r="M211" s="146" t="s">
        <v>5</v>
      </c>
      <c r="N211" s="192" t="s">
        <v>347</v>
      </c>
      <c r="O211" s="192" t="s">
        <v>95</v>
      </c>
      <c r="P211" s="192" t="s">
        <v>96</v>
      </c>
      <c r="Q211" s="145">
        <v>46056</v>
      </c>
      <c r="R211" s="145">
        <v>46063</v>
      </c>
      <c r="S211" s="192"/>
    </row>
    <row r="212" spans="1:19" ht="117.6" customHeight="1" x14ac:dyDescent="0.25">
      <c r="A212" s="197" t="str">
        <f t="shared" si="6"/>
        <v>INC20260130211</v>
      </c>
      <c r="B212" s="199">
        <v>46052.681944444397</v>
      </c>
      <c r="C212" s="192" t="s">
        <v>37</v>
      </c>
      <c r="D212" s="194" t="s">
        <v>49</v>
      </c>
      <c r="E212" s="192" t="s">
        <v>50</v>
      </c>
      <c r="F212" s="192" t="s">
        <v>40</v>
      </c>
      <c r="G212" s="192" t="s">
        <v>51</v>
      </c>
      <c r="H212" s="192" t="s">
        <v>92</v>
      </c>
      <c r="I212" s="192" t="s">
        <v>93</v>
      </c>
      <c r="J212" s="195" t="s">
        <v>1901</v>
      </c>
      <c r="K212" s="192" t="s">
        <v>54</v>
      </c>
      <c r="L212" s="192" t="s">
        <v>55</v>
      </c>
      <c r="M212" s="146" t="s">
        <v>5</v>
      </c>
      <c r="N212" s="192" t="s">
        <v>346</v>
      </c>
      <c r="O212" s="192" t="s">
        <v>95</v>
      </c>
      <c r="P212" s="192" t="s">
        <v>96</v>
      </c>
      <c r="Q212" s="145">
        <v>46056</v>
      </c>
      <c r="R212" s="145">
        <v>46063</v>
      </c>
      <c r="S212" s="192"/>
    </row>
    <row r="213" spans="1:19" ht="123.6" customHeight="1" x14ac:dyDescent="0.25">
      <c r="A213" s="197" t="str">
        <f t="shared" si="6"/>
        <v>INC20260130212</v>
      </c>
      <c r="B213" s="199">
        <v>46052.742361111101</v>
      </c>
      <c r="C213" s="192" t="s">
        <v>37</v>
      </c>
      <c r="D213" s="194" t="s">
        <v>348</v>
      </c>
      <c r="E213" s="192" t="s">
        <v>50</v>
      </c>
      <c r="F213" s="192" t="s">
        <v>40</v>
      </c>
      <c r="G213" s="192" t="s">
        <v>51</v>
      </c>
      <c r="H213" s="192" t="s">
        <v>92</v>
      </c>
      <c r="I213" s="192" t="s">
        <v>93</v>
      </c>
      <c r="J213" s="195" t="s">
        <v>1902</v>
      </c>
      <c r="K213" s="192" t="s">
        <v>54</v>
      </c>
      <c r="L213" s="192" t="s">
        <v>55</v>
      </c>
      <c r="M213" s="146" t="s">
        <v>5</v>
      </c>
      <c r="N213" s="192" t="s">
        <v>349</v>
      </c>
      <c r="O213" s="192" t="s">
        <v>95</v>
      </c>
      <c r="P213" s="192" t="s">
        <v>96</v>
      </c>
      <c r="Q213" s="145"/>
      <c r="R213" s="145">
        <v>46063</v>
      </c>
      <c r="S213" s="192"/>
    </row>
    <row r="214" spans="1:19" ht="110.4" customHeight="1" x14ac:dyDescent="0.25">
      <c r="A214" s="197" t="str">
        <f t="shared" si="6"/>
        <v>INC20260202213</v>
      </c>
      <c r="B214" s="199">
        <v>46055.095138888901</v>
      </c>
      <c r="C214" s="192" t="s">
        <v>37</v>
      </c>
      <c r="D214" s="194" t="s">
        <v>350</v>
      </c>
      <c r="E214" s="192" t="s">
        <v>50</v>
      </c>
      <c r="F214" s="192" t="s">
        <v>40</v>
      </c>
      <c r="G214" s="192" t="s">
        <v>51</v>
      </c>
      <c r="H214" s="192" t="s">
        <v>92</v>
      </c>
      <c r="I214" s="192" t="s">
        <v>93</v>
      </c>
      <c r="J214" s="195" t="s">
        <v>1903</v>
      </c>
      <c r="K214" s="192" t="s">
        <v>54</v>
      </c>
      <c r="L214" s="192" t="s">
        <v>55</v>
      </c>
      <c r="M214" s="146" t="s">
        <v>5</v>
      </c>
      <c r="N214" s="192" t="s">
        <v>351</v>
      </c>
      <c r="O214" s="192" t="s">
        <v>95</v>
      </c>
      <c r="P214" s="192" t="s">
        <v>96</v>
      </c>
      <c r="Q214" s="145">
        <v>46055</v>
      </c>
      <c r="R214" s="145">
        <v>46063</v>
      </c>
      <c r="S214" s="192"/>
    </row>
    <row r="215" spans="1:19" ht="102.6" customHeight="1" x14ac:dyDescent="0.25">
      <c r="A215" s="197" t="str">
        <f t="shared" si="6"/>
        <v>INC20260202214</v>
      </c>
      <c r="B215" s="199">
        <v>46055.358333333301</v>
      </c>
      <c r="C215" s="192" t="s">
        <v>37</v>
      </c>
      <c r="D215" s="194" t="s">
        <v>38</v>
      </c>
      <c r="E215" s="192" t="s">
        <v>39</v>
      </c>
      <c r="F215" s="192" t="s">
        <v>40</v>
      </c>
      <c r="G215" s="192" t="s">
        <v>41</v>
      </c>
      <c r="H215" s="192" t="s">
        <v>42</v>
      </c>
      <c r="I215" s="192" t="s">
        <v>43</v>
      </c>
      <c r="J215" s="195" t="s">
        <v>1904</v>
      </c>
      <c r="K215" s="192" t="s">
        <v>44</v>
      </c>
      <c r="L215" s="192" t="s">
        <v>45</v>
      </c>
      <c r="M215" s="143" t="s">
        <v>5</v>
      </c>
      <c r="N215" s="198" t="s">
        <v>352</v>
      </c>
      <c r="O215" s="192"/>
      <c r="P215" s="144" t="s">
        <v>47</v>
      </c>
      <c r="Q215" s="145">
        <v>46055</v>
      </c>
      <c r="R215" s="145">
        <v>46063</v>
      </c>
      <c r="S215" s="192"/>
    </row>
    <row r="216" spans="1:19" ht="118.8" customHeight="1" x14ac:dyDescent="0.25">
      <c r="A216" s="197" t="str">
        <f t="shared" si="6"/>
        <v>INC20260129215</v>
      </c>
      <c r="B216" s="193">
        <v>46051.397916666698</v>
      </c>
      <c r="C216" s="192" t="s">
        <v>77</v>
      </c>
      <c r="D216" s="194" t="s">
        <v>78</v>
      </c>
      <c r="E216" s="192" t="s">
        <v>337</v>
      </c>
      <c r="F216" s="192" t="s">
        <v>40</v>
      </c>
      <c r="G216" s="192" t="s">
        <v>99</v>
      </c>
      <c r="H216" s="192" t="s">
        <v>79</v>
      </c>
      <c r="I216" s="192" t="s">
        <v>84</v>
      </c>
      <c r="J216" s="121" t="s">
        <v>1905</v>
      </c>
      <c r="K216" s="192" t="s">
        <v>63</v>
      </c>
      <c r="L216" s="192" t="s">
        <v>81</v>
      </c>
      <c r="M216" s="146" t="s">
        <v>5</v>
      </c>
      <c r="N216" s="192" t="s">
        <v>353</v>
      </c>
      <c r="O216" s="192" t="s">
        <v>86</v>
      </c>
      <c r="P216" s="192" t="s">
        <v>87</v>
      </c>
      <c r="Q216" s="196">
        <v>46051.406944444403</v>
      </c>
      <c r="R216" s="145">
        <v>46063</v>
      </c>
      <c r="S216" s="192"/>
    </row>
    <row r="217" spans="1:19" ht="108" customHeight="1" x14ac:dyDescent="0.25">
      <c r="A217" s="197" t="str">
        <f t="shared" si="6"/>
        <v>INC20260129216</v>
      </c>
      <c r="B217" s="193">
        <v>46051.680555555598</v>
      </c>
      <c r="C217" s="192" t="s">
        <v>77</v>
      </c>
      <c r="D217" s="194" t="s">
        <v>78</v>
      </c>
      <c r="E217" s="192" t="s">
        <v>69</v>
      </c>
      <c r="F217" s="192" t="s">
        <v>40</v>
      </c>
      <c r="G217" s="192" t="s">
        <v>60</v>
      </c>
      <c r="H217" s="192" t="s">
        <v>79</v>
      </c>
      <c r="I217" s="192" t="s">
        <v>84</v>
      </c>
      <c r="J217" s="121" t="s">
        <v>354</v>
      </c>
      <c r="K217" s="192" t="s">
        <v>63</v>
      </c>
      <c r="L217" s="192" t="s">
        <v>81</v>
      </c>
      <c r="M217" s="146" t="s">
        <v>5</v>
      </c>
      <c r="N217" s="192" t="s">
        <v>355</v>
      </c>
      <c r="O217" s="192" t="s">
        <v>86</v>
      </c>
      <c r="P217" s="192" t="s">
        <v>87</v>
      </c>
      <c r="Q217" s="196">
        <v>46051.688888888901</v>
      </c>
      <c r="R217" s="145">
        <v>46063</v>
      </c>
      <c r="S217" s="192"/>
    </row>
    <row r="218" spans="1:19" ht="108" customHeight="1" x14ac:dyDescent="0.25">
      <c r="A218" s="197" t="str">
        <f t="shared" si="6"/>
        <v>INC20260129217</v>
      </c>
      <c r="B218" s="193">
        <v>46051.940972222197</v>
      </c>
      <c r="C218" s="192" t="s">
        <v>77</v>
      </c>
      <c r="D218" s="194" t="s">
        <v>78</v>
      </c>
      <c r="E218" s="192" t="s">
        <v>58</v>
      </c>
      <c r="F218" s="192" t="s">
        <v>40</v>
      </c>
      <c r="G218" s="192" t="s">
        <v>60</v>
      </c>
      <c r="H218" s="192" t="s">
        <v>79</v>
      </c>
      <c r="I218" s="192" t="s">
        <v>84</v>
      </c>
      <c r="J218" s="121" t="s">
        <v>356</v>
      </c>
      <c r="K218" s="192" t="s">
        <v>63</v>
      </c>
      <c r="L218" s="192" t="s">
        <v>81</v>
      </c>
      <c r="M218" s="146" t="s">
        <v>5</v>
      </c>
      <c r="N218" s="192" t="s">
        <v>357</v>
      </c>
      <c r="O218" s="192" t="s">
        <v>86</v>
      </c>
      <c r="P218" s="192" t="s">
        <v>87</v>
      </c>
      <c r="Q218" s="196">
        <v>46052.615277777797</v>
      </c>
      <c r="R218" s="145">
        <v>46063</v>
      </c>
      <c r="S218" s="192"/>
    </row>
    <row r="219" spans="1:19" ht="101.4" customHeight="1" x14ac:dyDescent="0.25">
      <c r="A219" s="197" t="str">
        <f t="shared" si="6"/>
        <v>INC20260130218</v>
      </c>
      <c r="B219" s="193">
        <v>46052.367361111101</v>
      </c>
      <c r="C219" s="192" t="s">
        <v>77</v>
      </c>
      <c r="D219" s="194" t="s">
        <v>78</v>
      </c>
      <c r="E219" s="192" t="s">
        <v>69</v>
      </c>
      <c r="F219" s="192" t="s">
        <v>40</v>
      </c>
      <c r="G219" s="192" t="s">
        <v>60</v>
      </c>
      <c r="H219" s="192" t="s">
        <v>79</v>
      </c>
      <c r="I219" s="192" t="s">
        <v>84</v>
      </c>
      <c r="J219" s="121" t="s">
        <v>358</v>
      </c>
      <c r="K219" s="192" t="s">
        <v>63</v>
      </c>
      <c r="L219" s="192" t="s">
        <v>81</v>
      </c>
      <c r="M219" s="146" t="s">
        <v>5</v>
      </c>
      <c r="N219" s="192" t="s">
        <v>359</v>
      </c>
      <c r="O219" s="192" t="s">
        <v>86</v>
      </c>
      <c r="P219" s="192" t="s">
        <v>87</v>
      </c>
      <c r="Q219" s="196">
        <v>46052.369444444397</v>
      </c>
      <c r="R219" s="145">
        <v>46063</v>
      </c>
      <c r="S219" s="192"/>
    </row>
    <row r="220" spans="1:19" ht="104.4" customHeight="1" x14ac:dyDescent="0.25">
      <c r="A220" s="197" t="str">
        <f t="shared" si="6"/>
        <v>INC20260130219</v>
      </c>
      <c r="B220" s="193">
        <v>46052.626388888901</v>
      </c>
      <c r="C220" s="192" t="s">
        <v>77</v>
      </c>
      <c r="D220" s="194" t="s">
        <v>78</v>
      </c>
      <c r="E220" s="192" t="s">
        <v>69</v>
      </c>
      <c r="F220" s="192" t="s">
        <v>40</v>
      </c>
      <c r="G220" s="192" t="s">
        <v>60</v>
      </c>
      <c r="H220" s="192" t="s">
        <v>79</v>
      </c>
      <c r="I220" s="192" t="s">
        <v>84</v>
      </c>
      <c r="J220" s="121" t="s">
        <v>360</v>
      </c>
      <c r="K220" s="192" t="s">
        <v>151</v>
      </c>
      <c r="L220" s="192" t="s">
        <v>81</v>
      </c>
      <c r="M220" s="146" t="s">
        <v>5</v>
      </c>
      <c r="N220" s="192" t="s">
        <v>361</v>
      </c>
      <c r="O220" s="192" t="s">
        <v>86</v>
      </c>
      <c r="P220" s="192" t="s">
        <v>87</v>
      </c>
      <c r="Q220" s="196">
        <v>46052.629166666702</v>
      </c>
      <c r="R220" s="145">
        <v>46063</v>
      </c>
      <c r="S220" s="192"/>
    </row>
    <row r="221" spans="1:19" ht="108" customHeight="1" x14ac:dyDescent="0.25">
      <c r="A221" s="197" t="str">
        <f t="shared" si="6"/>
        <v>INC20260201220</v>
      </c>
      <c r="B221" s="193">
        <v>46054.8347222222</v>
      </c>
      <c r="C221" s="192" t="s">
        <v>77</v>
      </c>
      <c r="D221" s="194" t="s">
        <v>78</v>
      </c>
      <c r="E221" s="192" t="s">
        <v>116</v>
      </c>
      <c r="F221" s="192" t="s">
        <v>40</v>
      </c>
      <c r="G221" s="192" t="s">
        <v>60</v>
      </c>
      <c r="H221" s="192" t="s">
        <v>79</v>
      </c>
      <c r="I221" s="192" t="s">
        <v>84</v>
      </c>
      <c r="J221" s="121" t="s">
        <v>362</v>
      </c>
      <c r="K221" s="192" t="s">
        <v>63</v>
      </c>
      <c r="L221" s="192" t="s">
        <v>81</v>
      </c>
      <c r="M221" s="146" t="s">
        <v>5</v>
      </c>
      <c r="N221" s="192" t="s">
        <v>363</v>
      </c>
      <c r="O221" s="192" t="s">
        <v>86</v>
      </c>
      <c r="P221" s="192" t="s">
        <v>87</v>
      </c>
      <c r="Q221" s="196">
        <v>46054.868750000001</v>
      </c>
      <c r="R221" s="145">
        <v>46063</v>
      </c>
      <c r="S221" s="192"/>
    </row>
    <row r="222" spans="1:19" ht="114.6" customHeight="1" x14ac:dyDescent="0.25">
      <c r="A222" s="197" t="str">
        <f t="shared" si="6"/>
        <v>INC20260203221</v>
      </c>
      <c r="B222" s="199">
        <v>46056.360416666699</v>
      </c>
      <c r="C222" s="192" t="s">
        <v>37</v>
      </c>
      <c r="D222" s="194" t="s">
        <v>38</v>
      </c>
      <c r="E222" s="192" t="s">
        <v>39</v>
      </c>
      <c r="F222" s="192" t="s">
        <v>40</v>
      </c>
      <c r="G222" s="192" t="s">
        <v>41</v>
      </c>
      <c r="H222" s="192" t="s">
        <v>42</v>
      </c>
      <c r="I222" s="192" t="s">
        <v>43</v>
      </c>
      <c r="J222" s="195" t="s">
        <v>1906</v>
      </c>
      <c r="K222" s="192" t="s">
        <v>44</v>
      </c>
      <c r="L222" s="192" t="s">
        <v>45</v>
      </c>
      <c r="M222" s="143" t="s">
        <v>5</v>
      </c>
      <c r="N222" s="198" t="s">
        <v>364</v>
      </c>
      <c r="O222" s="192"/>
      <c r="P222" s="144" t="s">
        <v>47</v>
      </c>
      <c r="Q222" s="145">
        <v>46056</v>
      </c>
      <c r="R222" s="145">
        <v>46063</v>
      </c>
      <c r="S222" s="192"/>
    </row>
    <row r="223" spans="1:19" ht="117.6" customHeight="1" x14ac:dyDescent="0.25">
      <c r="A223" s="197" t="str">
        <f t="shared" si="6"/>
        <v>INC20260203222</v>
      </c>
      <c r="B223" s="199">
        <v>46056.378472222197</v>
      </c>
      <c r="C223" s="192" t="s">
        <v>37</v>
      </c>
      <c r="D223" s="194" t="s">
        <v>129</v>
      </c>
      <c r="E223" s="192" t="s">
        <v>50</v>
      </c>
      <c r="F223" s="192" t="s">
        <v>40</v>
      </c>
      <c r="G223" s="192" t="s">
        <v>51</v>
      </c>
      <c r="H223" s="192" t="s">
        <v>92</v>
      </c>
      <c r="I223" s="192" t="s">
        <v>93</v>
      </c>
      <c r="J223" s="195" t="s">
        <v>1907</v>
      </c>
      <c r="K223" s="192" t="s">
        <v>54</v>
      </c>
      <c r="L223" s="192" t="s">
        <v>55</v>
      </c>
      <c r="M223" s="146" t="s">
        <v>5</v>
      </c>
      <c r="N223" s="192" t="s">
        <v>365</v>
      </c>
      <c r="O223" s="192" t="s">
        <v>95</v>
      </c>
      <c r="P223" s="192" t="s">
        <v>96</v>
      </c>
      <c r="Q223" s="145">
        <v>46056</v>
      </c>
      <c r="R223" s="145">
        <v>46063</v>
      </c>
      <c r="S223" s="192"/>
    </row>
    <row r="224" spans="1:19" ht="103.2" customHeight="1" x14ac:dyDescent="0.25">
      <c r="A224" s="197" t="str">
        <f t="shared" si="6"/>
        <v>INC20260203223</v>
      </c>
      <c r="B224" s="199">
        <v>46056.402777777803</v>
      </c>
      <c r="C224" s="192" t="s">
        <v>37</v>
      </c>
      <c r="D224" s="194" t="s">
        <v>49</v>
      </c>
      <c r="E224" s="192" t="s">
        <v>50</v>
      </c>
      <c r="F224" s="192" t="s">
        <v>40</v>
      </c>
      <c r="G224" s="192" t="s">
        <v>51</v>
      </c>
      <c r="H224" s="192" t="s">
        <v>52</v>
      </c>
      <c r="I224" s="192" t="s">
        <v>53</v>
      </c>
      <c r="J224" s="195" t="s">
        <v>1908</v>
      </c>
      <c r="K224" s="192" t="s">
        <v>54</v>
      </c>
      <c r="L224" s="192" t="s">
        <v>55</v>
      </c>
      <c r="M224" s="146" t="s">
        <v>5</v>
      </c>
      <c r="N224" s="192" t="s">
        <v>366</v>
      </c>
      <c r="O224" s="192"/>
      <c r="P224" s="192"/>
      <c r="Q224" s="145"/>
      <c r="R224" s="145">
        <v>46063</v>
      </c>
      <c r="S224" s="192"/>
    </row>
    <row r="225" spans="1:19" ht="135" customHeight="1" x14ac:dyDescent="0.25">
      <c r="A225" s="197" t="str">
        <f t="shared" si="6"/>
        <v>INC20260203224</v>
      </c>
      <c r="B225" s="199">
        <v>46056.59375</v>
      </c>
      <c r="C225" s="192" t="s">
        <v>37</v>
      </c>
      <c r="D225" s="194" t="s">
        <v>57</v>
      </c>
      <c r="E225" s="197" t="s">
        <v>367</v>
      </c>
      <c r="F225" s="192" t="s">
        <v>59</v>
      </c>
      <c r="G225" s="192" t="s">
        <v>60</v>
      </c>
      <c r="H225" s="192" t="s">
        <v>61</v>
      </c>
      <c r="I225" s="192" t="s">
        <v>62</v>
      </c>
      <c r="J225" s="121" t="s">
        <v>1909</v>
      </c>
      <c r="K225" s="192" t="s">
        <v>63</v>
      </c>
      <c r="L225" s="192" t="s">
        <v>64</v>
      </c>
      <c r="M225" s="143" t="s">
        <v>5</v>
      </c>
      <c r="N225" s="192" t="s">
        <v>368</v>
      </c>
      <c r="O225" s="192" t="s">
        <v>66</v>
      </c>
      <c r="P225" s="192" t="s">
        <v>67</v>
      </c>
      <c r="Q225" s="145"/>
      <c r="R225" s="145">
        <v>46063</v>
      </c>
      <c r="S225" s="192"/>
    </row>
    <row r="226" spans="1:19" ht="103.8" customHeight="1" x14ac:dyDescent="0.25">
      <c r="A226" s="197" t="str">
        <f t="shared" si="6"/>
        <v>INC20260203225</v>
      </c>
      <c r="B226" s="199">
        <v>46056.629861111098</v>
      </c>
      <c r="C226" s="192" t="s">
        <v>37</v>
      </c>
      <c r="D226" s="194" t="s">
        <v>49</v>
      </c>
      <c r="E226" s="192" t="s">
        <v>50</v>
      </c>
      <c r="F226" s="192" t="s">
        <v>40</v>
      </c>
      <c r="G226" s="192" t="s">
        <v>51</v>
      </c>
      <c r="H226" s="192" t="s">
        <v>92</v>
      </c>
      <c r="I226" s="192" t="s">
        <v>93</v>
      </c>
      <c r="J226" s="195" t="s">
        <v>1910</v>
      </c>
      <c r="K226" s="192" t="s">
        <v>54</v>
      </c>
      <c r="L226" s="192" t="s">
        <v>55</v>
      </c>
      <c r="M226" s="146" t="s">
        <v>5</v>
      </c>
      <c r="N226" s="192" t="s">
        <v>365</v>
      </c>
      <c r="O226" s="192" t="s">
        <v>95</v>
      </c>
      <c r="P226" s="192" t="s">
        <v>96</v>
      </c>
      <c r="Q226" s="145">
        <v>46056</v>
      </c>
      <c r="R226" s="145">
        <v>46063</v>
      </c>
      <c r="S226" s="192"/>
    </row>
    <row r="227" spans="1:19" ht="109.8" customHeight="1" x14ac:dyDescent="0.25">
      <c r="A227" s="197" t="str">
        <f t="shared" si="6"/>
        <v>INC20260203226</v>
      </c>
      <c r="B227" s="199">
        <v>46056.668749999997</v>
      </c>
      <c r="C227" s="192" t="s">
        <v>37</v>
      </c>
      <c r="D227" s="194" t="s">
        <v>369</v>
      </c>
      <c r="E227" s="192" t="s">
        <v>50</v>
      </c>
      <c r="F227" s="192" t="s">
        <v>40</v>
      </c>
      <c r="G227" s="192" t="s">
        <v>51</v>
      </c>
      <c r="H227" s="192" t="s">
        <v>92</v>
      </c>
      <c r="I227" s="192" t="s">
        <v>93</v>
      </c>
      <c r="J227" s="195" t="s">
        <v>1911</v>
      </c>
      <c r="K227" s="192" t="s">
        <v>54</v>
      </c>
      <c r="L227" s="192" t="s">
        <v>55</v>
      </c>
      <c r="M227" s="146" t="s">
        <v>5</v>
      </c>
      <c r="N227" s="192" t="s">
        <v>370</v>
      </c>
      <c r="O227" s="192" t="s">
        <v>95</v>
      </c>
      <c r="P227" s="192" t="s">
        <v>96</v>
      </c>
      <c r="Q227" s="145">
        <v>46056</v>
      </c>
      <c r="R227" s="145">
        <v>46063</v>
      </c>
      <c r="S227" s="192"/>
    </row>
    <row r="228" spans="1:19" ht="109.8" customHeight="1" x14ac:dyDescent="0.25">
      <c r="A228" s="197" t="str">
        <f t="shared" si="6"/>
        <v>INC20260204227</v>
      </c>
      <c r="B228" s="199">
        <v>46057.272916666698</v>
      </c>
      <c r="C228" s="192" t="s">
        <v>37</v>
      </c>
      <c r="D228" s="194" t="s">
        <v>371</v>
      </c>
      <c r="E228" s="192" t="s">
        <v>50</v>
      </c>
      <c r="F228" s="192" t="s">
        <v>40</v>
      </c>
      <c r="G228" s="192" t="s">
        <v>51</v>
      </c>
      <c r="H228" s="192" t="s">
        <v>79</v>
      </c>
      <c r="I228" s="192" t="s">
        <v>84</v>
      </c>
      <c r="J228" s="195" t="s">
        <v>1912</v>
      </c>
      <c r="K228" s="192" t="s">
        <v>54</v>
      </c>
      <c r="L228" s="192" t="s">
        <v>55</v>
      </c>
      <c r="M228" s="146" t="s">
        <v>5</v>
      </c>
      <c r="N228" s="170" t="s">
        <v>372</v>
      </c>
      <c r="O228" s="192" t="s">
        <v>325</v>
      </c>
      <c r="P228" s="192" t="s">
        <v>307</v>
      </c>
      <c r="Q228" s="145"/>
      <c r="R228" s="145">
        <v>46063</v>
      </c>
      <c r="S228" s="192"/>
    </row>
    <row r="229" spans="1:19" ht="115.8" customHeight="1" x14ac:dyDescent="0.25">
      <c r="A229" s="197" t="str">
        <f t="shared" si="6"/>
        <v>INC20260203228</v>
      </c>
      <c r="B229" s="199">
        <v>46056.628472222197</v>
      </c>
      <c r="C229" s="192" t="s">
        <v>37</v>
      </c>
      <c r="D229" s="194" t="s">
        <v>49</v>
      </c>
      <c r="E229" s="192" t="s">
        <v>50</v>
      </c>
      <c r="F229" s="192" t="s">
        <v>40</v>
      </c>
      <c r="G229" s="192" t="s">
        <v>51</v>
      </c>
      <c r="H229" s="192" t="s">
        <v>92</v>
      </c>
      <c r="I229" s="192" t="s">
        <v>93</v>
      </c>
      <c r="J229" s="195" t="s">
        <v>1913</v>
      </c>
      <c r="K229" s="192" t="s">
        <v>54</v>
      </c>
      <c r="L229" s="192" t="s">
        <v>55</v>
      </c>
      <c r="M229" s="146" t="s">
        <v>5</v>
      </c>
      <c r="N229" s="192" t="s">
        <v>373</v>
      </c>
      <c r="O229" s="192" t="s">
        <v>95</v>
      </c>
      <c r="P229" s="192" t="s">
        <v>96</v>
      </c>
      <c r="Q229" s="145">
        <v>46056</v>
      </c>
      <c r="R229" s="145">
        <v>46063</v>
      </c>
      <c r="S229" s="192"/>
    </row>
    <row r="230" spans="1:19" ht="108" customHeight="1" x14ac:dyDescent="0.25">
      <c r="A230" s="197" t="str">
        <f t="shared" ref="A230:A266" si="7">"INC"&amp;TEXT(B230,"yyyymmdd")&amp;TEXT(ROW(A230)-1,"000")</f>
        <v>INC20260202229</v>
      </c>
      <c r="B230" s="171">
        <v>46055.641666666699</v>
      </c>
      <c r="C230" s="192" t="s">
        <v>77</v>
      </c>
      <c r="D230" s="194" t="s">
        <v>78</v>
      </c>
      <c r="E230" s="192" t="s">
        <v>69</v>
      </c>
      <c r="F230" s="192" t="s">
        <v>40</v>
      </c>
      <c r="G230" s="192" t="s">
        <v>60</v>
      </c>
      <c r="H230" s="192" t="s">
        <v>79</v>
      </c>
      <c r="I230" s="192" t="s">
        <v>84</v>
      </c>
      <c r="J230" s="121" t="s">
        <v>374</v>
      </c>
      <c r="K230" s="192" t="s">
        <v>78</v>
      </c>
      <c r="L230" s="192" t="s">
        <v>81</v>
      </c>
      <c r="M230" s="146" t="s">
        <v>5</v>
      </c>
      <c r="N230" s="172" t="s">
        <v>375</v>
      </c>
      <c r="O230" s="192" t="s">
        <v>86</v>
      </c>
      <c r="P230" s="192" t="s">
        <v>87</v>
      </c>
      <c r="Q230" s="173">
        <v>46055.642361111102</v>
      </c>
      <c r="R230" s="145">
        <v>46063</v>
      </c>
      <c r="S230" s="192"/>
    </row>
    <row r="231" spans="1:19" ht="132" customHeight="1" x14ac:dyDescent="0.25">
      <c r="A231" s="197" t="str">
        <f t="shared" si="7"/>
        <v>INC20260202230</v>
      </c>
      <c r="B231" s="171">
        <v>46055.691666666702</v>
      </c>
      <c r="C231" s="192" t="s">
        <v>77</v>
      </c>
      <c r="D231" s="194" t="s">
        <v>78</v>
      </c>
      <c r="E231" s="192" t="s">
        <v>69</v>
      </c>
      <c r="F231" s="192" t="s">
        <v>40</v>
      </c>
      <c r="G231" s="192" t="s">
        <v>60</v>
      </c>
      <c r="H231" s="192" t="s">
        <v>79</v>
      </c>
      <c r="I231" s="192" t="s">
        <v>84</v>
      </c>
      <c r="J231" s="121" t="s">
        <v>376</v>
      </c>
      <c r="K231" s="192" t="s">
        <v>63</v>
      </c>
      <c r="L231" s="192" t="s">
        <v>81</v>
      </c>
      <c r="M231" s="146" t="s">
        <v>5</v>
      </c>
      <c r="N231" s="172" t="s">
        <v>377</v>
      </c>
      <c r="O231" s="192" t="s">
        <v>86</v>
      </c>
      <c r="P231" s="192" t="s">
        <v>87</v>
      </c>
      <c r="Q231" s="173">
        <v>46055.6965277778</v>
      </c>
      <c r="R231" s="145">
        <v>46063</v>
      </c>
      <c r="S231" s="192"/>
    </row>
    <row r="232" spans="1:19" ht="110.4" customHeight="1" x14ac:dyDescent="0.25">
      <c r="A232" s="197" t="str">
        <f t="shared" si="7"/>
        <v>INC20260202231</v>
      </c>
      <c r="B232" s="171">
        <v>46055.692361111098</v>
      </c>
      <c r="C232" s="192" t="s">
        <v>77</v>
      </c>
      <c r="D232" s="194" t="s">
        <v>78</v>
      </c>
      <c r="E232" s="192" t="s">
        <v>134</v>
      </c>
      <c r="F232" s="192" t="s">
        <v>40</v>
      </c>
      <c r="G232" s="192" t="s">
        <v>60</v>
      </c>
      <c r="H232" s="192" t="s">
        <v>79</v>
      </c>
      <c r="I232" s="192" t="s">
        <v>84</v>
      </c>
      <c r="J232" s="121" t="s">
        <v>378</v>
      </c>
      <c r="K232" s="192" t="s">
        <v>151</v>
      </c>
      <c r="L232" s="192" t="s">
        <v>81</v>
      </c>
      <c r="M232" s="146" t="s">
        <v>5</v>
      </c>
      <c r="N232" s="172" t="s">
        <v>379</v>
      </c>
      <c r="O232" s="192" t="s">
        <v>86</v>
      </c>
      <c r="P232" s="192" t="s">
        <v>87</v>
      </c>
      <c r="Q232" s="173">
        <v>46055.697916666701</v>
      </c>
      <c r="R232" s="145">
        <v>46063</v>
      </c>
      <c r="S232" s="192"/>
    </row>
    <row r="233" spans="1:19" ht="116.4" customHeight="1" x14ac:dyDescent="0.25">
      <c r="A233" s="197" t="str">
        <f t="shared" si="7"/>
        <v>INC20260202232</v>
      </c>
      <c r="B233" s="171">
        <v>46055.307638888902</v>
      </c>
      <c r="C233" s="192" t="s">
        <v>77</v>
      </c>
      <c r="D233" s="194" t="s">
        <v>78</v>
      </c>
      <c r="E233" s="192" t="s">
        <v>58</v>
      </c>
      <c r="F233" s="192" t="s">
        <v>40</v>
      </c>
      <c r="G233" s="192" t="s">
        <v>60</v>
      </c>
      <c r="H233" s="192" t="s">
        <v>79</v>
      </c>
      <c r="I233" s="192" t="s">
        <v>84</v>
      </c>
      <c r="J233" s="121" t="s">
        <v>380</v>
      </c>
      <c r="K233" s="192" t="s">
        <v>63</v>
      </c>
      <c r="L233" s="192" t="s">
        <v>81</v>
      </c>
      <c r="M233" s="146" t="s">
        <v>5</v>
      </c>
      <c r="N233" s="172" t="s">
        <v>381</v>
      </c>
      <c r="O233" s="192" t="s">
        <v>86</v>
      </c>
      <c r="P233" s="192" t="s">
        <v>87</v>
      </c>
      <c r="Q233" s="173">
        <v>46055.412499999999</v>
      </c>
      <c r="R233" s="145">
        <v>46063</v>
      </c>
      <c r="S233" s="192"/>
    </row>
    <row r="234" spans="1:19" ht="120.6" customHeight="1" x14ac:dyDescent="0.25">
      <c r="A234" s="197" t="str">
        <f t="shared" si="7"/>
        <v>INC20260202233</v>
      </c>
      <c r="B234" s="171">
        <v>46055.576388888898</v>
      </c>
      <c r="C234" s="192" t="s">
        <v>77</v>
      </c>
      <c r="D234" s="194" t="s">
        <v>78</v>
      </c>
      <c r="E234" s="192" t="s">
        <v>116</v>
      </c>
      <c r="F234" s="192" t="s">
        <v>40</v>
      </c>
      <c r="G234" s="192" t="s">
        <v>60</v>
      </c>
      <c r="H234" s="192" t="s">
        <v>79</v>
      </c>
      <c r="I234" s="192" t="s">
        <v>84</v>
      </c>
      <c r="J234" s="121" t="s">
        <v>382</v>
      </c>
      <c r="K234" s="192" t="s">
        <v>63</v>
      </c>
      <c r="L234" s="192" t="s">
        <v>81</v>
      </c>
      <c r="M234" s="146" t="s">
        <v>5</v>
      </c>
      <c r="N234" s="172" t="s">
        <v>383</v>
      </c>
      <c r="O234" s="192" t="s">
        <v>86</v>
      </c>
      <c r="P234" s="192" t="s">
        <v>87</v>
      </c>
      <c r="Q234" s="173">
        <v>46055.682638888902</v>
      </c>
      <c r="R234" s="145">
        <v>46063</v>
      </c>
      <c r="S234" s="192"/>
    </row>
    <row r="235" spans="1:19" ht="115.8" customHeight="1" x14ac:dyDescent="0.25">
      <c r="A235" s="197" t="str">
        <f t="shared" si="7"/>
        <v>INC20260203234</v>
      </c>
      <c r="B235" s="171">
        <v>46056.555555555598</v>
      </c>
      <c r="C235" s="192" t="s">
        <v>77</v>
      </c>
      <c r="D235" s="194" t="s">
        <v>78</v>
      </c>
      <c r="E235" s="192" t="s">
        <v>121</v>
      </c>
      <c r="F235" s="192" t="s">
        <v>40</v>
      </c>
      <c r="G235" s="192" t="s">
        <v>60</v>
      </c>
      <c r="H235" s="192" t="s">
        <v>79</v>
      </c>
      <c r="I235" s="192" t="s">
        <v>80</v>
      </c>
      <c r="J235" s="121" t="s">
        <v>1914</v>
      </c>
      <c r="K235" s="192" t="s">
        <v>110</v>
      </c>
      <c r="L235" s="192" t="s">
        <v>81</v>
      </c>
      <c r="M235" s="146" t="s">
        <v>5</v>
      </c>
      <c r="N235" s="172" t="s">
        <v>384</v>
      </c>
      <c r="O235" s="197" t="s">
        <v>83</v>
      </c>
      <c r="P235" s="197" t="s">
        <v>1366</v>
      </c>
      <c r="Q235" s="173">
        <v>46056.581250000003</v>
      </c>
      <c r="R235" s="145">
        <v>46063</v>
      </c>
      <c r="S235" s="192"/>
    </row>
    <row r="236" spans="1:19" ht="131.4" customHeight="1" x14ac:dyDescent="0.25">
      <c r="A236" s="197" t="str">
        <f t="shared" si="7"/>
        <v>INC20260203235</v>
      </c>
      <c r="B236" s="171">
        <v>46056.494444444397</v>
      </c>
      <c r="C236" s="192" t="s">
        <v>77</v>
      </c>
      <c r="D236" s="194" t="s">
        <v>78</v>
      </c>
      <c r="E236" s="192" t="s">
        <v>69</v>
      </c>
      <c r="F236" s="192" t="s">
        <v>40</v>
      </c>
      <c r="G236" s="192" t="s">
        <v>60</v>
      </c>
      <c r="H236" s="192" t="s">
        <v>79</v>
      </c>
      <c r="I236" s="192" t="s">
        <v>84</v>
      </c>
      <c r="J236" s="121" t="s">
        <v>385</v>
      </c>
      <c r="K236" s="192" t="s">
        <v>63</v>
      </c>
      <c r="L236" s="192" t="s">
        <v>81</v>
      </c>
      <c r="M236" s="146" t="s">
        <v>5</v>
      </c>
      <c r="N236" s="172" t="s">
        <v>386</v>
      </c>
      <c r="O236" s="192" t="s">
        <v>86</v>
      </c>
      <c r="P236" s="192" t="s">
        <v>87</v>
      </c>
      <c r="Q236" s="173">
        <v>46056.497222222199</v>
      </c>
      <c r="R236" s="145">
        <v>46063</v>
      </c>
      <c r="S236" s="192"/>
    </row>
    <row r="237" spans="1:19" ht="124.2" customHeight="1" x14ac:dyDescent="0.25">
      <c r="A237" s="197" t="str">
        <f t="shared" si="7"/>
        <v>INC20260203236</v>
      </c>
      <c r="B237" s="171">
        <v>46056.65625</v>
      </c>
      <c r="C237" s="192" t="s">
        <v>77</v>
      </c>
      <c r="D237" s="194" t="s">
        <v>78</v>
      </c>
      <c r="E237" s="192" t="s">
        <v>69</v>
      </c>
      <c r="F237" s="192" t="s">
        <v>40</v>
      </c>
      <c r="G237" s="192" t="s">
        <v>60</v>
      </c>
      <c r="H237" s="192" t="s">
        <v>79</v>
      </c>
      <c r="I237" s="192" t="s">
        <v>84</v>
      </c>
      <c r="J237" s="121" t="s">
        <v>1915</v>
      </c>
      <c r="K237" s="192" t="s">
        <v>63</v>
      </c>
      <c r="L237" s="192" t="s">
        <v>81</v>
      </c>
      <c r="M237" s="146" t="s">
        <v>5</v>
      </c>
      <c r="N237" s="172" t="s">
        <v>387</v>
      </c>
      <c r="O237" s="192" t="s">
        <v>86</v>
      </c>
      <c r="P237" s="192" t="s">
        <v>87</v>
      </c>
      <c r="Q237" s="173">
        <v>46056.664583333302</v>
      </c>
      <c r="R237" s="145">
        <v>46063</v>
      </c>
      <c r="S237" s="192"/>
    </row>
    <row r="238" spans="1:19" ht="110.4" customHeight="1" x14ac:dyDescent="0.25">
      <c r="A238" s="197" t="str">
        <f t="shared" si="7"/>
        <v>INC20260203237</v>
      </c>
      <c r="B238" s="171">
        <v>46056.690277777801</v>
      </c>
      <c r="C238" s="192" t="s">
        <v>77</v>
      </c>
      <c r="D238" s="194" t="s">
        <v>78</v>
      </c>
      <c r="E238" s="192" t="s">
        <v>121</v>
      </c>
      <c r="F238" s="192" t="s">
        <v>40</v>
      </c>
      <c r="G238" s="192" t="s">
        <v>60</v>
      </c>
      <c r="H238" s="192" t="s">
        <v>79</v>
      </c>
      <c r="I238" s="192" t="s">
        <v>80</v>
      </c>
      <c r="J238" s="121" t="s">
        <v>1916</v>
      </c>
      <c r="K238" s="192" t="s">
        <v>63</v>
      </c>
      <c r="L238" s="192" t="s">
        <v>81</v>
      </c>
      <c r="M238" s="146" t="s">
        <v>5</v>
      </c>
      <c r="N238" s="172" t="s">
        <v>388</v>
      </c>
      <c r="O238" s="197" t="s">
        <v>83</v>
      </c>
      <c r="P238" s="197" t="s">
        <v>1366</v>
      </c>
      <c r="Q238" s="173">
        <v>46056.710416666698</v>
      </c>
      <c r="R238" s="145">
        <v>46063</v>
      </c>
      <c r="S238" s="192"/>
    </row>
    <row r="239" spans="1:19" ht="126" customHeight="1" x14ac:dyDescent="0.25">
      <c r="A239" s="197" t="str">
        <f t="shared" si="7"/>
        <v>INC20260203238</v>
      </c>
      <c r="B239" s="171">
        <v>46056.665972222203</v>
      </c>
      <c r="C239" s="192" t="s">
        <v>77</v>
      </c>
      <c r="D239" s="194" t="s">
        <v>78</v>
      </c>
      <c r="E239" s="192" t="s">
        <v>121</v>
      </c>
      <c r="F239" s="192" t="s">
        <v>40</v>
      </c>
      <c r="G239" s="192" t="s">
        <v>60</v>
      </c>
      <c r="H239" s="192" t="s">
        <v>79</v>
      </c>
      <c r="I239" s="192" t="s">
        <v>80</v>
      </c>
      <c r="J239" s="121" t="s">
        <v>1917</v>
      </c>
      <c r="K239" s="192" t="s">
        <v>151</v>
      </c>
      <c r="L239" s="192" t="s">
        <v>81</v>
      </c>
      <c r="M239" s="146" t="s">
        <v>5</v>
      </c>
      <c r="N239" s="172" t="s">
        <v>389</v>
      </c>
      <c r="O239" s="197" t="s">
        <v>83</v>
      </c>
      <c r="P239" s="197" t="s">
        <v>1366</v>
      </c>
      <c r="Q239" s="173">
        <v>46056.718055555597</v>
      </c>
      <c r="R239" s="145">
        <v>46063</v>
      </c>
      <c r="S239" s="192"/>
    </row>
    <row r="240" spans="1:19" ht="125.4" customHeight="1" x14ac:dyDescent="0.25">
      <c r="A240" s="197" t="str">
        <f t="shared" si="7"/>
        <v>INC20260203239</v>
      </c>
      <c r="B240" s="171">
        <v>46056.715972222199</v>
      </c>
      <c r="C240" s="192" t="s">
        <v>77</v>
      </c>
      <c r="D240" s="194" t="s">
        <v>78</v>
      </c>
      <c r="E240" s="192" t="s">
        <v>74</v>
      </c>
      <c r="F240" s="192" t="s">
        <v>40</v>
      </c>
      <c r="G240" s="192" t="s">
        <v>60</v>
      </c>
      <c r="H240" s="192" t="s">
        <v>79</v>
      </c>
      <c r="I240" s="192" t="s">
        <v>84</v>
      </c>
      <c r="J240" s="195" t="s">
        <v>1918</v>
      </c>
      <c r="K240" s="192" t="s">
        <v>63</v>
      </c>
      <c r="L240" s="192" t="s">
        <v>81</v>
      </c>
      <c r="M240" s="192" t="s">
        <v>5</v>
      </c>
      <c r="N240" s="172" t="s">
        <v>390</v>
      </c>
      <c r="O240" s="192" t="s">
        <v>86</v>
      </c>
      <c r="P240" s="192" t="s">
        <v>87</v>
      </c>
      <c r="Q240" s="173">
        <v>46056.7277777778</v>
      </c>
      <c r="R240" s="145">
        <v>46063</v>
      </c>
      <c r="S240" s="192"/>
    </row>
    <row r="241" spans="1:19" ht="130.80000000000001" customHeight="1" x14ac:dyDescent="0.25">
      <c r="A241" s="197" t="str">
        <f t="shared" si="7"/>
        <v>INC20260203240</v>
      </c>
      <c r="B241" s="171">
        <v>46056.886805555601</v>
      </c>
      <c r="C241" s="192" t="s">
        <v>77</v>
      </c>
      <c r="D241" s="194" t="s">
        <v>78</v>
      </c>
      <c r="E241" s="192" t="s">
        <v>69</v>
      </c>
      <c r="F241" s="192" t="s">
        <v>40</v>
      </c>
      <c r="G241" s="192" t="s">
        <v>60</v>
      </c>
      <c r="H241" s="192" t="s">
        <v>79</v>
      </c>
      <c r="I241" s="192" t="s">
        <v>84</v>
      </c>
      <c r="J241" s="121" t="s">
        <v>391</v>
      </c>
      <c r="K241" s="192" t="s">
        <v>63</v>
      </c>
      <c r="L241" s="192" t="s">
        <v>81</v>
      </c>
      <c r="M241" s="146" t="s">
        <v>5</v>
      </c>
      <c r="N241" s="172" t="s">
        <v>392</v>
      </c>
      <c r="O241" s="192" t="s">
        <v>86</v>
      </c>
      <c r="P241" s="192" t="s">
        <v>87</v>
      </c>
      <c r="Q241" s="173">
        <v>46056.890972222202</v>
      </c>
      <c r="R241" s="145">
        <v>46063</v>
      </c>
      <c r="S241" s="192"/>
    </row>
    <row r="242" spans="1:19" ht="126.6" customHeight="1" x14ac:dyDescent="0.25">
      <c r="A242" s="197" t="str">
        <f t="shared" si="7"/>
        <v>INC20260203241</v>
      </c>
      <c r="B242" s="171">
        <v>46056.927083333299</v>
      </c>
      <c r="C242" s="192" t="s">
        <v>77</v>
      </c>
      <c r="D242" s="194" t="s">
        <v>78</v>
      </c>
      <c r="E242" s="192" t="s">
        <v>180</v>
      </c>
      <c r="F242" s="192" t="s">
        <v>40</v>
      </c>
      <c r="G242" s="192" t="s">
        <v>60</v>
      </c>
      <c r="H242" s="192" t="s">
        <v>79</v>
      </c>
      <c r="I242" s="192" t="s">
        <v>84</v>
      </c>
      <c r="J242" s="121" t="s">
        <v>393</v>
      </c>
      <c r="K242" s="192" t="s">
        <v>110</v>
      </c>
      <c r="L242" s="192" t="s">
        <v>81</v>
      </c>
      <c r="M242" s="146" t="s">
        <v>5</v>
      </c>
      <c r="N242" s="172" t="s">
        <v>394</v>
      </c>
      <c r="O242" s="192" t="s">
        <v>86</v>
      </c>
      <c r="P242" s="192" t="s">
        <v>87</v>
      </c>
      <c r="Q242" s="173">
        <v>46056.936111111099</v>
      </c>
      <c r="R242" s="145">
        <v>46063</v>
      </c>
      <c r="S242" s="192"/>
    </row>
    <row r="243" spans="1:19" ht="129" customHeight="1" x14ac:dyDescent="0.25">
      <c r="A243" s="197" t="str">
        <f t="shared" si="7"/>
        <v>INC20260204242</v>
      </c>
      <c r="B243" s="171">
        <v>46057.118055555598</v>
      </c>
      <c r="C243" s="192" t="s">
        <v>77</v>
      </c>
      <c r="D243" s="194" t="s">
        <v>78</v>
      </c>
      <c r="E243" s="192" t="s">
        <v>180</v>
      </c>
      <c r="F243" s="192" t="s">
        <v>40</v>
      </c>
      <c r="G243" s="192" t="s">
        <v>60</v>
      </c>
      <c r="H243" s="192" t="s">
        <v>79</v>
      </c>
      <c r="I243" s="192" t="s">
        <v>80</v>
      </c>
      <c r="J243" s="121" t="s">
        <v>1919</v>
      </c>
      <c r="K243" s="192" t="s">
        <v>63</v>
      </c>
      <c r="L243" s="192" t="s">
        <v>81</v>
      </c>
      <c r="M243" s="146" t="s">
        <v>5</v>
      </c>
      <c r="N243" s="172" t="s">
        <v>395</v>
      </c>
      <c r="O243" s="197" t="s">
        <v>83</v>
      </c>
      <c r="P243" s="197" t="s">
        <v>1366</v>
      </c>
      <c r="Q243" s="173">
        <v>46057.135416666701</v>
      </c>
      <c r="R243" s="145">
        <v>46063</v>
      </c>
      <c r="S243" s="192"/>
    </row>
    <row r="244" spans="1:19" ht="129.6" customHeight="1" x14ac:dyDescent="0.25">
      <c r="A244" s="197" t="str">
        <f t="shared" si="7"/>
        <v>INC20260204243</v>
      </c>
      <c r="B244" s="199">
        <v>46057.375694444403</v>
      </c>
      <c r="C244" s="192" t="s">
        <v>37</v>
      </c>
      <c r="D244" s="194" t="s">
        <v>38</v>
      </c>
      <c r="E244" s="192" t="s">
        <v>39</v>
      </c>
      <c r="F244" s="192" t="s">
        <v>40</v>
      </c>
      <c r="G244" s="192" t="s">
        <v>41</v>
      </c>
      <c r="H244" s="192" t="s">
        <v>42</v>
      </c>
      <c r="I244" s="192" t="s">
        <v>43</v>
      </c>
      <c r="J244" s="195" t="s">
        <v>1920</v>
      </c>
      <c r="K244" s="192" t="s">
        <v>44</v>
      </c>
      <c r="L244" s="192" t="s">
        <v>45</v>
      </c>
      <c r="M244" s="143" t="s">
        <v>5</v>
      </c>
      <c r="N244" s="198" t="s">
        <v>396</v>
      </c>
      <c r="O244" s="192"/>
      <c r="P244" s="144" t="s">
        <v>47</v>
      </c>
      <c r="Q244" s="145">
        <v>46057</v>
      </c>
      <c r="R244" s="145">
        <v>46063</v>
      </c>
      <c r="S244" s="192"/>
    </row>
    <row r="245" spans="1:19" ht="125.4" customHeight="1" x14ac:dyDescent="0.25">
      <c r="A245" s="197" t="str">
        <f t="shared" si="7"/>
        <v>INC20260204244</v>
      </c>
      <c r="B245" s="199">
        <v>46057.491666666698</v>
      </c>
      <c r="C245" s="192" t="s">
        <v>37</v>
      </c>
      <c r="D245" s="194" t="s">
        <v>57</v>
      </c>
      <c r="E245" s="192" t="s">
        <v>397</v>
      </c>
      <c r="F245" s="192" t="s">
        <v>59</v>
      </c>
      <c r="G245" s="192" t="s">
        <v>60</v>
      </c>
      <c r="H245" s="192" t="s">
        <v>61</v>
      </c>
      <c r="I245" s="192" t="s">
        <v>62</v>
      </c>
      <c r="J245" s="121" t="s">
        <v>1921</v>
      </c>
      <c r="K245" s="192" t="s">
        <v>63</v>
      </c>
      <c r="L245" s="192" t="s">
        <v>64</v>
      </c>
      <c r="M245" s="143" t="s">
        <v>5</v>
      </c>
      <c r="N245" s="192" t="s">
        <v>398</v>
      </c>
      <c r="O245" s="192" t="s">
        <v>66</v>
      </c>
      <c r="P245" s="192" t="s">
        <v>67</v>
      </c>
      <c r="Q245" s="145"/>
      <c r="R245" s="145">
        <v>46063</v>
      </c>
      <c r="S245" s="192"/>
    </row>
    <row r="246" spans="1:19" ht="115.2" customHeight="1" x14ac:dyDescent="0.25">
      <c r="A246" s="197" t="str">
        <f t="shared" si="7"/>
        <v>INC20260204245</v>
      </c>
      <c r="B246" s="199">
        <v>46057.675000000003</v>
      </c>
      <c r="C246" s="192" t="s">
        <v>37</v>
      </c>
      <c r="D246" s="194" t="s">
        <v>57</v>
      </c>
      <c r="E246" s="192" t="s">
        <v>397</v>
      </c>
      <c r="F246" s="192" t="s">
        <v>59</v>
      </c>
      <c r="G246" s="192" t="s">
        <v>60</v>
      </c>
      <c r="H246" s="192" t="s">
        <v>61</v>
      </c>
      <c r="I246" s="192" t="s">
        <v>62</v>
      </c>
      <c r="J246" s="121" t="s">
        <v>1922</v>
      </c>
      <c r="K246" s="192" t="s">
        <v>63</v>
      </c>
      <c r="L246" s="192" t="s">
        <v>64</v>
      </c>
      <c r="M246" s="143" t="s">
        <v>5</v>
      </c>
      <c r="N246" s="192" t="s">
        <v>398</v>
      </c>
      <c r="O246" s="192" t="s">
        <v>66</v>
      </c>
      <c r="P246" s="192" t="s">
        <v>67</v>
      </c>
      <c r="Q246" s="145"/>
      <c r="R246" s="145">
        <v>46063</v>
      </c>
      <c r="S246" s="192"/>
    </row>
    <row r="247" spans="1:19" ht="112.8" customHeight="1" x14ac:dyDescent="0.25">
      <c r="A247" s="197" t="str">
        <f t="shared" si="7"/>
        <v>INC20260204246</v>
      </c>
      <c r="B247" s="199">
        <v>46057.675000000003</v>
      </c>
      <c r="C247" s="192" t="s">
        <v>37</v>
      </c>
      <c r="D247" s="194" t="s">
        <v>57</v>
      </c>
      <c r="E247" s="192" t="s">
        <v>397</v>
      </c>
      <c r="F247" s="192" t="s">
        <v>59</v>
      </c>
      <c r="G247" s="192" t="s">
        <v>60</v>
      </c>
      <c r="H247" s="192" t="s">
        <v>61</v>
      </c>
      <c r="I247" s="192" t="s">
        <v>62</v>
      </c>
      <c r="J247" s="121" t="s">
        <v>1923</v>
      </c>
      <c r="K247" s="192" t="s">
        <v>63</v>
      </c>
      <c r="L247" s="192" t="s">
        <v>64</v>
      </c>
      <c r="M247" s="143" t="s">
        <v>5</v>
      </c>
      <c r="N247" s="192" t="s">
        <v>398</v>
      </c>
      <c r="O247" s="192" t="s">
        <v>66</v>
      </c>
      <c r="P247" s="192" t="s">
        <v>67</v>
      </c>
      <c r="Q247" s="145"/>
      <c r="R247" s="145">
        <v>46063</v>
      </c>
      <c r="S247" s="192"/>
    </row>
    <row r="248" spans="1:19" ht="117.6" customHeight="1" x14ac:dyDescent="0.25">
      <c r="A248" s="197" t="str">
        <f t="shared" si="7"/>
        <v>INC20260205247</v>
      </c>
      <c r="B248" s="199">
        <v>46058.355555555601</v>
      </c>
      <c r="C248" s="192" t="s">
        <v>37</v>
      </c>
      <c r="D248" s="194" t="s">
        <v>38</v>
      </c>
      <c r="E248" s="192" t="s">
        <v>39</v>
      </c>
      <c r="F248" s="192" t="s">
        <v>40</v>
      </c>
      <c r="G248" s="192" t="s">
        <v>41</v>
      </c>
      <c r="H248" s="192" t="s">
        <v>42</v>
      </c>
      <c r="I248" s="192" t="s">
        <v>43</v>
      </c>
      <c r="J248" s="195" t="s">
        <v>1924</v>
      </c>
      <c r="K248" s="192" t="s">
        <v>44</v>
      </c>
      <c r="L248" s="192" t="s">
        <v>45</v>
      </c>
      <c r="M248" s="143" t="s">
        <v>5</v>
      </c>
      <c r="N248" s="198" t="s">
        <v>399</v>
      </c>
      <c r="O248" s="192"/>
      <c r="P248" s="144" t="s">
        <v>47</v>
      </c>
      <c r="Q248" s="145">
        <v>46058</v>
      </c>
      <c r="R248" s="145">
        <v>46063</v>
      </c>
      <c r="S248" s="192"/>
    </row>
    <row r="249" spans="1:19" ht="117" customHeight="1" x14ac:dyDescent="0.25">
      <c r="A249" s="197" t="str">
        <f t="shared" si="7"/>
        <v>INC20260205248</v>
      </c>
      <c r="B249" s="200">
        <v>46058.315972222197</v>
      </c>
      <c r="C249" s="192" t="s">
        <v>37</v>
      </c>
      <c r="D249" s="194" t="s">
        <v>400</v>
      </c>
      <c r="E249" s="192" t="s">
        <v>69</v>
      </c>
      <c r="F249" s="192" t="s">
        <v>40</v>
      </c>
      <c r="G249" s="192" t="s">
        <v>60</v>
      </c>
      <c r="H249" s="192" t="s">
        <v>79</v>
      </c>
      <c r="I249" s="192" t="s">
        <v>84</v>
      </c>
      <c r="J249" s="195" t="s">
        <v>1925</v>
      </c>
      <c r="K249" s="192" t="s">
        <v>151</v>
      </c>
      <c r="L249" s="192" t="s">
        <v>81</v>
      </c>
      <c r="M249" s="192" t="s">
        <v>5</v>
      </c>
      <c r="N249" s="172" t="s">
        <v>401</v>
      </c>
      <c r="O249" s="192" t="s">
        <v>86</v>
      </c>
      <c r="P249" s="192" t="s">
        <v>87</v>
      </c>
      <c r="Q249" s="145">
        <v>46058</v>
      </c>
      <c r="R249" s="145">
        <v>46063</v>
      </c>
      <c r="S249" s="192"/>
    </row>
    <row r="250" spans="1:19" ht="111.6" customHeight="1" x14ac:dyDescent="0.25">
      <c r="A250" s="197" t="str">
        <f t="shared" si="7"/>
        <v>INC20260205249</v>
      </c>
      <c r="B250" s="199">
        <v>46058.471527777801</v>
      </c>
      <c r="C250" s="192" t="s">
        <v>37</v>
      </c>
      <c r="D250" s="194" t="s">
        <v>402</v>
      </c>
      <c r="E250" s="192" t="s">
        <v>50</v>
      </c>
      <c r="F250" s="192" t="s">
        <v>40</v>
      </c>
      <c r="G250" s="192" t="s">
        <v>51</v>
      </c>
      <c r="H250" s="192" t="s">
        <v>92</v>
      </c>
      <c r="I250" s="192" t="s">
        <v>403</v>
      </c>
      <c r="J250" s="195" t="s">
        <v>1926</v>
      </c>
      <c r="K250" s="192" t="s">
        <v>54</v>
      </c>
      <c r="L250" s="192" t="s">
        <v>55</v>
      </c>
      <c r="M250" s="146" t="s">
        <v>5</v>
      </c>
      <c r="N250" s="192" t="s">
        <v>404</v>
      </c>
      <c r="O250" s="192"/>
      <c r="P250" s="192"/>
      <c r="Q250" s="145">
        <v>46058.482638888898</v>
      </c>
      <c r="R250" s="145">
        <v>46063</v>
      </c>
      <c r="S250" s="192"/>
    </row>
    <row r="251" spans="1:19" ht="132" customHeight="1" x14ac:dyDescent="0.25">
      <c r="A251" s="197" t="str">
        <f t="shared" si="7"/>
        <v>INC20260205250</v>
      </c>
      <c r="B251" s="199">
        <v>46058.490277777797</v>
      </c>
      <c r="C251" s="192" t="s">
        <v>37</v>
      </c>
      <c r="D251" s="194" t="s">
        <v>262</v>
      </c>
      <c r="E251" s="192" t="s">
        <v>69</v>
      </c>
      <c r="F251" s="192" t="s">
        <v>59</v>
      </c>
      <c r="G251" s="192" t="s">
        <v>60</v>
      </c>
      <c r="H251" s="192" t="s">
        <v>61</v>
      </c>
      <c r="I251" s="192" t="s">
        <v>62</v>
      </c>
      <c r="J251" s="121" t="s">
        <v>1927</v>
      </c>
      <c r="K251" s="192" t="s">
        <v>63</v>
      </c>
      <c r="L251" s="192" t="s">
        <v>64</v>
      </c>
      <c r="M251" s="143" t="s">
        <v>5</v>
      </c>
      <c r="N251" s="192" t="s">
        <v>405</v>
      </c>
      <c r="O251" s="192" t="s">
        <v>66</v>
      </c>
      <c r="P251" s="192" t="s">
        <v>67</v>
      </c>
      <c r="Q251" s="145"/>
      <c r="R251" s="145">
        <v>46063</v>
      </c>
      <c r="S251" s="192"/>
    </row>
    <row r="252" spans="1:19" ht="114.6" customHeight="1" x14ac:dyDescent="0.25">
      <c r="A252" s="197" t="str">
        <f t="shared" si="7"/>
        <v>INC20260206251</v>
      </c>
      <c r="B252" s="199">
        <v>46059.372916666704</v>
      </c>
      <c r="C252" s="192" t="s">
        <v>37</v>
      </c>
      <c r="D252" s="194" t="s">
        <v>38</v>
      </c>
      <c r="E252" s="192" t="s">
        <v>39</v>
      </c>
      <c r="F252" s="192" t="s">
        <v>40</v>
      </c>
      <c r="G252" s="192" t="s">
        <v>41</v>
      </c>
      <c r="H252" s="192" t="s">
        <v>42</v>
      </c>
      <c r="I252" s="192" t="s">
        <v>43</v>
      </c>
      <c r="J252" s="195" t="s">
        <v>1928</v>
      </c>
      <c r="K252" s="192" t="s">
        <v>44</v>
      </c>
      <c r="L252" s="192" t="s">
        <v>45</v>
      </c>
      <c r="M252" s="143" t="s">
        <v>5</v>
      </c>
      <c r="N252" s="198" t="s">
        <v>406</v>
      </c>
      <c r="O252" s="192"/>
      <c r="P252" s="144" t="s">
        <v>47</v>
      </c>
      <c r="Q252" s="145">
        <v>46059</v>
      </c>
      <c r="R252" s="145">
        <v>46063</v>
      </c>
      <c r="S252" s="192"/>
    </row>
    <row r="253" spans="1:19" ht="105" customHeight="1" x14ac:dyDescent="0.25">
      <c r="A253" s="197" t="str">
        <f t="shared" si="7"/>
        <v>INC20260204252</v>
      </c>
      <c r="B253" s="193">
        <v>46057.520138888904</v>
      </c>
      <c r="C253" s="192" t="s">
        <v>77</v>
      </c>
      <c r="D253" s="194" t="s">
        <v>78</v>
      </c>
      <c r="E253" s="192" t="s">
        <v>225</v>
      </c>
      <c r="F253" s="192" t="s">
        <v>40</v>
      </c>
      <c r="G253" s="192" t="s">
        <v>60</v>
      </c>
      <c r="H253" s="192" t="s">
        <v>79</v>
      </c>
      <c r="I253" s="192" t="s">
        <v>84</v>
      </c>
      <c r="J253" s="121" t="s">
        <v>407</v>
      </c>
      <c r="K253" s="192" t="s">
        <v>63</v>
      </c>
      <c r="L253" s="192" t="s">
        <v>81</v>
      </c>
      <c r="M253" s="146" t="s">
        <v>5</v>
      </c>
      <c r="N253" s="193" t="s">
        <v>408</v>
      </c>
      <c r="O253" s="192" t="s">
        <v>86</v>
      </c>
      <c r="P253" s="192" t="s">
        <v>87</v>
      </c>
      <c r="Q253" s="193">
        <v>46057.520138888904</v>
      </c>
      <c r="R253" s="145">
        <v>46063</v>
      </c>
      <c r="S253" s="192"/>
    </row>
    <row r="254" spans="1:19" ht="100.8" customHeight="1" x14ac:dyDescent="0.25">
      <c r="A254" s="197" t="str">
        <f t="shared" si="7"/>
        <v>INC20260204253</v>
      </c>
      <c r="B254" s="193">
        <v>46057.524305555598</v>
      </c>
      <c r="C254" s="192" t="s">
        <v>77</v>
      </c>
      <c r="D254" s="194" t="s">
        <v>78</v>
      </c>
      <c r="E254" s="192" t="s">
        <v>180</v>
      </c>
      <c r="F254" s="192" t="s">
        <v>40</v>
      </c>
      <c r="G254" s="192" t="s">
        <v>60</v>
      </c>
      <c r="H254" s="192" t="s">
        <v>79</v>
      </c>
      <c r="I254" s="192" t="s">
        <v>80</v>
      </c>
      <c r="J254" s="121" t="s">
        <v>1919</v>
      </c>
      <c r="K254" s="192" t="s">
        <v>63</v>
      </c>
      <c r="L254" s="192" t="s">
        <v>81</v>
      </c>
      <c r="M254" s="146" t="s">
        <v>5</v>
      </c>
      <c r="N254" s="193" t="s">
        <v>409</v>
      </c>
      <c r="O254" s="197" t="s">
        <v>83</v>
      </c>
      <c r="P254" s="197" t="s">
        <v>1366</v>
      </c>
      <c r="Q254" s="193">
        <v>46057.591666666704</v>
      </c>
      <c r="R254" s="145">
        <v>46063</v>
      </c>
      <c r="S254" s="192"/>
    </row>
    <row r="255" spans="1:19" ht="102.6" customHeight="1" x14ac:dyDescent="0.25">
      <c r="A255" s="197" t="str">
        <f t="shared" si="7"/>
        <v>INC20260205254</v>
      </c>
      <c r="B255" s="193">
        <v>46058.370833333298</v>
      </c>
      <c r="C255" s="192" t="s">
        <v>77</v>
      </c>
      <c r="D255" s="194" t="s">
        <v>78</v>
      </c>
      <c r="E255" s="192" t="s">
        <v>116</v>
      </c>
      <c r="F255" s="192" t="s">
        <v>40</v>
      </c>
      <c r="G255" s="192" t="s">
        <v>60</v>
      </c>
      <c r="H255" s="192" t="s">
        <v>79</v>
      </c>
      <c r="I255" s="192" t="s">
        <v>84</v>
      </c>
      <c r="J255" s="121" t="s">
        <v>410</v>
      </c>
      <c r="K255" s="192" t="s">
        <v>151</v>
      </c>
      <c r="L255" s="192" t="s">
        <v>81</v>
      </c>
      <c r="M255" s="146" t="s">
        <v>5</v>
      </c>
      <c r="N255" s="192" t="s">
        <v>411</v>
      </c>
      <c r="O255" s="192" t="s">
        <v>86</v>
      </c>
      <c r="P255" s="192" t="s">
        <v>87</v>
      </c>
      <c r="Q255" s="196">
        <v>46058.391666666699</v>
      </c>
      <c r="R255" s="145">
        <v>46063</v>
      </c>
      <c r="S255" s="192"/>
    </row>
    <row r="256" spans="1:19" ht="128.4" customHeight="1" x14ac:dyDescent="0.25">
      <c r="A256" s="197" t="str">
        <f t="shared" si="7"/>
        <v>INC20260205255</v>
      </c>
      <c r="B256" s="193">
        <v>46058.3881944444</v>
      </c>
      <c r="C256" s="192" t="s">
        <v>77</v>
      </c>
      <c r="D256" s="194" t="s">
        <v>78</v>
      </c>
      <c r="E256" s="192" t="s">
        <v>69</v>
      </c>
      <c r="F256" s="192" t="s">
        <v>40</v>
      </c>
      <c r="G256" s="192" t="s">
        <v>60</v>
      </c>
      <c r="H256" s="192" t="s">
        <v>79</v>
      </c>
      <c r="I256" s="192" t="s">
        <v>84</v>
      </c>
      <c r="J256" s="121" t="s">
        <v>412</v>
      </c>
      <c r="K256" s="192" t="s">
        <v>151</v>
      </c>
      <c r="L256" s="192" t="s">
        <v>81</v>
      </c>
      <c r="M256" s="146" t="s">
        <v>5</v>
      </c>
      <c r="N256" s="192" t="s">
        <v>413</v>
      </c>
      <c r="O256" s="192" t="s">
        <v>86</v>
      </c>
      <c r="P256" s="192" t="s">
        <v>87</v>
      </c>
      <c r="Q256" s="196">
        <v>46058.394444444399</v>
      </c>
      <c r="R256" s="145">
        <v>46063</v>
      </c>
      <c r="S256" s="192"/>
    </row>
    <row r="257" spans="1:19" ht="118.8" customHeight="1" x14ac:dyDescent="0.25">
      <c r="A257" s="197" t="str">
        <f t="shared" si="7"/>
        <v>INC20260205256</v>
      </c>
      <c r="B257" s="193">
        <v>46058.420138888898</v>
      </c>
      <c r="C257" s="192" t="s">
        <v>77</v>
      </c>
      <c r="D257" s="194" t="s">
        <v>78</v>
      </c>
      <c r="E257" s="192" t="s">
        <v>225</v>
      </c>
      <c r="F257" s="192" t="s">
        <v>40</v>
      </c>
      <c r="G257" s="192" t="s">
        <v>60</v>
      </c>
      <c r="H257" s="192" t="s">
        <v>79</v>
      </c>
      <c r="I257" s="192" t="s">
        <v>84</v>
      </c>
      <c r="J257" s="121" t="s">
        <v>414</v>
      </c>
      <c r="K257" s="192" t="s">
        <v>151</v>
      </c>
      <c r="L257" s="192" t="s">
        <v>81</v>
      </c>
      <c r="M257" s="146" t="s">
        <v>5</v>
      </c>
      <c r="N257" s="192" t="s">
        <v>413</v>
      </c>
      <c r="O257" s="192" t="s">
        <v>86</v>
      </c>
      <c r="P257" s="192" t="s">
        <v>87</v>
      </c>
      <c r="Q257" s="196">
        <v>46058.423611111102</v>
      </c>
      <c r="R257" s="145">
        <v>46063</v>
      </c>
      <c r="S257" s="192"/>
    </row>
    <row r="258" spans="1:19" s="101" customFormat="1" ht="129" customHeight="1" x14ac:dyDescent="0.25">
      <c r="A258" s="197" t="str">
        <f t="shared" si="7"/>
        <v>INC20260205257</v>
      </c>
      <c r="B258" s="201">
        <v>46058.632638888899</v>
      </c>
      <c r="C258" s="197" t="s">
        <v>77</v>
      </c>
      <c r="D258" s="157" t="s">
        <v>78</v>
      </c>
      <c r="E258" s="197" t="s">
        <v>225</v>
      </c>
      <c r="F258" s="197" t="s">
        <v>40</v>
      </c>
      <c r="G258" s="197" t="s">
        <v>60</v>
      </c>
      <c r="H258" s="197" t="s">
        <v>79</v>
      </c>
      <c r="I258" s="197" t="s">
        <v>84</v>
      </c>
      <c r="J258" s="121" t="s">
        <v>415</v>
      </c>
      <c r="K258" s="197" t="s">
        <v>63</v>
      </c>
      <c r="L258" s="197" t="s">
        <v>81</v>
      </c>
      <c r="M258" s="197" t="s">
        <v>5</v>
      </c>
      <c r="N258" s="197" t="s">
        <v>416</v>
      </c>
      <c r="O258" s="197" t="s">
        <v>86</v>
      </c>
      <c r="P258" s="197" t="s">
        <v>87</v>
      </c>
      <c r="Q258" s="158">
        <v>46059</v>
      </c>
      <c r="R258" s="145">
        <v>46063</v>
      </c>
      <c r="S258" s="197"/>
    </row>
    <row r="259" spans="1:19" ht="135" customHeight="1" x14ac:dyDescent="0.25">
      <c r="A259" s="197" t="str">
        <f t="shared" si="7"/>
        <v>INC20260205258</v>
      </c>
      <c r="B259" s="193">
        <v>46058.782638888901</v>
      </c>
      <c r="C259" s="192" t="s">
        <v>77</v>
      </c>
      <c r="D259" s="194" t="s">
        <v>78</v>
      </c>
      <c r="E259" s="192" t="s">
        <v>69</v>
      </c>
      <c r="F259" s="192" t="s">
        <v>40</v>
      </c>
      <c r="G259" s="192" t="s">
        <v>60</v>
      </c>
      <c r="H259" s="192" t="s">
        <v>79</v>
      </c>
      <c r="I259" s="192" t="s">
        <v>84</v>
      </c>
      <c r="J259" s="121" t="s">
        <v>417</v>
      </c>
      <c r="K259" s="192" t="s">
        <v>107</v>
      </c>
      <c r="L259" s="192" t="s">
        <v>81</v>
      </c>
      <c r="M259" s="146" t="s">
        <v>5</v>
      </c>
      <c r="N259" s="193" t="s">
        <v>418</v>
      </c>
      <c r="O259" s="192" t="s">
        <v>86</v>
      </c>
      <c r="P259" s="192" t="s">
        <v>87</v>
      </c>
      <c r="Q259" s="193">
        <v>46058.786111111098</v>
      </c>
      <c r="R259" s="145">
        <v>46063</v>
      </c>
      <c r="S259" s="192"/>
    </row>
    <row r="260" spans="1:19" ht="144.6" customHeight="1" x14ac:dyDescent="0.25">
      <c r="A260" s="197" t="str">
        <f t="shared" si="7"/>
        <v>INC20260205259</v>
      </c>
      <c r="B260" s="193">
        <v>46058.936111111099</v>
      </c>
      <c r="C260" s="192" t="s">
        <v>77</v>
      </c>
      <c r="D260" s="194" t="s">
        <v>78</v>
      </c>
      <c r="E260" s="192" t="s">
        <v>69</v>
      </c>
      <c r="F260" s="192" t="s">
        <v>40</v>
      </c>
      <c r="G260" s="192" t="s">
        <v>60</v>
      </c>
      <c r="H260" s="192" t="s">
        <v>79</v>
      </c>
      <c r="I260" s="192" t="s">
        <v>84</v>
      </c>
      <c r="J260" s="121" t="s">
        <v>419</v>
      </c>
      <c r="K260" s="192" t="s">
        <v>107</v>
      </c>
      <c r="L260" s="192" t="s">
        <v>81</v>
      </c>
      <c r="M260" s="146" t="s">
        <v>5</v>
      </c>
      <c r="N260" s="193" t="s">
        <v>420</v>
      </c>
      <c r="O260" s="192" t="s">
        <v>86</v>
      </c>
      <c r="P260" s="192" t="s">
        <v>87</v>
      </c>
      <c r="Q260" s="193">
        <v>46058.940277777801</v>
      </c>
      <c r="R260" s="145">
        <v>46063</v>
      </c>
      <c r="S260" s="192"/>
    </row>
    <row r="261" spans="1:19" ht="129" customHeight="1" x14ac:dyDescent="0.25">
      <c r="A261" s="197" t="str">
        <f t="shared" si="7"/>
        <v>INC20260206260</v>
      </c>
      <c r="B261" s="199">
        <v>46059.645833333299</v>
      </c>
      <c r="C261" s="192" t="s">
        <v>37</v>
      </c>
      <c r="D261" s="194" t="s">
        <v>421</v>
      </c>
      <c r="E261" s="192" t="s">
        <v>69</v>
      </c>
      <c r="F261" s="192" t="s">
        <v>40</v>
      </c>
      <c r="G261" s="192" t="s">
        <v>60</v>
      </c>
      <c r="H261" s="192" t="s">
        <v>79</v>
      </c>
      <c r="I261" s="192" t="s">
        <v>84</v>
      </c>
      <c r="J261" s="121" t="s">
        <v>1691</v>
      </c>
      <c r="K261" s="192" t="s">
        <v>107</v>
      </c>
      <c r="L261" s="192" t="s">
        <v>81</v>
      </c>
      <c r="M261" s="146" t="s">
        <v>5</v>
      </c>
      <c r="N261" s="193" t="s">
        <v>422</v>
      </c>
      <c r="O261" s="192" t="s">
        <v>86</v>
      </c>
      <c r="P261" s="192" t="s">
        <v>87</v>
      </c>
      <c r="Q261" s="193">
        <v>46059</v>
      </c>
      <c r="R261" s="145">
        <v>46063</v>
      </c>
      <c r="S261" s="192"/>
    </row>
    <row r="262" spans="1:19" ht="125.4" customHeight="1" x14ac:dyDescent="0.25">
      <c r="A262" s="197" t="str">
        <f t="shared" si="7"/>
        <v>INC20260207261</v>
      </c>
      <c r="B262" s="199">
        <v>46060.941666666702</v>
      </c>
      <c r="C262" s="192" t="s">
        <v>37</v>
      </c>
      <c r="D262" s="194" t="s">
        <v>423</v>
      </c>
      <c r="E262" s="192" t="s">
        <v>50</v>
      </c>
      <c r="F262" s="192" t="s">
        <v>40</v>
      </c>
      <c r="G262" s="192" t="s">
        <v>51</v>
      </c>
      <c r="H262" s="192" t="s">
        <v>92</v>
      </c>
      <c r="I262" s="192" t="s">
        <v>403</v>
      </c>
      <c r="J262" s="195" t="s">
        <v>1929</v>
      </c>
      <c r="K262" s="192" t="s">
        <v>54</v>
      </c>
      <c r="L262" s="192" t="s">
        <v>55</v>
      </c>
      <c r="M262" s="146" t="s">
        <v>5</v>
      </c>
      <c r="N262" s="192" t="s">
        <v>424</v>
      </c>
      <c r="O262" s="192"/>
      <c r="P262" s="192"/>
      <c r="Q262" s="145">
        <v>46060</v>
      </c>
      <c r="R262" s="145">
        <v>46063</v>
      </c>
      <c r="S262" s="192"/>
    </row>
    <row r="263" spans="1:19" ht="147" customHeight="1" x14ac:dyDescent="0.25">
      <c r="A263" s="197" t="str">
        <f t="shared" si="7"/>
        <v>INC20260209262</v>
      </c>
      <c r="B263" s="199">
        <v>46062.350694444402</v>
      </c>
      <c r="C263" s="192" t="s">
        <v>37</v>
      </c>
      <c r="D263" s="194" t="s">
        <v>38</v>
      </c>
      <c r="E263" s="192" t="s">
        <v>39</v>
      </c>
      <c r="F263" s="192" t="s">
        <v>40</v>
      </c>
      <c r="G263" s="192" t="s">
        <v>41</v>
      </c>
      <c r="H263" s="192" t="s">
        <v>42</v>
      </c>
      <c r="I263" s="192" t="s">
        <v>43</v>
      </c>
      <c r="J263" s="195" t="s">
        <v>1928</v>
      </c>
      <c r="K263" s="192" t="s">
        <v>44</v>
      </c>
      <c r="L263" s="192" t="s">
        <v>45</v>
      </c>
      <c r="M263" s="143" t="s">
        <v>5</v>
      </c>
      <c r="N263" s="198" t="s">
        <v>425</v>
      </c>
      <c r="O263" s="192"/>
      <c r="P263" s="144" t="s">
        <v>47</v>
      </c>
      <c r="Q263" s="145">
        <v>46062</v>
      </c>
      <c r="R263" s="145">
        <v>46063</v>
      </c>
      <c r="S263" s="192"/>
    </row>
    <row r="264" spans="1:19" ht="140.4" customHeight="1" x14ac:dyDescent="0.25">
      <c r="A264" s="197" t="str">
        <f t="shared" si="7"/>
        <v>INC20260209263</v>
      </c>
      <c r="B264" s="199">
        <v>46062.569444444402</v>
      </c>
      <c r="C264" s="192" t="s">
        <v>37</v>
      </c>
      <c r="D264" s="194" t="s">
        <v>129</v>
      </c>
      <c r="E264" s="192" t="s">
        <v>50</v>
      </c>
      <c r="F264" s="192" t="s">
        <v>40</v>
      </c>
      <c r="G264" s="192" t="s">
        <v>51</v>
      </c>
      <c r="H264" s="192" t="s">
        <v>92</v>
      </c>
      <c r="I264" s="192" t="s">
        <v>93</v>
      </c>
      <c r="J264" s="195" t="s">
        <v>1930</v>
      </c>
      <c r="K264" s="192" t="s">
        <v>54</v>
      </c>
      <c r="L264" s="192" t="s">
        <v>55</v>
      </c>
      <c r="M264" s="146" t="s">
        <v>5</v>
      </c>
      <c r="N264" s="192" t="s">
        <v>426</v>
      </c>
      <c r="O264" s="192" t="s">
        <v>95</v>
      </c>
      <c r="P264" s="192" t="s">
        <v>96</v>
      </c>
      <c r="Q264" s="145">
        <v>46066</v>
      </c>
      <c r="R264" s="145">
        <v>46063</v>
      </c>
      <c r="S264" s="192"/>
    </row>
    <row r="265" spans="1:19" ht="124.8" customHeight="1" x14ac:dyDescent="0.25">
      <c r="A265" s="197" t="str">
        <f t="shared" si="7"/>
        <v>INC20260209264</v>
      </c>
      <c r="B265" s="199">
        <v>46062.6027777778</v>
      </c>
      <c r="C265" s="192" t="s">
        <v>37</v>
      </c>
      <c r="D265" s="194" t="s">
        <v>57</v>
      </c>
      <c r="E265" s="192" t="s">
        <v>180</v>
      </c>
      <c r="F265" s="192" t="s">
        <v>59</v>
      </c>
      <c r="G265" s="192" t="s">
        <v>60</v>
      </c>
      <c r="H265" s="192" t="s">
        <v>61</v>
      </c>
      <c r="I265" s="192" t="s">
        <v>62</v>
      </c>
      <c r="J265" s="121" t="s">
        <v>1931</v>
      </c>
      <c r="K265" s="192" t="s">
        <v>63</v>
      </c>
      <c r="L265" s="192" t="s">
        <v>64</v>
      </c>
      <c r="M265" s="143" t="s">
        <v>5</v>
      </c>
      <c r="N265" s="192" t="s">
        <v>427</v>
      </c>
      <c r="O265" s="192" t="s">
        <v>66</v>
      </c>
      <c r="P265" s="192" t="s">
        <v>67</v>
      </c>
      <c r="Q265" s="145"/>
      <c r="R265" s="145">
        <v>46063</v>
      </c>
      <c r="S265" s="192"/>
    </row>
    <row r="266" spans="1:19" ht="195" customHeight="1" x14ac:dyDescent="0.25">
      <c r="A266" s="197" t="str">
        <f t="shared" si="7"/>
        <v>INC20260209265</v>
      </c>
      <c r="B266" s="199">
        <v>46062.682638888902</v>
      </c>
      <c r="C266" s="192" t="s">
        <v>37</v>
      </c>
      <c r="D266" s="194" t="s">
        <v>57</v>
      </c>
      <c r="E266" s="192" t="s">
        <v>242</v>
      </c>
      <c r="F266" s="192" t="s">
        <v>59</v>
      </c>
      <c r="G266" s="192" t="s">
        <v>60</v>
      </c>
      <c r="H266" s="192" t="s">
        <v>61</v>
      </c>
      <c r="I266" s="192" t="s">
        <v>62</v>
      </c>
      <c r="J266" s="121" t="s">
        <v>1932</v>
      </c>
      <c r="K266" s="192" t="s">
        <v>63</v>
      </c>
      <c r="L266" s="192" t="s">
        <v>64</v>
      </c>
      <c r="M266" s="143" t="s">
        <v>5</v>
      </c>
      <c r="N266" s="192" t="s">
        <v>427</v>
      </c>
      <c r="O266" s="192" t="s">
        <v>66</v>
      </c>
      <c r="P266" s="192" t="s">
        <v>67</v>
      </c>
      <c r="Q266" s="145"/>
      <c r="R266" s="145">
        <v>46063</v>
      </c>
      <c r="S266" s="192"/>
    </row>
    <row r="267" spans="1:19" ht="129.6" customHeight="1" x14ac:dyDescent="0.25">
      <c r="A267" s="197" t="str">
        <f t="shared" ref="A267:A299" si="8">"INC"&amp;TEXT(B267,"yyyymmdd")&amp;TEXT(ROW(A267)-1,"000")</f>
        <v>INC20260210266</v>
      </c>
      <c r="B267" s="199">
        <v>46063.3527777778</v>
      </c>
      <c r="C267" s="192" t="s">
        <v>37</v>
      </c>
      <c r="D267" s="194" t="s">
        <v>38</v>
      </c>
      <c r="E267" s="192" t="s">
        <v>39</v>
      </c>
      <c r="F267" s="192" t="s">
        <v>40</v>
      </c>
      <c r="G267" s="192" t="s">
        <v>41</v>
      </c>
      <c r="H267" s="192" t="s">
        <v>42</v>
      </c>
      <c r="I267" s="192" t="s">
        <v>43</v>
      </c>
      <c r="J267" s="195" t="s">
        <v>1933</v>
      </c>
      <c r="K267" s="192" t="s">
        <v>44</v>
      </c>
      <c r="L267" s="192" t="s">
        <v>45</v>
      </c>
      <c r="M267" s="143" t="s">
        <v>5</v>
      </c>
      <c r="N267" s="198" t="s">
        <v>428</v>
      </c>
      <c r="O267" s="192"/>
      <c r="P267" s="144" t="s">
        <v>47</v>
      </c>
      <c r="Q267" s="145"/>
      <c r="R267" s="145">
        <v>46063</v>
      </c>
      <c r="S267" s="192"/>
    </row>
    <row r="268" spans="1:19" ht="130.80000000000001" customHeight="1" x14ac:dyDescent="0.25">
      <c r="A268" s="197" t="str">
        <f t="shared" si="8"/>
        <v>INC20260210267</v>
      </c>
      <c r="B268" s="199">
        <v>46063.577777777798</v>
      </c>
      <c r="C268" s="192" t="s">
        <v>37</v>
      </c>
      <c r="D268" s="194" t="s">
        <v>57</v>
      </c>
      <c r="E268" s="192" t="s">
        <v>397</v>
      </c>
      <c r="F268" s="192" t="s">
        <v>59</v>
      </c>
      <c r="G268" s="192" t="s">
        <v>60</v>
      </c>
      <c r="H268" s="192" t="s">
        <v>61</v>
      </c>
      <c r="I268" s="192" t="s">
        <v>62</v>
      </c>
      <c r="J268" s="121" t="s">
        <v>1934</v>
      </c>
      <c r="K268" s="192" t="s">
        <v>63</v>
      </c>
      <c r="L268" s="192" t="s">
        <v>64</v>
      </c>
      <c r="M268" s="143" t="s">
        <v>5</v>
      </c>
      <c r="N268" s="192" t="s">
        <v>429</v>
      </c>
      <c r="O268" s="192" t="s">
        <v>66</v>
      </c>
      <c r="P268" s="192" t="s">
        <v>67</v>
      </c>
      <c r="Q268" s="145"/>
      <c r="R268" s="145">
        <v>46063</v>
      </c>
      <c r="S268" s="192"/>
    </row>
    <row r="269" spans="1:19" ht="146.4" customHeight="1" x14ac:dyDescent="0.25">
      <c r="A269" s="197" t="str">
        <f t="shared" si="8"/>
        <v>INC20260210268</v>
      </c>
      <c r="B269" s="199">
        <v>46063.579861111102</v>
      </c>
      <c r="C269" s="192" t="s">
        <v>37</v>
      </c>
      <c r="D269" s="194" t="s">
        <v>57</v>
      </c>
      <c r="E269" s="192" t="s">
        <v>397</v>
      </c>
      <c r="F269" s="192" t="s">
        <v>59</v>
      </c>
      <c r="G269" s="192" t="s">
        <v>60</v>
      </c>
      <c r="H269" s="192" t="s">
        <v>61</v>
      </c>
      <c r="I269" s="192" t="s">
        <v>62</v>
      </c>
      <c r="J269" s="121" t="s">
        <v>1934</v>
      </c>
      <c r="K269" s="192" t="s">
        <v>63</v>
      </c>
      <c r="L269" s="192" t="s">
        <v>64</v>
      </c>
      <c r="M269" s="143" t="s">
        <v>5</v>
      </c>
      <c r="N269" s="192" t="s">
        <v>429</v>
      </c>
      <c r="O269" s="192" t="s">
        <v>66</v>
      </c>
      <c r="P269" s="192" t="s">
        <v>67</v>
      </c>
      <c r="Q269" s="145"/>
      <c r="R269" s="145">
        <v>46063</v>
      </c>
      <c r="S269" s="192"/>
    </row>
    <row r="270" spans="1:19" ht="126.6" customHeight="1" x14ac:dyDescent="0.25">
      <c r="A270" s="197" t="str">
        <f t="shared" si="8"/>
        <v>INC20260210269</v>
      </c>
      <c r="B270" s="199">
        <v>46063.579861111102</v>
      </c>
      <c r="C270" s="192" t="s">
        <v>37</v>
      </c>
      <c r="D270" s="194" t="s">
        <v>57</v>
      </c>
      <c r="E270" s="192" t="s">
        <v>397</v>
      </c>
      <c r="F270" s="192" t="s">
        <v>59</v>
      </c>
      <c r="G270" s="192" t="s">
        <v>60</v>
      </c>
      <c r="H270" s="192" t="s">
        <v>61</v>
      </c>
      <c r="I270" s="192" t="s">
        <v>62</v>
      </c>
      <c r="J270" s="121" t="s">
        <v>1935</v>
      </c>
      <c r="K270" s="192" t="s">
        <v>63</v>
      </c>
      <c r="L270" s="192" t="s">
        <v>64</v>
      </c>
      <c r="M270" s="143" t="s">
        <v>5</v>
      </c>
      <c r="N270" s="192" t="s">
        <v>429</v>
      </c>
      <c r="O270" s="192" t="s">
        <v>66</v>
      </c>
      <c r="P270" s="192" t="s">
        <v>67</v>
      </c>
      <c r="Q270" s="145"/>
      <c r="R270" s="145">
        <v>46063</v>
      </c>
      <c r="S270" s="192"/>
    </row>
    <row r="271" spans="1:19" ht="119.4" customHeight="1" x14ac:dyDescent="0.25">
      <c r="A271" s="197" t="str">
        <f t="shared" si="8"/>
        <v>INC20260210270</v>
      </c>
      <c r="B271" s="199">
        <v>46063.612500000003</v>
      </c>
      <c r="C271" s="192" t="s">
        <v>37</v>
      </c>
      <c r="D271" s="194" t="s">
        <v>57</v>
      </c>
      <c r="E271" s="192" t="s">
        <v>397</v>
      </c>
      <c r="F271" s="192" t="s">
        <v>59</v>
      </c>
      <c r="G271" s="192" t="s">
        <v>60</v>
      </c>
      <c r="H271" s="192" t="s">
        <v>61</v>
      </c>
      <c r="I271" s="192" t="s">
        <v>62</v>
      </c>
      <c r="J271" s="121" t="s">
        <v>1935</v>
      </c>
      <c r="K271" s="192" t="s">
        <v>63</v>
      </c>
      <c r="L271" s="192" t="s">
        <v>64</v>
      </c>
      <c r="M271" s="143" t="s">
        <v>5</v>
      </c>
      <c r="N271" s="192" t="s">
        <v>429</v>
      </c>
      <c r="O271" s="192" t="s">
        <v>66</v>
      </c>
      <c r="P271" s="192" t="s">
        <v>67</v>
      </c>
      <c r="Q271" s="145"/>
      <c r="R271" s="145">
        <v>46063</v>
      </c>
      <c r="S271" s="192"/>
    </row>
    <row r="272" spans="1:19" ht="120.6" customHeight="1" x14ac:dyDescent="0.25">
      <c r="A272" s="197" t="str">
        <f t="shared" si="8"/>
        <v>INC20260210271</v>
      </c>
      <c r="B272" s="199">
        <v>46063.622222222199</v>
      </c>
      <c r="C272" s="192" t="s">
        <v>37</v>
      </c>
      <c r="D272" s="194" t="s">
        <v>129</v>
      </c>
      <c r="E272" s="192" t="s">
        <v>50</v>
      </c>
      <c r="F272" s="192" t="s">
        <v>40</v>
      </c>
      <c r="G272" s="192" t="s">
        <v>51</v>
      </c>
      <c r="H272" s="192" t="s">
        <v>92</v>
      </c>
      <c r="I272" s="192" t="s">
        <v>93</v>
      </c>
      <c r="J272" s="195" t="s">
        <v>1936</v>
      </c>
      <c r="K272" s="192" t="s">
        <v>54</v>
      </c>
      <c r="L272" s="192" t="s">
        <v>55</v>
      </c>
      <c r="M272" s="146" t="s">
        <v>5</v>
      </c>
      <c r="N272" s="192" t="s">
        <v>430</v>
      </c>
      <c r="O272" s="192" t="s">
        <v>95</v>
      </c>
      <c r="P272" s="192" t="s">
        <v>96</v>
      </c>
      <c r="Q272" s="145">
        <v>46063</v>
      </c>
      <c r="R272" s="145">
        <v>46063</v>
      </c>
      <c r="S272" s="192"/>
    </row>
    <row r="273" spans="1:19" ht="111.6" customHeight="1" x14ac:dyDescent="0.25">
      <c r="A273" s="197" t="str">
        <f t="shared" si="8"/>
        <v>INC20260206272</v>
      </c>
      <c r="B273" s="193">
        <v>46059.442361111098</v>
      </c>
      <c r="C273" s="192" t="s">
        <v>77</v>
      </c>
      <c r="D273" s="194" t="s">
        <v>78</v>
      </c>
      <c r="E273" s="192" t="s">
        <v>69</v>
      </c>
      <c r="F273" s="192" t="s">
        <v>40</v>
      </c>
      <c r="G273" s="192" t="s">
        <v>60</v>
      </c>
      <c r="H273" s="192" t="s">
        <v>79</v>
      </c>
      <c r="I273" s="192" t="s">
        <v>84</v>
      </c>
      <c r="J273" s="121" t="s">
        <v>431</v>
      </c>
      <c r="K273" s="192" t="s">
        <v>63</v>
      </c>
      <c r="L273" s="192" t="s">
        <v>81</v>
      </c>
      <c r="M273" s="146" t="s">
        <v>5</v>
      </c>
      <c r="N273" s="193" t="s">
        <v>432</v>
      </c>
      <c r="O273" s="192" t="s">
        <v>86</v>
      </c>
      <c r="P273" s="192" t="s">
        <v>87</v>
      </c>
      <c r="Q273" s="193">
        <v>46059.447916666701</v>
      </c>
      <c r="R273" s="145">
        <v>46063</v>
      </c>
      <c r="S273" s="192"/>
    </row>
    <row r="274" spans="1:19" ht="122.4" customHeight="1" x14ac:dyDescent="0.25">
      <c r="A274" s="197" t="str">
        <f t="shared" si="8"/>
        <v>INC20260206273</v>
      </c>
      <c r="B274" s="193">
        <v>46059.545138888898</v>
      </c>
      <c r="C274" s="192" t="s">
        <v>77</v>
      </c>
      <c r="D274" s="194" t="s">
        <v>78</v>
      </c>
      <c r="E274" s="192" t="s">
        <v>225</v>
      </c>
      <c r="F274" s="192" t="s">
        <v>40</v>
      </c>
      <c r="G274" s="192" t="s">
        <v>60</v>
      </c>
      <c r="H274" s="192" t="s">
        <v>79</v>
      </c>
      <c r="I274" s="192" t="s">
        <v>80</v>
      </c>
      <c r="J274" s="121" t="s">
        <v>1937</v>
      </c>
      <c r="K274" s="192" t="s">
        <v>110</v>
      </c>
      <c r="L274" s="192" t="s">
        <v>81</v>
      </c>
      <c r="M274" s="146" t="s">
        <v>5</v>
      </c>
      <c r="N274" s="193" t="s">
        <v>433</v>
      </c>
      <c r="O274" s="197" t="s">
        <v>83</v>
      </c>
      <c r="P274" s="197" t="s">
        <v>1366</v>
      </c>
      <c r="Q274" s="193">
        <v>46059.545138888898</v>
      </c>
      <c r="R274" s="145">
        <v>46063</v>
      </c>
      <c r="S274" s="192"/>
    </row>
    <row r="275" spans="1:19" ht="153.6" customHeight="1" x14ac:dyDescent="0.25">
      <c r="A275" s="197" t="str">
        <f t="shared" si="8"/>
        <v>INC20260206274</v>
      </c>
      <c r="B275" s="193">
        <v>46059.538888888899</v>
      </c>
      <c r="C275" s="192" t="s">
        <v>77</v>
      </c>
      <c r="D275" s="194" t="s">
        <v>78</v>
      </c>
      <c r="E275" s="192" t="s">
        <v>434</v>
      </c>
      <c r="F275" s="192" t="s">
        <v>40</v>
      </c>
      <c r="G275" s="192" t="s">
        <v>41</v>
      </c>
      <c r="H275" s="192" t="s">
        <v>79</v>
      </c>
      <c r="I275" s="192" t="s">
        <v>80</v>
      </c>
      <c r="J275" s="121" t="s">
        <v>1938</v>
      </c>
      <c r="K275" s="192" t="s">
        <v>44</v>
      </c>
      <c r="L275" s="192" t="s">
        <v>81</v>
      </c>
      <c r="M275" s="146" t="s">
        <v>5</v>
      </c>
      <c r="N275" s="193" t="s">
        <v>435</v>
      </c>
      <c r="O275" s="197" t="s">
        <v>83</v>
      </c>
      <c r="P275" s="197" t="s">
        <v>1366</v>
      </c>
      <c r="Q275" s="145">
        <v>46059</v>
      </c>
      <c r="R275" s="145">
        <v>46063</v>
      </c>
      <c r="S275" s="192"/>
    </row>
    <row r="276" spans="1:19" ht="139.19999999999999" customHeight="1" x14ac:dyDescent="0.25">
      <c r="A276" s="197" t="str">
        <f t="shared" si="8"/>
        <v>INC20260206275</v>
      </c>
      <c r="B276" s="193">
        <v>46059.568055555603</v>
      </c>
      <c r="C276" s="192" t="s">
        <v>77</v>
      </c>
      <c r="D276" s="194" t="s">
        <v>78</v>
      </c>
      <c r="E276" s="192" t="s">
        <v>225</v>
      </c>
      <c r="F276" s="192" t="s">
        <v>40</v>
      </c>
      <c r="G276" s="192" t="s">
        <v>60</v>
      </c>
      <c r="H276" s="192" t="s">
        <v>79</v>
      </c>
      <c r="I276" s="192" t="s">
        <v>80</v>
      </c>
      <c r="J276" s="121" t="s">
        <v>1939</v>
      </c>
      <c r="K276" s="192" t="s">
        <v>110</v>
      </c>
      <c r="L276" s="192" t="s">
        <v>81</v>
      </c>
      <c r="M276" s="146" t="s">
        <v>5</v>
      </c>
      <c r="N276" s="193" t="s">
        <v>436</v>
      </c>
      <c r="O276" s="197" t="s">
        <v>83</v>
      </c>
      <c r="P276" s="197" t="s">
        <v>1366</v>
      </c>
      <c r="Q276" s="145">
        <v>46059</v>
      </c>
      <c r="R276" s="145">
        <v>46063</v>
      </c>
      <c r="S276" s="192"/>
    </row>
    <row r="277" spans="1:19" ht="134.4" customHeight="1" x14ac:dyDescent="0.25">
      <c r="A277" s="197" t="str">
        <f t="shared" si="8"/>
        <v>INC20260206276</v>
      </c>
      <c r="B277" s="193">
        <v>46059.604861111096</v>
      </c>
      <c r="C277" s="192" t="s">
        <v>77</v>
      </c>
      <c r="D277" s="194" t="s">
        <v>78</v>
      </c>
      <c r="E277" s="192" t="s">
        <v>437</v>
      </c>
      <c r="F277" s="192" t="s">
        <v>40</v>
      </c>
      <c r="G277" s="192" t="s">
        <v>60</v>
      </c>
      <c r="H277" s="192" t="s">
        <v>79</v>
      </c>
      <c r="I277" s="192" t="s">
        <v>84</v>
      </c>
      <c r="J277" s="121" t="s">
        <v>438</v>
      </c>
      <c r="K277" s="192" t="s">
        <v>439</v>
      </c>
      <c r="L277" s="192" t="s">
        <v>81</v>
      </c>
      <c r="M277" s="146" t="s">
        <v>5</v>
      </c>
      <c r="N277" s="193" t="s">
        <v>440</v>
      </c>
      <c r="O277" s="192" t="s">
        <v>86</v>
      </c>
      <c r="P277" s="192" t="s">
        <v>87</v>
      </c>
      <c r="Q277" s="145">
        <v>46059</v>
      </c>
      <c r="R277" s="145">
        <v>46063</v>
      </c>
      <c r="S277" s="192"/>
    </row>
    <row r="278" spans="1:19" ht="123.6" customHeight="1" x14ac:dyDescent="0.25">
      <c r="A278" s="197" t="str">
        <f t="shared" si="8"/>
        <v>INC20260206277</v>
      </c>
      <c r="B278" s="193">
        <v>46059.625</v>
      </c>
      <c r="C278" s="192" t="s">
        <v>77</v>
      </c>
      <c r="D278" s="194" t="s">
        <v>78</v>
      </c>
      <c r="E278" s="192" t="s">
        <v>58</v>
      </c>
      <c r="F278" s="192" t="s">
        <v>40</v>
      </c>
      <c r="G278" s="192" t="s">
        <v>60</v>
      </c>
      <c r="H278" s="192" t="s">
        <v>79</v>
      </c>
      <c r="I278" s="192" t="s">
        <v>80</v>
      </c>
      <c r="J278" s="121" t="s">
        <v>1940</v>
      </c>
      <c r="K278" s="192" t="s">
        <v>63</v>
      </c>
      <c r="L278" s="192" t="s">
        <v>81</v>
      </c>
      <c r="M278" s="146" t="s">
        <v>5</v>
      </c>
      <c r="N278" s="193" t="s">
        <v>441</v>
      </c>
      <c r="O278" s="197" t="s">
        <v>83</v>
      </c>
      <c r="P278" s="197" t="s">
        <v>1366</v>
      </c>
      <c r="Q278" s="145">
        <v>46059</v>
      </c>
      <c r="R278" s="145">
        <v>46063</v>
      </c>
      <c r="S278" s="192"/>
    </row>
    <row r="279" spans="1:19" ht="137.4" customHeight="1" x14ac:dyDescent="0.25">
      <c r="A279" s="197" t="str">
        <f t="shared" si="8"/>
        <v>INC20260206278</v>
      </c>
      <c r="B279" s="193">
        <v>46059.642361111102</v>
      </c>
      <c r="C279" s="192" t="s">
        <v>77</v>
      </c>
      <c r="D279" s="194" t="s">
        <v>78</v>
      </c>
      <c r="E279" s="192" t="s">
        <v>58</v>
      </c>
      <c r="F279" s="192" t="s">
        <v>40</v>
      </c>
      <c r="G279" s="192" t="s">
        <v>60</v>
      </c>
      <c r="H279" s="192" t="s">
        <v>79</v>
      </c>
      <c r="I279" s="192" t="s">
        <v>80</v>
      </c>
      <c r="J279" s="121" t="s">
        <v>1941</v>
      </c>
      <c r="K279" s="192" t="s">
        <v>63</v>
      </c>
      <c r="L279" s="192" t="s">
        <v>81</v>
      </c>
      <c r="M279" s="146" t="s">
        <v>5</v>
      </c>
      <c r="N279" s="193" t="s">
        <v>442</v>
      </c>
      <c r="O279" s="197" t="s">
        <v>83</v>
      </c>
      <c r="P279" s="197" t="s">
        <v>1366</v>
      </c>
      <c r="Q279" s="145">
        <v>46059</v>
      </c>
      <c r="R279" s="145">
        <v>46063</v>
      </c>
      <c r="S279" s="192"/>
    </row>
    <row r="280" spans="1:19" ht="149.4" customHeight="1" x14ac:dyDescent="0.25">
      <c r="A280" s="197" t="str">
        <f t="shared" si="8"/>
        <v>INC20260206279</v>
      </c>
      <c r="B280" s="193">
        <v>46059.659722222197</v>
      </c>
      <c r="C280" s="192" t="s">
        <v>77</v>
      </c>
      <c r="D280" s="194" t="s">
        <v>78</v>
      </c>
      <c r="E280" s="192" t="s">
        <v>69</v>
      </c>
      <c r="F280" s="192" t="s">
        <v>40</v>
      </c>
      <c r="G280" s="192" t="s">
        <v>60</v>
      </c>
      <c r="H280" s="192" t="s">
        <v>79</v>
      </c>
      <c r="I280" s="192" t="s">
        <v>84</v>
      </c>
      <c r="J280" s="121" t="s">
        <v>443</v>
      </c>
      <c r="K280" s="192" t="s">
        <v>63</v>
      </c>
      <c r="L280" s="192" t="s">
        <v>81</v>
      </c>
      <c r="M280" s="146" t="s">
        <v>5</v>
      </c>
      <c r="N280" s="192" t="s">
        <v>444</v>
      </c>
      <c r="O280" s="192" t="s">
        <v>86</v>
      </c>
      <c r="P280" s="192" t="s">
        <v>87</v>
      </c>
      <c r="Q280" s="145">
        <v>46059</v>
      </c>
      <c r="R280" s="145">
        <v>46063</v>
      </c>
      <c r="S280" s="192"/>
    </row>
    <row r="281" spans="1:19" ht="135" customHeight="1" x14ac:dyDescent="0.25">
      <c r="A281" s="197" t="str">
        <f t="shared" si="8"/>
        <v>INC20260206280</v>
      </c>
      <c r="B281" s="193">
        <v>46059.743055555598</v>
      </c>
      <c r="C281" s="192" t="s">
        <v>77</v>
      </c>
      <c r="D281" s="194" t="s">
        <v>78</v>
      </c>
      <c r="E281" s="192" t="s">
        <v>121</v>
      </c>
      <c r="F281" s="192" t="s">
        <v>40</v>
      </c>
      <c r="G281" s="192" t="s">
        <v>60</v>
      </c>
      <c r="H281" s="192" t="s">
        <v>79</v>
      </c>
      <c r="I281" s="192" t="s">
        <v>80</v>
      </c>
      <c r="J281" s="121" t="s">
        <v>1942</v>
      </c>
      <c r="K281" s="192" t="s">
        <v>63</v>
      </c>
      <c r="L281" s="192" t="s">
        <v>81</v>
      </c>
      <c r="M281" s="146" t="s">
        <v>5</v>
      </c>
      <c r="N281" s="192" t="s">
        <v>445</v>
      </c>
      <c r="O281" s="197" t="s">
        <v>83</v>
      </c>
      <c r="P281" s="197" t="s">
        <v>1366</v>
      </c>
      <c r="Q281" s="145">
        <v>46059</v>
      </c>
      <c r="R281" s="145">
        <v>46063</v>
      </c>
      <c r="S281" s="192"/>
    </row>
    <row r="282" spans="1:19" ht="135" customHeight="1" x14ac:dyDescent="0.25">
      <c r="A282" s="197" t="str">
        <f t="shared" si="8"/>
        <v>INC20260209281</v>
      </c>
      <c r="B282" s="193">
        <v>46062.631249999999</v>
      </c>
      <c r="C282" s="192" t="s">
        <v>77</v>
      </c>
      <c r="D282" s="194" t="s">
        <v>78</v>
      </c>
      <c r="E282" s="192" t="s">
        <v>134</v>
      </c>
      <c r="F282" s="192" t="s">
        <v>40</v>
      </c>
      <c r="G282" s="192" t="s">
        <v>60</v>
      </c>
      <c r="H282" s="192" t="s">
        <v>79</v>
      </c>
      <c r="I282" s="192" t="s">
        <v>84</v>
      </c>
      <c r="J282" s="121" t="s">
        <v>446</v>
      </c>
      <c r="K282" s="192" t="s">
        <v>151</v>
      </c>
      <c r="L282" s="192" t="s">
        <v>81</v>
      </c>
      <c r="M282" s="146" t="s">
        <v>5</v>
      </c>
      <c r="N282" s="193" t="s">
        <v>447</v>
      </c>
      <c r="O282" s="192" t="s">
        <v>86</v>
      </c>
      <c r="P282" s="192" t="s">
        <v>87</v>
      </c>
      <c r="Q282" s="145">
        <v>46062</v>
      </c>
      <c r="R282" s="145">
        <v>46063</v>
      </c>
      <c r="S282" s="192"/>
    </row>
    <row r="283" spans="1:19" ht="135" customHeight="1" x14ac:dyDescent="0.25">
      <c r="A283" s="197" t="str">
        <f t="shared" si="8"/>
        <v>INC20260209282</v>
      </c>
      <c r="B283" s="193">
        <v>46062.668749999997</v>
      </c>
      <c r="C283" s="192" t="s">
        <v>77</v>
      </c>
      <c r="D283" s="194" t="s">
        <v>78</v>
      </c>
      <c r="E283" s="192" t="s">
        <v>69</v>
      </c>
      <c r="F283" s="192" t="s">
        <v>40</v>
      </c>
      <c r="G283" s="192" t="s">
        <v>60</v>
      </c>
      <c r="H283" s="192" t="s">
        <v>79</v>
      </c>
      <c r="I283" s="192" t="s">
        <v>84</v>
      </c>
      <c r="J283" s="121" t="s">
        <v>448</v>
      </c>
      <c r="K283" s="192" t="s">
        <v>151</v>
      </c>
      <c r="L283" s="192" t="s">
        <v>81</v>
      </c>
      <c r="M283" s="146" t="s">
        <v>5</v>
      </c>
      <c r="N283" s="193" t="s">
        <v>449</v>
      </c>
      <c r="O283" s="192" t="s">
        <v>86</v>
      </c>
      <c r="P283" s="192" t="s">
        <v>87</v>
      </c>
      <c r="Q283" s="145">
        <v>46062</v>
      </c>
      <c r="R283" s="145">
        <v>46063</v>
      </c>
      <c r="S283" s="192"/>
    </row>
    <row r="284" spans="1:19" ht="135" customHeight="1" x14ac:dyDescent="0.25">
      <c r="A284" s="197" t="str">
        <f t="shared" si="8"/>
        <v>INC20260209283</v>
      </c>
      <c r="B284" s="193">
        <v>46062.798611111102</v>
      </c>
      <c r="C284" s="192" t="s">
        <v>77</v>
      </c>
      <c r="D284" s="194" t="s">
        <v>78</v>
      </c>
      <c r="E284" s="192" t="s">
        <v>69</v>
      </c>
      <c r="F284" s="192" t="s">
        <v>40</v>
      </c>
      <c r="G284" s="192" t="s">
        <v>60</v>
      </c>
      <c r="H284" s="192" t="s">
        <v>79</v>
      </c>
      <c r="I284" s="192" t="s">
        <v>84</v>
      </c>
      <c r="J284" s="121" t="s">
        <v>450</v>
      </c>
      <c r="K284" s="192" t="s">
        <v>151</v>
      </c>
      <c r="L284" s="192" t="s">
        <v>81</v>
      </c>
      <c r="M284" s="146" t="s">
        <v>5</v>
      </c>
      <c r="N284" s="193" t="s">
        <v>451</v>
      </c>
      <c r="O284" s="192" t="s">
        <v>86</v>
      </c>
      <c r="P284" s="192" t="s">
        <v>87</v>
      </c>
      <c r="Q284" s="145">
        <v>46062</v>
      </c>
      <c r="R284" s="145">
        <v>46063</v>
      </c>
      <c r="S284" s="192"/>
    </row>
    <row r="285" spans="1:19" ht="135" customHeight="1" x14ac:dyDescent="0.25">
      <c r="A285" s="197" t="str">
        <f t="shared" si="8"/>
        <v>INC20260210284</v>
      </c>
      <c r="B285" s="193">
        <v>46063.468055555597</v>
      </c>
      <c r="C285" s="192" t="s">
        <v>77</v>
      </c>
      <c r="D285" s="194" t="s">
        <v>78</v>
      </c>
      <c r="E285" s="192" t="s">
        <v>434</v>
      </c>
      <c r="F285" s="192" t="s">
        <v>40</v>
      </c>
      <c r="G285" s="192" t="s">
        <v>41</v>
      </c>
      <c r="H285" s="192" t="s">
        <v>79</v>
      </c>
      <c r="I285" s="192" t="s">
        <v>80</v>
      </c>
      <c r="J285" s="121" t="s">
        <v>1943</v>
      </c>
      <c r="K285" s="192" t="s">
        <v>44</v>
      </c>
      <c r="L285" s="192" t="s">
        <v>81</v>
      </c>
      <c r="M285" s="146" t="s">
        <v>5</v>
      </c>
      <c r="N285" s="192" t="s">
        <v>452</v>
      </c>
      <c r="O285" s="197" t="s">
        <v>83</v>
      </c>
      <c r="P285" s="197" t="s">
        <v>1366</v>
      </c>
      <c r="Q285" s="196">
        <v>46063.520833333299</v>
      </c>
      <c r="R285" s="145">
        <v>46063</v>
      </c>
      <c r="S285" s="192"/>
    </row>
    <row r="286" spans="1:19" ht="135" customHeight="1" x14ac:dyDescent="0.25">
      <c r="A286" s="197" t="str">
        <f t="shared" si="8"/>
        <v>INC20260210285</v>
      </c>
      <c r="B286" s="193">
        <v>46063.479166666701</v>
      </c>
      <c r="C286" s="192" t="s">
        <v>77</v>
      </c>
      <c r="D286" s="194" t="s">
        <v>78</v>
      </c>
      <c r="E286" s="192" t="s">
        <v>434</v>
      </c>
      <c r="F286" s="192" t="s">
        <v>40</v>
      </c>
      <c r="G286" s="192" t="s">
        <v>41</v>
      </c>
      <c r="H286" s="192" t="s">
        <v>79</v>
      </c>
      <c r="I286" s="192" t="s">
        <v>80</v>
      </c>
      <c r="J286" s="121" t="s">
        <v>1944</v>
      </c>
      <c r="K286" s="192" t="s">
        <v>44</v>
      </c>
      <c r="L286" s="192" t="s">
        <v>81</v>
      </c>
      <c r="M286" s="146" t="s">
        <v>5</v>
      </c>
      <c r="N286" s="192" t="s">
        <v>453</v>
      </c>
      <c r="O286" s="197" t="s">
        <v>83</v>
      </c>
      <c r="P286" s="197" t="s">
        <v>1366</v>
      </c>
      <c r="Q286" s="196">
        <v>46063.520833333299</v>
      </c>
      <c r="R286" s="145">
        <v>46063</v>
      </c>
      <c r="S286" s="192"/>
    </row>
    <row r="287" spans="1:19" ht="135" customHeight="1" x14ac:dyDescent="0.25">
      <c r="A287" s="197" t="str">
        <f t="shared" si="8"/>
        <v>INC20260210286</v>
      </c>
      <c r="B287" s="193">
        <v>46063.484722222202</v>
      </c>
      <c r="C287" s="192" t="s">
        <v>77</v>
      </c>
      <c r="D287" s="194" t="s">
        <v>78</v>
      </c>
      <c r="E287" s="192" t="s">
        <v>434</v>
      </c>
      <c r="F287" s="192" t="s">
        <v>40</v>
      </c>
      <c r="G287" s="192" t="s">
        <v>41</v>
      </c>
      <c r="H287" s="192" t="s">
        <v>79</v>
      </c>
      <c r="I287" s="192" t="s">
        <v>80</v>
      </c>
      <c r="J287" s="121" t="s">
        <v>1945</v>
      </c>
      <c r="K287" s="192" t="s">
        <v>44</v>
      </c>
      <c r="L287" s="192" t="s">
        <v>81</v>
      </c>
      <c r="M287" s="146" t="s">
        <v>5</v>
      </c>
      <c r="N287" s="192" t="s">
        <v>454</v>
      </c>
      <c r="O287" s="197" t="s">
        <v>83</v>
      </c>
      <c r="P287" s="197" t="s">
        <v>1366</v>
      </c>
      <c r="Q287" s="196">
        <v>46063.520833333299</v>
      </c>
      <c r="R287" s="145">
        <v>46063</v>
      </c>
      <c r="S287" s="192"/>
    </row>
    <row r="288" spans="1:19" ht="135" customHeight="1" x14ac:dyDescent="0.25">
      <c r="A288" s="197" t="str">
        <f t="shared" si="8"/>
        <v>INC20260210287</v>
      </c>
      <c r="B288" s="193">
        <v>46063.4909722222</v>
      </c>
      <c r="C288" s="192" t="s">
        <v>77</v>
      </c>
      <c r="D288" s="194" t="s">
        <v>78</v>
      </c>
      <c r="E288" s="192" t="s">
        <v>434</v>
      </c>
      <c r="F288" s="192" t="s">
        <v>40</v>
      </c>
      <c r="G288" s="192" t="s">
        <v>41</v>
      </c>
      <c r="H288" s="192" t="s">
        <v>79</v>
      </c>
      <c r="I288" s="192" t="s">
        <v>80</v>
      </c>
      <c r="J288" s="121" t="s">
        <v>1946</v>
      </c>
      <c r="K288" s="192" t="s">
        <v>44</v>
      </c>
      <c r="L288" s="192" t="s">
        <v>81</v>
      </c>
      <c r="M288" s="146" t="s">
        <v>5</v>
      </c>
      <c r="N288" s="192" t="s">
        <v>455</v>
      </c>
      <c r="O288" s="197" t="s">
        <v>83</v>
      </c>
      <c r="P288" s="197" t="s">
        <v>1366</v>
      </c>
      <c r="Q288" s="196">
        <v>46063.525694444397</v>
      </c>
      <c r="R288" s="145">
        <v>46063</v>
      </c>
      <c r="S288" s="192"/>
    </row>
    <row r="289" spans="1:19" ht="135" customHeight="1" x14ac:dyDescent="0.25">
      <c r="A289" s="197" t="str">
        <f t="shared" si="8"/>
        <v>INC20260210288</v>
      </c>
      <c r="B289" s="193">
        <v>46063.468055555597</v>
      </c>
      <c r="C289" s="192" t="s">
        <v>77</v>
      </c>
      <c r="D289" s="194" t="s">
        <v>78</v>
      </c>
      <c r="E289" s="192" t="s">
        <v>434</v>
      </c>
      <c r="F289" s="192" t="s">
        <v>40</v>
      </c>
      <c r="G289" s="192" t="s">
        <v>41</v>
      </c>
      <c r="H289" s="192" t="s">
        <v>79</v>
      </c>
      <c r="I289" s="192" t="s">
        <v>80</v>
      </c>
      <c r="J289" s="121" t="s">
        <v>1947</v>
      </c>
      <c r="K289" s="192" t="s">
        <v>44</v>
      </c>
      <c r="L289" s="192" t="s">
        <v>81</v>
      </c>
      <c r="M289" s="146" t="s">
        <v>5</v>
      </c>
      <c r="N289" s="192" t="s">
        <v>456</v>
      </c>
      <c r="O289" s="197" t="s">
        <v>83</v>
      </c>
      <c r="P289" s="197" t="s">
        <v>1366</v>
      </c>
      <c r="Q289" s="196">
        <v>46063.608333333301</v>
      </c>
      <c r="R289" s="145">
        <v>46063</v>
      </c>
      <c r="S289" s="192"/>
    </row>
    <row r="290" spans="1:19" ht="117.6" customHeight="1" x14ac:dyDescent="0.25">
      <c r="A290" s="197" t="str">
        <f t="shared" si="8"/>
        <v>INC20260210289</v>
      </c>
      <c r="B290" s="199">
        <v>46063.770833333299</v>
      </c>
      <c r="C290" s="192" t="s">
        <v>37</v>
      </c>
      <c r="D290" s="194" t="s">
        <v>457</v>
      </c>
      <c r="E290" s="192" t="s">
        <v>397</v>
      </c>
      <c r="F290" s="192" t="s">
        <v>59</v>
      </c>
      <c r="G290" s="192" t="s">
        <v>60</v>
      </c>
      <c r="H290" s="192" t="s">
        <v>61</v>
      </c>
      <c r="I290" s="192" t="s">
        <v>62</v>
      </c>
      <c r="J290" s="121" t="s">
        <v>1948</v>
      </c>
      <c r="K290" s="192" t="s">
        <v>63</v>
      </c>
      <c r="L290" s="192" t="s">
        <v>64</v>
      </c>
      <c r="M290" s="143" t="s">
        <v>5</v>
      </c>
      <c r="N290" s="192" t="s">
        <v>429</v>
      </c>
      <c r="O290" s="192" t="s">
        <v>66</v>
      </c>
      <c r="P290" s="192" t="s">
        <v>67</v>
      </c>
      <c r="Q290" s="145"/>
      <c r="R290" s="145">
        <v>46073</v>
      </c>
      <c r="S290" s="192"/>
    </row>
    <row r="291" spans="1:19" ht="129.6" customHeight="1" x14ac:dyDescent="0.25">
      <c r="A291" s="197" t="str">
        <f t="shared" si="8"/>
        <v>INC20260211290</v>
      </c>
      <c r="B291" s="199">
        <v>46064.386805555601</v>
      </c>
      <c r="C291" s="192" t="s">
        <v>37</v>
      </c>
      <c r="D291" s="194" t="s">
        <v>38</v>
      </c>
      <c r="E291" s="192" t="s">
        <v>39</v>
      </c>
      <c r="F291" s="192" t="s">
        <v>40</v>
      </c>
      <c r="G291" s="192" t="s">
        <v>41</v>
      </c>
      <c r="H291" s="192" t="s">
        <v>42</v>
      </c>
      <c r="I291" s="192" t="s">
        <v>43</v>
      </c>
      <c r="J291" s="195" t="s">
        <v>1949</v>
      </c>
      <c r="K291" s="192" t="s">
        <v>44</v>
      </c>
      <c r="L291" s="192" t="s">
        <v>45</v>
      </c>
      <c r="M291" s="143" t="s">
        <v>5</v>
      </c>
      <c r="N291" s="198" t="s">
        <v>458</v>
      </c>
      <c r="O291" s="192"/>
      <c r="P291" s="144" t="s">
        <v>47</v>
      </c>
      <c r="Q291" s="145">
        <v>46064</v>
      </c>
      <c r="R291" s="145">
        <v>46073</v>
      </c>
      <c r="S291" s="192"/>
    </row>
    <row r="292" spans="1:19" ht="147" customHeight="1" x14ac:dyDescent="0.25">
      <c r="A292" s="197" t="str">
        <f t="shared" si="8"/>
        <v>INC20260211291</v>
      </c>
      <c r="B292" s="199">
        <v>46064.618055555598</v>
      </c>
      <c r="C292" s="192" t="s">
        <v>37</v>
      </c>
      <c r="D292" s="194" t="s">
        <v>49</v>
      </c>
      <c r="E292" s="192" t="s">
        <v>50</v>
      </c>
      <c r="F292" s="192" t="s">
        <v>40</v>
      </c>
      <c r="G292" s="192" t="s">
        <v>51</v>
      </c>
      <c r="H292" s="192" t="s">
        <v>92</v>
      </c>
      <c r="I292" s="192" t="s">
        <v>93</v>
      </c>
      <c r="J292" s="195" t="s">
        <v>1950</v>
      </c>
      <c r="K292" s="192" t="s">
        <v>54</v>
      </c>
      <c r="L292" s="192" t="s">
        <v>55</v>
      </c>
      <c r="M292" s="146" t="s">
        <v>5</v>
      </c>
      <c r="N292" s="192" t="s">
        <v>459</v>
      </c>
      <c r="O292" s="192" t="s">
        <v>95</v>
      </c>
      <c r="P292" s="192" t="s">
        <v>96</v>
      </c>
      <c r="Q292" s="145">
        <v>46066</v>
      </c>
      <c r="R292" s="145">
        <v>46073</v>
      </c>
      <c r="S292" s="192"/>
    </row>
    <row r="293" spans="1:19" ht="147" customHeight="1" x14ac:dyDescent="0.25">
      <c r="A293" s="197" t="str">
        <f t="shared" si="8"/>
        <v>INC20260211292</v>
      </c>
      <c r="B293" s="199">
        <v>46064.619444444397</v>
      </c>
      <c r="C293" s="192" t="s">
        <v>37</v>
      </c>
      <c r="D293" s="194" t="s">
        <v>49</v>
      </c>
      <c r="E293" s="192" t="s">
        <v>50</v>
      </c>
      <c r="F293" s="192" t="s">
        <v>40</v>
      </c>
      <c r="G293" s="192" t="s">
        <v>51</v>
      </c>
      <c r="H293" s="192" t="s">
        <v>92</v>
      </c>
      <c r="I293" s="192" t="s">
        <v>93</v>
      </c>
      <c r="J293" s="195" t="s">
        <v>1951</v>
      </c>
      <c r="K293" s="192" t="s">
        <v>54</v>
      </c>
      <c r="L293" s="192" t="s">
        <v>55</v>
      </c>
      <c r="M293" s="146" t="s">
        <v>5</v>
      </c>
      <c r="N293" s="192" t="s">
        <v>459</v>
      </c>
      <c r="O293" s="192" t="s">
        <v>95</v>
      </c>
      <c r="P293" s="192" t="s">
        <v>96</v>
      </c>
      <c r="Q293" s="145">
        <v>46066</v>
      </c>
      <c r="R293" s="145">
        <v>46073</v>
      </c>
      <c r="S293" s="192"/>
    </row>
    <row r="294" spans="1:19" ht="200.4" customHeight="1" x14ac:dyDescent="0.25">
      <c r="A294" s="197" t="str">
        <f t="shared" si="8"/>
        <v>INC20260211293</v>
      </c>
      <c r="B294" s="199">
        <v>46064.710416666698</v>
      </c>
      <c r="C294" s="192" t="s">
        <v>37</v>
      </c>
      <c r="D294" s="194" t="s">
        <v>57</v>
      </c>
      <c r="E294" s="192" t="s">
        <v>397</v>
      </c>
      <c r="F294" s="192" t="s">
        <v>59</v>
      </c>
      <c r="G294" s="192" t="s">
        <v>60</v>
      </c>
      <c r="H294" s="192" t="s">
        <v>61</v>
      </c>
      <c r="I294" s="192" t="s">
        <v>62</v>
      </c>
      <c r="J294" s="121" t="s">
        <v>1952</v>
      </c>
      <c r="K294" s="192" t="s">
        <v>63</v>
      </c>
      <c r="L294" s="192" t="s">
        <v>64</v>
      </c>
      <c r="M294" s="143" t="s">
        <v>5</v>
      </c>
      <c r="N294" s="192" t="s">
        <v>460</v>
      </c>
      <c r="O294" s="192" t="s">
        <v>66</v>
      </c>
      <c r="P294" s="192" t="s">
        <v>67</v>
      </c>
      <c r="Q294" s="145"/>
      <c r="R294" s="145">
        <v>46073</v>
      </c>
      <c r="S294" s="192"/>
    </row>
    <row r="295" spans="1:19" ht="128.4" customHeight="1" x14ac:dyDescent="0.25">
      <c r="A295" s="197" t="str">
        <f t="shared" si="8"/>
        <v>INC20260211294</v>
      </c>
      <c r="B295" s="199">
        <v>46064.879166666702</v>
      </c>
      <c r="C295" s="192" t="s">
        <v>37</v>
      </c>
      <c r="D295" s="194" t="s">
        <v>461</v>
      </c>
      <c r="E295" s="192" t="s">
        <v>50</v>
      </c>
      <c r="F295" s="192" t="s">
        <v>40</v>
      </c>
      <c r="G295" s="192" t="s">
        <v>51</v>
      </c>
      <c r="H295" s="192" t="s">
        <v>92</v>
      </c>
      <c r="I295" s="192" t="s">
        <v>403</v>
      </c>
      <c r="J295" s="195" t="s">
        <v>1953</v>
      </c>
      <c r="K295" s="192" t="s">
        <v>54</v>
      </c>
      <c r="L295" s="192" t="s">
        <v>55</v>
      </c>
      <c r="M295" s="146" t="s">
        <v>5</v>
      </c>
      <c r="N295" s="192" t="s">
        <v>462</v>
      </c>
      <c r="O295" s="192"/>
      <c r="P295" s="192"/>
      <c r="Q295" s="145"/>
      <c r="R295" s="145">
        <v>46073</v>
      </c>
      <c r="S295" s="192"/>
    </row>
    <row r="296" spans="1:19" ht="135" customHeight="1" x14ac:dyDescent="0.25">
      <c r="A296" s="197" t="str">
        <f t="shared" si="8"/>
        <v>INC20260212295</v>
      </c>
      <c r="B296" s="199">
        <v>46065.356249999997</v>
      </c>
      <c r="C296" s="192" t="s">
        <v>37</v>
      </c>
      <c r="D296" s="194" t="s">
        <v>38</v>
      </c>
      <c r="E296" s="192" t="s">
        <v>39</v>
      </c>
      <c r="F296" s="192" t="s">
        <v>40</v>
      </c>
      <c r="G296" s="192" t="s">
        <v>41</v>
      </c>
      <c r="H296" s="192" t="s">
        <v>42</v>
      </c>
      <c r="I296" s="192" t="s">
        <v>43</v>
      </c>
      <c r="J296" s="195" t="s">
        <v>1954</v>
      </c>
      <c r="K296" s="192" t="s">
        <v>44</v>
      </c>
      <c r="L296" s="192" t="s">
        <v>45</v>
      </c>
      <c r="M296" s="143" t="s">
        <v>5</v>
      </c>
      <c r="N296" s="198" t="s">
        <v>463</v>
      </c>
      <c r="O296" s="192"/>
      <c r="P296" s="144" t="s">
        <v>47</v>
      </c>
      <c r="Q296" s="145">
        <v>46065</v>
      </c>
      <c r="R296" s="145">
        <v>46073</v>
      </c>
      <c r="S296" s="192"/>
    </row>
    <row r="297" spans="1:19" ht="128.4" customHeight="1" x14ac:dyDescent="0.25">
      <c r="A297" s="197" t="str">
        <f t="shared" si="8"/>
        <v>INC20260212296</v>
      </c>
      <c r="B297" s="199">
        <v>46065.6875</v>
      </c>
      <c r="C297" s="192" t="s">
        <v>37</v>
      </c>
      <c r="D297" s="194" t="s">
        <v>57</v>
      </c>
      <c r="E297" s="192" t="s">
        <v>74</v>
      </c>
      <c r="F297" s="192" t="s">
        <v>59</v>
      </c>
      <c r="G297" s="192" t="s">
        <v>60</v>
      </c>
      <c r="H297" s="192" t="s">
        <v>61</v>
      </c>
      <c r="I297" s="192" t="s">
        <v>62</v>
      </c>
      <c r="J297" s="121" t="s">
        <v>1955</v>
      </c>
      <c r="K297" s="192" t="s">
        <v>63</v>
      </c>
      <c r="L297" s="192" t="s">
        <v>64</v>
      </c>
      <c r="M297" s="143" t="s">
        <v>5</v>
      </c>
      <c r="N297" s="192" t="s">
        <v>464</v>
      </c>
      <c r="O297" s="192" t="s">
        <v>66</v>
      </c>
      <c r="P297" s="192" t="s">
        <v>67</v>
      </c>
      <c r="Q297" s="145">
        <v>46079</v>
      </c>
      <c r="R297" s="145">
        <v>46073</v>
      </c>
      <c r="S297" s="192"/>
    </row>
    <row r="298" spans="1:19" ht="130.80000000000001" customHeight="1" x14ac:dyDescent="0.25">
      <c r="A298" s="197" t="str">
        <f t="shared" si="8"/>
        <v>INC20260213297</v>
      </c>
      <c r="B298" s="199">
        <v>46066.041666666701</v>
      </c>
      <c r="C298" s="192" t="s">
        <v>37</v>
      </c>
      <c r="D298" s="194" t="s">
        <v>465</v>
      </c>
      <c r="E298" s="192" t="s">
        <v>50</v>
      </c>
      <c r="F298" s="192" t="s">
        <v>40</v>
      </c>
      <c r="G298" s="192" t="s">
        <v>51</v>
      </c>
      <c r="H298" s="192" t="s">
        <v>92</v>
      </c>
      <c r="I298" s="192" t="s">
        <v>403</v>
      </c>
      <c r="J298" s="195" t="s">
        <v>1956</v>
      </c>
      <c r="K298" s="192" t="s">
        <v>54</v>
      </c>
      <c r="L298" s="192" t="s">
        <v>55</v>
      </c>
      <c r="M298" s="146" t="s">
        <v>5</v>
      </c>
      <c r="N298" s="192" t="s">
        <v>466</v>
      </c>
      <c r="O298" s="192"/>
      <c r="P298" s="192"/>
      <c r="Q298" s="145">
        <v>46066</v>
      </c>
      <c r="R298" s="145">
        <v>46073</v>
      </c>
      <c r="S298" s="192"/>
    </row>
    <row r="299" spans="1:19" ht="123.6" customHeight="1" x14ac:dyDescent="0.25">
      <c r="A299" s="197" t="str">
        <f t="shared" si="8"/>
        <v>INC20260213298</v>
      </c>
      <c r="B299" s="199">
        <v>46066.35</v>
      </c>
      <c r="C299" s="192" t="s">
        <v>37</v>
      </c>
      <c r="D299" s="194" t="s">
        <v>38</v>
      </c>
      <c r="E299" s="192" t="s">
        <v>39</v>
      </c>
      <c r="F299" s="192" t="s">
        <v>40</v>
      </c>
      <c r="G299" s="192" t="s">
        <v>41</v>
      </c>
      <c r="H299" s="192" t="s">
        <v>42</v>
      </c>
      <c r="I299" s="192" t="s">
        <v>43</v>
      </c>
      <c r="J299" s="195" t="s">
        <v>1957</v>
      </c>
      <c r="K299" s="192" t="s">
        <v>44</v>
      </c>
      <c r="L299" s="192" t="s">
        <v>45</v>
      </c>
      <c r="M299" s="143" t="s">
        <v>5</v>
      </c>
      <c r="N299" s="198" t="s">
        <v>467</v>
      </c>
      <c r="O299" s="192"/>
      <c r="P299" s="144" t="s">
        <v>47</v>
      </c>
      <c r="Q299" s="145">
        <v>46066</v>
      </c>
      <c r="R299" s="145">
        <v>46073</v>
      </c>
      <c r="S299" s="192"/>
    </row>
    <row r="300" spans="1:19" ht="120.6" customHeight="1" x14ac:dyDescent="0.25">
      <c r="A300" s="197" t="str">
        <f t="shared" ref="A300:A331" si="9">"INC"&amp;TEXT(B300,"yyyymmdd")&amp;TEXT(ROW(A300)-1,"000")</f>
        <v>INC20260202299</v>
      </c>
      <c r="B300" s="199">
        <v>46055.621527777803</v>
      </c>
      <c r="C300" s="192" t="s">
        <v>37</v>
      </c>
      <c r="D300" s="174" t="s">
        <v>1692</v>
      </c>
      <c r="E300" s="192" t="s">
        <v>50</v>
      </c>
      <c r="F300" s="192" t="s">
        <v>40</v>
      </c>
      <c r="G300" s="192" t="s">
        <v>51</v>
      </c>
      <c r="H300" s="192" t="s">
        <v>92</v>
      </c>
      <c r="I300" s="192" t="s">
        <v>403</v>
      </c>
      <c r="J300" s="195" t="s">
        <v>1958</v>
      </c>
      <c r="K300" s="192" t="s">
        <v>54</v>
      </c>
      <c r="L300" s="192" t="s">
        <v>55</v>
      </c>
      <c r="M300" s="146" t="s">
        <v>5</v>
      </c>
      <c r="N300" s="192" t="s">
        <v>468</v>
      </c>
      <c r="O300" s="192"/>
      <c r="P300" s="192"/>
      <c r="Q300" s="145">
        <v>46066</v>
      </c>
      <c r="R300" s="145">
        <v>46073</v>
      </c>
      <c r="S300" s="192"/>
    </row>
    <row r="301" spans="1:19" ht="111" customHeight="1" x14ac:dyDescent="0.25">
      <c r="A301" s="197" t="str">
        <f t="shared" si="9"/>
        <v>INC20260213300</v>
      </c>
      <c r="B301" s="199">
        <v>46066.633333333302</v>
      </c>
      <c r="C301" s="192" t="s">
        <v>37</v>
      </c>
      <c r="D301" s="194" t="s">
        <v>469</v>
      </c>
      <c r="E301" s="192" t="s">
        <v>470</v>
      </c>
      <c r="F301" s="192" t="s">
        <v>40</v>
      </c>
      <c r="G301" s="192" t="s">
        <v>99</v>
      </c>
      <c r="H301" s="192" t="s">
        <v>12</v>
      </c>
      <c r="I301" s="192" t="s">
        <v>471</v>
      </c>
      <c r="J301" s="195" t="s">
        <v>1959</v>
      </c>
      <c r="K301" s="192" t="s">
        <v>472</v>
      </c>
      <c r="L301" s="197" t="s">
        <v>473</v>
      </c>
      <c r="M301" s="146" t="s">
        <v>5</v>
      </c>
      <c r="N301" s="192" t="s">
        <v>474</v>
      </c>
      <c r="O301" s="192"/>
      <c r="P301" s="192"/>
      <c r="Q301" s="145">
        <v>46071</v>
      </c>
      <c r="R301" s="145">
        <v>46073</v>
      </c>
      <c r="S301" s="192"/>
    </row>
    <row r="302" spans="1:19" ht="117.6" customHeight="1" x14ac:dyDescent="0.25">
      <c r="A302" s="197" t="str">
        <f t="shared" si="9"/>
        <v>INC20260213301</v>
      </c>
      <c r="B302" s="199">
        <v>46066.668749999997</v>
      </c>
      <c r="C302" s="192" t="s">
        <v>37</v>
      </c>
      <c r="D302" s="194" t="s">
        <v>129</v>
      </c>
      <c r="E302" s="192" t="s">
        <v>50</v>
      </c>
      <c r="F302" s="192" t="s">
        <v>40</v>
      </c>
      <c r="G302" s="192" t="s">
        <v>51</v>
      </c>
      <c r="H302" s="192" t="s">
        <v>52</v>
      </c>
      <c r="I302" s="192" t="s">
        <v>53</v>
      </c>
      <c r="J302" s="195" t="s">
        <v>1960</v>
      </c>
      <c r="K302" s="192" t="s">
        <v>54</v>
      </c>
      <c r="L302" s="192" t="s">
        <v>55</v>
      </c>
      <c r="M302" s="146" t="s">
        <v>5</v>
      </c>
      <c r="N302" s="192" t="s">
        <v>475</v>
      </c>
      <c r="O302" s="192"/>
      <c r="P302" s="192"/>
      <c r="Q302" s="145">
        <v>46066</v>
      </c>
      <c r="R302" s="145">
        <v>46073</v>
      </c>
      <c r="S302" s="192"/>
    </row>
    <row r="303" spans="1:19" ht="137.4" customHeight="1" x14ac:dyDescent="0.25">
      <c r="A303" s="197" t="str">
        <f t="shared" si="9"/>
        <v>INC20260213302</v>
      </c>
      <c r="B303" s="199">
        <v>46066.699305555601</v>
      </c>
      <c r="C303" s="192" t="s">
        <v>37</v>
      </c>
      <c r="D303" s="194" t="s">
        <v>129</v>
      </c>
      <c r="E303" s="192" t="s">
        <v>50</v>
      </c>
      <c r="F303" s="192" t="s">
        <v>40</v>
      </c>
      <c r="G303" s="192" t="s">
        <v>51</v>
      </c>
      <c r="H303" s="192" t="s">
        <v>92</v>
      </c>
      <c r="I303" s="192" t="s">
        <v>93</v>
      </c>
      <c r="J303" s="195" t="s">
        <v>1961</v>
      </c>
      <c r="K303" s="192" t="s">
        <v>54</v>
      </c>
      <c r="L303" s="192" t="s">
        <v>55</v>
      </c>
      <c r="M303" s="146" t="s">
        <v>5</v>
      </c>
      <c r="N303" s="192" t="s">
        <v>476</v>
      </c>
      <c r="O303" s="192" t="s">
        <v>95</v>
      </c>
      <c r="P303" s="192" t="s">
        <v>96</v>
      </c>
      <c r="Q303" s="145">
        <v>46071</v>
      </c>
      <c r="R303" s="145">
        <v>46073</v>
      </c>
      <c r="S303" s="192"/>
    </row>
    <row r="304" spans="1:19" ht="125.4" customHeight="1" x14ac:dyDescent="0.25">
      <c r="A304" s="197" t="str">
        <f t="shared" si="9"/>
        <v>INC20260215303</v>
      </c>
      <c r="B304" s="199">
        <v>46068.588888888902</v>
      </c>
      <c r="C304" s="192" t="s">
        <v>37</v>
      </c>
      <c r="D304" s="194" t="s">
        <v>1693</v>
      </c>
      <c r="E304" s="192" t="s">
        <v>50</v>
      </c>
      <c r="F304" s="192" t="s">
        <v>40</v>
      </c>
      <c r="G304" s="192" t="s">
        <v>51</v>
      </c>
      <c r="H304" s="192" t="s">
        <v>92</v>
      </c>
      <c r="I304" s="192" t="s">
        <v>403</v>
      </c>
      <c r="J304" s="195" t="s">
        <v>1962</v>
      </c>
      <c r="K304" s="192" t="s">
        <v>54</v>
      </c>
      <c r="L304" s="192" t="s">
        <v>55</v>
      </c>
      <c r="M304" s="146" t="s">
        <v>5</v>
      </c>
      <c r="N304" s="192" t="s">
        <v>477</v>
      </c>
      <c r="O304" s="192"/>
      <c r="P304" s="192"/>
      <c r="Q304" s="145">
        <v>46068</v>
      </c>
      <c r="R304" s="145">
        <v>46073</v>
      </c>
      <c r="S304" s="192"/>
    </row>
    <row r="305" spans="1:19" ht="141" customHeight="1" x14ac:dyDescent="0.25">
      <c r="A305" s="197" t="str">
        <f t="shared" si="9"/>
        <v>INC20260216304</v>
      </c>
      <c r="B305" s="199">
        <v>46069.390277777798</v>
      </c>
      <c r="C305" s="192" t="s">
        <v>37</v>
      </c>
      <c r="D305" s="194" t="s">
        <v>91</v>
      </c>
      <c r="E305" s="192" t="s">
        <v>50</v>
      </c>
      <c r="F305" s="192" t="s">
        <v>40</v>
      </c>
      <c r="G305" s="192" t="s">
        <v>51</v>
      </c>
      <c r="H305" s="192" t="s">
        <v>92</v>
      </c>
      <c r="I305" s="192" t="s">
        <v>403</v>
      </c>
      <c r="J305" s="195" t="s">
        <v>1963</v>
      </c>
      <c r="K305" s="192" t="s">
        <v>54</v>
      </c>
      <c r="L305" s="192" t="s">
        <v>55</v>
      </c>
      <c r="M305" s="146" t="s">
        <v>5</v>
      </c>
      <c r="N305" s="192" t="s">
        <v>477</v>
      </c>
      <c r="O305" s="192"/>
      <c r="P305" s="192"/>
      <c r="Q305" s="145">
        <v>46068</v>
      </c>
      <c r="R305" s="145">
        <v>46073</v>
      </c>
      <c r="S305" s="192"/>
    </row>
    <row r="306" spans="1:19" ht="128.4" customHeight="1" x14ac:dyDescent="0.25">
      <c r="A306" s="197" t="str">
        <f t="shared" si="9"/>
        <v>INC20260216305</v>
      </c>
      <c r="B306" s="199">
        <v>46069.436111111099</v>
      </c>
      <c r="C306" s="192" t="s">
        <v>37</v>
      </c>
      <c r="D306" s="194" t="s">
        <v>38</v>
      </c>
      <c r="E306" s="192" t="s">
        <v>39</v>
      </c>
      <c r="F306" s="192" t="s">
        <v>40</v>
      </c>
      <c r="G306" s="192" t="s">
        <v>41</v>
      </c>
      <c r="H306" s="192" t="s">
        <v>42</v>
      </c>
      <c r="I306" s="192" t="s">
        <v>43</v>
      </c>
      <c r="J306" s="195" t="s">
        <v>1964</v>
      </c>
      <c r="K306" s="192" t="s">
        <v>44</v>
      </c>
      <c r="L306" s="192" t="s">
        <v>45</v>
      </c>
      <c r="M306" s="143" t="s">
        <v>5</v>
      </c>
      <c r="N306" s="198" t="s">
        <v>478</v>
      </c>
      <c r="O306" s="192"/>
      <c r="P306" s="144" t="s">
        <v>47</v>
      </c>
      <c r="Q306" s="145">
        <v>46071</v>
      </c>
      <c r="R306" s="145">
        <v>46073</v>
      </c>
      <c r="S306" s="192"/>
    </row>
    <row r="307" spans="1:19" ht="148.80000000000001" customHeight="1" x14ac:dyDescent="0.25">
      <c r="A307" s="197" t="str">
        <f t="shared" si="9"/>
        <v>INC20260216306</v>
      </c>
      <c r="B307" s="199">
        <v>46069.656944444403</v>
      </c>
      <c r="C307" s="192" t="s">
        <v>37</v>
      </c>
      <c r="D307" s="194" t="s">
        <v>479</v>
      </c>
      <c r="E307" s="192" t="s">
        <v>50</v>
      </c>
      <c r="F307" s="192" t="s">
        <v>40</v>
      </c>
      <c r="G307" s="192" t="s">
        <v>51</v>
      </c>
      <c r="H307" s="192" t="s">
        <v>92</v>
      </c>
      <c r="I307" s="192" t="s">
        <v>403</v>
      </c>
      <c r="J307" s="195" t="s">
        <v>1965</v>
      </c>
      <c r="K307" s="192" t="s">
        <v>54</v>
      </c>
      <c r="L307" s="192" t="s">
        <v>55</v>
      </c>
      <c r="M307" s="146" t="s">
        <v>5</v>
      </c>
      <c r="N307" s="192" t="s">
        <v>480</v>
      </c>
      <c r="O307" s="192"/>
      <c r="P307" s="192"/>
      <c r="Q307" s="145">
        <v>46069</v>
      </c>
      <c r="R307" s="145">
        <v>46073</v>
      </c>
      <c r="S307" s="192"/>
    </row>
    <row r="308" spans="1:19" ht="116.4" customHeight="1" x14ac:dyDescent="0.25">
      <c r="A308" s="197" t="str">
        <f t="shared" si="9"/>
        <v>INC20260217307</v>
      </c>
      <c r="B308" s="199">
        <v>46070.556250000001</v>
      </c>
      <c r="C308" s="192" t="s">
        <v>37</v>
      </c>
      <c r="D308" s="194" t="s">
        <v>481</v>
      </c>
      <c r="E308" s="192" t="s">
        <v>69</v>
      </c>
      <c r="F308" s="192" t="s">
        <v>40</v>
      </c>
      <c r="G308" s="192" t="s">
        <v>60</v>
      </c>
      <c r="H308" s="192" t="s">
        <v>79</v>
      </c>
      <c r="I308" s="192" t="s">
        <v>84</v>
      </c>
      <c r="J308" s="121" t="s">
        <v>1966</v>
      </c>
      <c r="K308" s="192" t="s">
        <v>151</v>
      </c>
      <c r="L308" s="192" t="s">
        <v>81</v>
      </c>
      <c r="M308" s="146" t="s">
        <v>5</v>
      </c>
      <c r="N308" s="193" t="s">
        <v>482</v>
      </c>
      <c r="O308" s="192" t="s">
        <v>86</v>
      </c>
      <c r="P308" s="192" t="s">
        <v>87</v>
      </c>
      <c r="Q308" s="145">
        <v>46071</v>
      </c>
      <c r="R308" s="145">
        <v>46073</v>
      </c>
      <c r="S308" s="192"/>
    </row>
    <row r="309" spans="1:19" ht="124.8" customHeight="1" x14ac:dyDescent="0.25">
      <c r="A309" s="197" t="str">
        <f t="shared" si="9"/>
        <v>INC20260218308</v>
      </c>
      <c r="B309" s="199">
        <v>46071.324999999997</v>
      </c>
      <c r="C309" s="192" t="s">
        <v>37</v>
      </c>
      <c r="D309" s="194" t="s">
        <v>483</v>
      </c>
      <c r="E309" s="192" t="s">
        <v>69</v>
      </c>
      <c r="F309" s="192" t="s">
        <v>40</v>
      </c>
      <c r="G309" s="192" t="s">
        <v>60</v>
      </c>
      <c r="H309" s="192" t="s">
        <v>79</v>
      </c>
      <c r="I309" s="192" t="s">
        <v>84</v>
      </c>
      <c r="J309" s="121" t="s">
        <v>1967</v>
      </c>
      <c r="K309" s="192" t="s">
        <v>151</v>
      </c>
      <c r="L309" s="192" t="s">
        <v>81</v>
      </c>
      <c r="M309" s="146" t="s">
        <v>5</v>
      </c>
      <c r="N309" s="193" t="s">
        <v>484</v>
      </c>
      <c r="O309" s="192" t="s">
        <v>86</v>
      </c>
      <c r="P309" s="192" t="s">
        <v>87</v>
      </c>
      <c r="Q309" s="145">
        <v>46071</v>
      </c>
      <c r="R309" s="145">
        <v>46073</v>
      </c>
      <c r="S309" s="192"/>
    </row>
    <row r="310" spans="1:19" ht="132.6" customHeight="1" x14ac:dyDescent="0.25">
      <c r="A310" s="197" t="str">
        <f t="shared" si="9"/>
        <v>INC20260218309</v>
      </c>
      <c r="B310" s="199">
        <v>46071.4243055556</v>
      </c>
      <c r="C310" s="192" t="s">
        <v>37</v>
      </c>
      <c r="D310" s="194" t="s">
        <v>38</v>
      </c>
      <c r="E310" s="192" t="s">
        <v>39</v>
      </c>
      <c r="F310" s="192" t="s">
        <v>40</v>
      </c>
      <c r="G310" s="192" t="s">
        <v>41</v>
      </c>
      <c r="H310" s="192" t="s">
        <v>42</v>
      </c>
      <c r="I310" s="192" t="s">
        <v>43</v>
      </c>
      <c r="J310" s="195" t="s">
        <v>1968</v>
      </c>
      <c r="K310" s="192" t="s">
        <v>44</v>
      </c>
      <c r="L310" s="192" t="s">
        <v>45</v>
      </c>
      <c r="M310" s="143" t="s">
        <v>5</v>
      </c>
      <c r="N310" s="198" t="s">
        <v>485</v>
      </c>
      <c r="O310" s="192"/>
      <c r="P310" s="144" t="s">
        <v>47</v>
      </c>
      <c r="Q310" s="145">
        <v>46071</v>
      </c>
      <c r="R310" s="145">
        <v>46073</v>
      </c>
      <c r="S310" s="192"/>
    </row>
    <row r="311" spans="1:19" ht="127.2" customHeight="1" x14ac:dyDescent="0.25">
      <c r="A311" s="197" t="str">
        <f t="shared" si="9"/>
        <v>INC20260210310</v>
      </c>
      <c r="B311" s="175">
        <v>46063.7055555556</v>
      </c>
      <c r="C311" s="192" t="s">
        <v>77</v>
      </c>
      <c r="D311" s="194" t="s">
        <v>78</v>
      </c>
      <c r="E311" s="192" t="s">
        <v>486</v>
      </c>
      <c r="F311" s="192" t="s">
        <v>40</v>
      </c>
      <c r="G311" s="192" t="s">
        <v>41</v>
      </c>
      <c r="H311" s="192" t="s">
        <v>79</v>
      </c>
      <c r="I311" s="192" t="s">
        <v>84</v>
      </c>
      <c r="J311" s="121" t="s">
        <v>487</v>
      </c>
      <c r="K311" s="192" t="s">
        <v>44</v>
      </c>
      <c r="L311" s="192" t="s">
        <v>81</v>
      </c>
      <c r="M311" s="146" t="s">
        <v>5</v>
      </c>
      <c r="N311" s="176" t="s">
        <v>488</v>
      </c>
      <c r="O311" s="192" t="s">
        <v>86</v>
      </c>
      <c r="P311" s="192" t="s">
        <v>87</v>
      </c>
      <c r="Q311" s="175">
        <v>46063.707638888904</v>
      </c>
      <c r="R311" s="145">
        <v>46073</v>
      </c>
      <c r="S311" s="192"/>
    </row>
    <row r="312" spans="1:19" ht="138.6" customHeight="1" x14ac:dyDescent="0.25">
      <c r="A312" s="197" t="str">
        <f t="shared" si="9"/>
        <v>INC20260210311</v>
      </c>
      <c r="B312" s="175">
        <v>46063.8881944444</v>
      </c>
      <c r="C312" s="192" t="s">
        <v>77</v>
      </c>
      <c r="D312" s="194" t="s">
        <v>78</v>
      </c>
      <c r="E312" s="192" t="s">
        <v>397</v>
      </c>
      <c r="F312" s="192" t="s">
        <v>40</v>
      </c>
      <c r="G312" s="192" t="s">
        <v>60</v>
      </c>
      <c r="H312" s="192" t="s">
        <v>79</v>
      </c>
      <c r="I312" s="192" t="s">
        <v>84</v>
      </c>
      <c r="J312" s="121" t="s">
        <v>1969</v>
      </c>
      <c r="K312" s="192" t="s">
        <v>110</v>
      </c>
      <c r="L312" s="192" t="s">
        <v>81</v>
      </c>
      <c r="M312" s="146" t="s">
        <v>5</v>
      </c>
      <c r="N312" s="176" t="s">
        <v>489</v>
      </c>
      <c r="O312" s="192" t="s">
        <v>86</v>
      </c>
      <c r="P312" s="192" t="s">
        <v>87</v>
      </c>
      <c r="Q312" s="175">
        <v>46063.847222222197</v>
      </c>
      <c r="R312" s="145">
        <v>46073</v>
      </c>
      <c r="S312" s="192"/>
    </row>
    <row r="313" spans="1:19" ht="123.6" customHeight="1" x14ac:dyDescent="0.25">
      <c r="A313" s="197" t="str">
        <f t="shared" si="9"/>
        <v>INC20260210312</v>
      </c>
      <c r="B313" s="175">
        <v>46063.953472222202</v>
      </c>
      <c r="C313" s="192" t="s">
        <v>77</v>
      </c>
      <c r="D313" s="194" t="s">
        <v>78</v>
      </c>
      <c r="E313" s="192" t="s">
        <v>486</v>
      </c>
      <c r="F313" s="192" t="s">
        <v>40</v>
      </c>
      <c r="G313" s="192" t="s">
        <v>41</v>
      </c>
      <c r="H313" s="192" t="s">
        <v>79</v>
      </c>
      <c r="I313" s="192" t="s">
        <v>84</v>
      </c>
      <c r="J313" s="121" t="s">
        <v>1970</v>
      </c>
      <c r="K313" s="192" t="s">
        <v>44</v>
      </c>
      <c r="L313" s="192" t="s">
        <v>81</v>
      </c>
      <c r="M313" s="146" t="s">
        <v>5</v>
      </c>
      <c r="N313" s="176" t="s">
        <v>488</v>
      </c>
      <c r="O313" s="192" t="s">
        <v>86</v>
      </c>
      <c r="P313" s="192" t="s">
        <v>87</v>
      </c>
      <c r="Q313" s="175">
        <v>46063.707638888904</v>
      </c>
      <c r="R313" s="145">
        <v>46073</v>
      </c>
      <c r="S313" s="192"/>
    </row>
    <row r="314" spans="1:19" ht="123.6" customHeight="1" x14ac:dyDescent="0.25">
      <c r="A314" s="197" t="str">
        <f t="shared" si="9"/>
        <v>INC20260210313</v>
      </c>
      <c r="B314" s="175">
        <v>46063.84375</v>
      </c>
      <c r="C314" s="192" t="s">
        <v>77</v>
      </c>
      <c r="D314" s="194" t="s">
        <v>78</v>
      </c>
      <c r="E314" s="192" t="s">
        <v>69</v>
      </c>
      <c r="F314" s="192" t="s">
        <v>40</v>
      </c>
      <c r="G314" s="192" t="s">
        <v>41</v>
      </c>
      <c r="H314" s="192" t="s">
        <v>79</v>
      </c>
      <c r="I314" s="192" t="s">
        <v>84</v>
      </c>
      <c r="J314" s="121" t="s">
        <v>1971</v>
      </c>
      <c r="K314" s="192" t="s">
        <v>44</v>
      </c>
      <c r="L314" s="192" t="s">
        <v>81</v>
      </c>
      <c r="M314" s="146" t="s">
        <v>5</v>
      </c>
      <c r="N314" s="176" t="s">
        <v>490</v>
      </c>
      <c r="O314" s="192" t="s">
        <v>86</v>
      </c>
      <c r="P314" s="192" t="s">
        <v>87</v>
      </c>
      <c r="Q314" s="175">
        <v>46063.847222222197</v>
      </c>
      <c r="R314" s="145">
        <v>46073</v>
      </c>
      <c r="S314" s="192"/>
    </row>
    <row r="315" spans="1:19" ht="123.6" customHeight="1" x14ac:dyDescent="0.25">
      <c r="A315" s="197" t="str">
        <f t="shared" si="9"/>
        <v>INC20260210314</v>
      </c>
      <c r="B315" s="175">
        <v>46063.8881944444</v>
      </c>
      <c r="C315" s="192" t="s">
        <v>77</v>
      </c>
      <c r="D315" s="194" t="s">
        <v>78</v>
      </c>
      <c r="E315" s="192" t="s">
        <v>397</v>
      </c>
      <c r="F315" s="192" t="s">
        <v>40</v>
      </c>
      <c r="G315" s="192" t="s">
        <v>60</v>
      </c>
      <c r="H315" s="192" t="s">
        <v>79</v>
      </c>
      <c r="I315" s="192" t="s">
        <v>84</v>
      </c>
      <c r="J315" s="121" t="s">
        <v>1969</v>
      </c>
      <c r="K315" s="192" t="s">
        <v>110</v>
      </c>
      <c r="L315" s="192" t="s">
        <v>81</v>
      </c>
      <c r="M315" s="146" t="s">
        <v>5</v>
      </c>
      <c r="N315" s="176" t="s">
        <v>489</v>
      </c>
      <c r="O315" s="192" t="s">
        <v>86</v>
      </c>
      <c r="P315" s="192" t="s">
        <v>87</v>
      </c>
      <c r="Q315" s="175">
        <v>46063.898611111101</v>
      </c>
      <c r="R315" s="145">
        <v>46073</v>
      </c>
      <c r="S315" s="192"/>
    </row>
    <row r="316" spans="1:19" ht="123.6" customHeight="1" x14ac:dyDescent="0.25">
      <c r="A316" s="197" t="str">
        <f t="shared" si="9"/>
        <v>INC20260210315</v>
      </c>
      <c r="B316" s="175">
        <v>46063.953472222202</v>
      </c>
      <c r="C316" s="192" t="s">
        <v>77</v>
      </c>
      <c r="D316" s="194" t="s">
        <v>78</v>
      </c>
      <c r="E316" s="192" t="s">
        <v>434</v>
      </c>
      <c r="F316" s="192" t="s">
        <v>40</v>
      </c>
      <c r="G316" s="192" t="s">
        <v>41</v>
      </c>
      <c r="H316" s="192" t="s">
        <v>79</v>
      </c>
      <c r="I316" s="192" t="s">
        <v>84</v>
      </c>
      <c r="J316" s="121" t="s">
        <v>1972</v>
      </c>
      <c r="K316" s="192" t="s">
        <v>44</v>
      </c>
      <c r="L316" s="192" t="s">
        <v>81</v>
      </c>
      <c r="M316" s="146" t="s">
        <v>5</v>
      </c>
      <c r="N316" s="176" t="s">
        <v>491</v>
      </c>
      <c r="O316" s="192" t="s">
        <v>86</v>
      </c>
      <c r="P316" s="192" t="s">
        <v>87</v>
      </c>
      <c r="Q316" s="175">
        <v>46063.9555555556</v>
      </c>
      <c r="R316" s="145">
        <v>46073</v>
      </c>
      <c r="S316" s="192"/>
    </row>
    <row r="317" spans="1:19" ht="123.6" customHeight="1" x14ac:dyDescent="0.25">
      <c r="A317" s="197" t="str">
        <f t="shared" si="9"/>
        <v>INC20260210316</v>
      </c>
      <c r="B317" s="175">
        <v>46063.9597222222</v>
      </c>
      <c r="C317" s="192" t="s">
        <v>77</v>
      </c>
      <c r="D317" s="194" t="s">
        <v>78</v>
      </c>
      <c r="E317" s="192" t="s">
        <v>69</v>
      </c>
      <c r="F317" s="192" t="s">
        <v>40</v>
      </c>
      <c r="G317" s="192" t="s">
        <v>41</v>
      </c>
      <c r="H317" s="192" t="s">
        <v>79</v>
      </c>
      <c r="I317" s="192" t="s">
        <v>84</v>
      </c>
      <c r="J317" s="121" t="s">
        <v>1973</v>
      </c>
      <c r="K317" s="192" t="s">
        <v>44</v>
      </c>
      <c r="L317" s="192" t="s">
        <v>81</v>
      </c>
      <c r="M317" s="146" t="s">
        <v>5</v>
      </c>
      <c r="N317" s="176" t="s">
        <v>492</v>
      </c>
      <c r="O317" s="192" t="s">
        <v>86</v>
      </c>
      <c r="P317" s="192" t="s">
        <v>87</v>
      </c>
      <c r="Q317" s="175">
        <v>46063.963888888902</v>
      </c>
      <c r="R317" s="145">
        <v>46073</v>
      </c>
      <c r="S317" s="192"/>
    </row>
    <row r="318" spans="1:19" ht="123.6" customHeight="1" x14ac:dyDescent="0.25">
      <c r="A318" s="197" t="str">
        <f t="shared" si="9"/>
        <v>INC20260211317</v>
      </c>
      <c r="B318" s="175">
        <v>46064.110416666699</v>
      </c>
      <c r="C318" s="192" t="s">
        <v>77</v>
      </c>
      <c r="D318" s="194" t="s">
        <v>78</v>
      </c>
      <c r="E318" s="192" t="s">
        <v>69</v>
      </c>
      <c r="F318" s="192" t="s">
        <v>40</v>
      </c>
      <c r="G318" s="192" t="s">
        <v>60</v>
      </c>
      <c r="H318" s="192" t="s">
        <v>79</v>
      </c>
      <c r="I318" s="192" t="s">
        <v>84</v>
      </c>
      <c r="J318" s="121" t="s">
        <v>1974</v>
      </c>
      <c r="K318" s="192" t="s">
        <v>63</v>
      </c>
      <c r="L318" s="192" t="s">
        <v>81</v>
      </c>
      <c r="M318" s="146" t="s">
        <v>5</v>
      </c>
      <c r="N318" s="176" t="s">
        <v>493</v>
      </c>
      <c r="O318" s="192" t="s">
        <v>86</v>
      </c>
      <c r="P318" s="192" t="s">
        <v>87</v>
      </c>
      <c r="Q318" s="175">
        <v>46064.145833333299</v>
      </c>
      <c r="R318" s="145">
        <v>46073</v>
      </c>
      <c r="S318" s="192"/>
    </row>
    <row r="319" spans="1:19" ht="123.6" customHeight="1" x14ac:dyDescent="0.25">
      <c r="A319" s="197" t="str">
        <f t="shared" si="9"/>
        <v>INC20260211318</v>
      </c>
      <c r="B319" s="175">
        <v>46064.438194444403</v>
      </c>
      <c r="C319" s="192" t="s">
        <v>77</v>
      </c>
      <c r="D319" s="194" t="s">
        <v>78</v>
      </c>
      <c r="E319" s="192" t="s">
        <v>434</v>
      </c>
      <c r="F319" s="192" t="s">
        <v>40</v>
      </c>
      <c r="G319" s="192" t="s">
        <v>41</v>
      </c>
      <c r="H319" s="192" t="s">
        <v>79</v>
      </c>
      <c r="I319" s="192" t="s">
        <v>80</v>
      </c>
      <c r="J319" s="121" t="s">
        <v>1975</v>
      </c>
      <c r="K319" s="192" t="s">
        <v>44</v>
      </c>
      <c r="L319" s="192" t="s">
        <v>81</v>
      </c>
      <c r="M319" s="146" t="s">
        <v>5</v>
      </c>
      <c r="N319" s="176" t="s">
        <v>494</v>
      </c>
      <c r="O319" s="197" t="s">
        <v>83</v>
      </c>
      <c r="P319" s="197" t="s">
        <v>1366</v>
      </c>
      <c r="Q319" s="177">
        <v>46064.459027777797</v>
      </c>
      <c r="R319" s="145">
        <v>46073</v>
      </c>
      <c r="S319" s="192"/>
    </row>
    <row r="320" spans="1:19" ht="123.6" customHeight="1" x14ac:dyDescent="0.25">
      <c r="A320" s="197" t="str">
        <f t="shared" si="9"/>
        <v>INC20260212319</v>
      </c>
      <c r="B320" s="175">
        <v>46065.154861111099</v>
      </c>
      <c r="C320" s="192" t="s">
        <v>77</v>
      </c>
      <c r="D320" s="194" t="s">
        <v>78</v>
      </c>
      <c r="E320" s="192" t="s">
        <v>397</v>
      </c>
      <c r="F320" s="192" t="s">
        <v>40</v>
      </c>
      <c r="G320" s="192" t="s">
        <v>60</v>
      </c>
      <c r="H320" s="192" t="s">
        <v>79</v>
      </c>
      <c r="I320" s="192" t="s">
        <v>84</v>
      </c>
      <c r="J320" s="121" t="s">
        <v>1976</v>
      </c>
      <c r="K320" s="192" t="s">
        <v>110</v>
      </c>
      <c r="L320" s="192" t="s">
        <v>81</v>
      </c>
      <c r="M320" s="146" t="s">
        <v>5</v>
      </c>
      <c r="N320" s="176" t="s">
        <v>495</v>
      </c>
      <c r="O320" s="192" t="s">
        <v>86</v>
      </c>
      <c r="P320" s="192" t="s">
        <v>87</v>
      </c>
      <c r="Q320" s="177">
        <v>46065.628472222197</v>
      </c>
      <c r="R320" s="145">
        <v>46073</v>
      </c>
      <c r="S320" s="192"/>
    </row>
    <row r="321" spans="1:19" ht="126.6" customHeight="1" x14ac:dyDescent="0.25">
      <c r="A321" s="197" t="str">
        <f t="shared" si="9"/>
        <v>INC20260212320</v>
      </c>
      <c r="B321" s="175">
        <v>46065.528472222199</v>
      </c>
      <c r="C321" s="192" t="s">
        <v>77</v>
      </c>
      <c r="D321" s="194" t="s">
        <v>78</v>
      </c>
      <c r="E321" s="192" t="s">
        <v>69</v>
      </c>
      <c r="F321" s="192" t="s">
        <v>40</v>
      </c>
      <c r="G321" s="192" t="s">
        <v>41</v>
      </c>
      <c r="H321" s="192" t="s">
        <v>79</v>
      </c>
      <c r="I321" s="192" t="s">
        <v>80</v>
      </c>
      <c r="J321" s="121" t="s">
        <v>1977</v>
      </c>
      <c r="K321" s="192" t="s">
        <v>44</v>
      </c>
      <c r="L321" s="192" t="s">
        <v>81</v>
      </c>
      <c r="M321" s="146" t="s">
        <v>5</v>
      </c>
      <c r="N321" s="176" t="s">
        <v>496</v>
      </c>
      <c r="O321" s="197" t="s">
        <v>83</v>
      </c>
      <c r="P321" s="197" t="s">
        <v>1366</v>
      </c>
      <c r="Q321" s="177">
        <v>46065</v>
      </c>
      <c r="R321" s="145">
        <v>46073</v>
      </c>
      <c r="S321" s="192"/>
    </row>
    <row r="322" spans="1:19" ht="133.19999999999999" customHeight="1" x14ac:dyDescent="0.25">
      <c r="A322" s="197" t="str">
        <f t="shared" si="9"/>
        <v>INC20260212321</v>
      </c>
      <c r="B322" s="175">
        <v>46065.634722222203</v>
      </c>
      <c r="C322" s="192" t="s">
        <v>77</v>
      </c>
      <c r="D322" s="194" t="s">
        <v>78</v>
      </c>
      <c r="E322" s="192" t="s">
        <v>69</v>
      </c>
      <c r="F322" s="192" t="s">
        <v>40</v>
      </c>
      <c r="G322" s="192" t="s">
        <v>41</v>
      </c>
      <c r="H322" s="192" t="s">
        <v>79</v>
      </c>
      <c r="I322" s="192" t="s">
        <v>80</v>
      </c>
      <c r="J322" s="121" t="s">
        <v>1978</v>
      </c>
      <c r="K322" s="192" t="s">
        <v>44</v>
      </c>
      <c r="L322" s="192" t="s">
        <v>81</v>
      </c>
      <c r="M322" s="146" t="s">
        <v>5</v>
      </c>
      <c r="N322" s="176" t="s">
        <v>497</v>
      </c>
      <c r="O322" s="197" t="s">
        <v>83</v>
      </c>
      <c r="P322" s="197" t="s">
        <v>1366</v>
      </c>
      <c r="Q322" s="177">
        <v>46065.673611111102</v>
      </c>
      <c r="R322" s="145">
        <v>46073</v>
      </c>
      <c r="S322" s="192"/>
    </row>
    <row r="323" spans="1:19" ht="130.80000000000001" customHeight="1" x14ac:dyDescent="0.25">
      <c r="A323" s="197" t="str">
        <f t="shared" si="9"/>
        <v>INC20260212322</v>
      </c>
      <c r="B323" s="175">
        <v>46065.85</v>
      </c>
      <c r="C323" s="192" t="s">
        <v>77</v>
      </c>
      <c r="D323" s="194" t="s">
        <v>78</v>
      </c>
      <c r="E323" s="192" t="s">
        <v>69</v>
      </c>
      <c r="F323" s="192" t="s">
        <v>40</v>
      </c>
      <c r="G323" s="192" t="s">
        <v>41</v>
      </c>
      <c r="H323" s="192" t="s">
        <v>79</v>
      </c>
      <c r="I323" s="192" t="s">
        <v>80</v>
      </c>
      <c r="J323" s="121" t="s">
        <v>1979</v>
      </c>
      <c r="K323" s="192" t="s">
        <v>44</v>
      </c>
      <c r="L323" s="192" t="s">
        <v>81</v>
      </c>
      <c r="M323" s="146" t="s">
        <v>5</v>
      </c>
      <c r="N323" s="176" t="s">
        <v>498</v>
      </c>
      <c r="O323" s="197" t="s">
        <v>83</v>
      </c>
      <c r="P323" s="197" t="s">
        <v>1366</v>
      </c>
      <c r="Q323" s="177">
        <v>46065.944444444402</v>
      </c>
      <c r="R323" s="145">
        <v>46073</v>
      </c>
      <c r="S323" s="192"/>
    </row>
    <row r="324" spans="1:19" ht="127.2" customHeight="1" x14ac:dyDescent="0.25">
      <c r="A324" s="197" t="str">
        <f t="shared" si="9"/>
        <v>INC20260212323</v>
      </c>
      <c r="B324" s="175">
        <v>46065.958333333299</v>
      </c>
      <c r="C324" s="192" t="s">
        <v>77</v>
      </c>
      <c r="D324" s="194" t="s">
        <v>78</v>
      </c>
      <c r="E324" s="192" t="s">
        <v>69</v>
      </c>
      <c r="F324" s="192" t="s">
        <v>40</v>
      </c>
      <c r="G324" s="192" t="s">
        <v>41</v>
      </c>
      <c r="H324" s="192" t="s">
        <v>79</v>
      </c>
      <c r="I324" s="192" t="s">
        <v>80</v>
      </c>
      <c r="J324" s="121" t="s">
        <v>1980</v>
      </c>
      <c r="K324" s="192" t="s">
        <v>44</v>
      </c>
      <c r="L324" s="192" t="s">
        <v>81</v>
      </c>
      <c r="M324" s="146" t="s">
        <v>5</v>
      </c>
      <c r="N324" s="176" t="s">
        <v>498</v>
      </c>
      <c r="O324" s="197" t="s">
        <v>83</v>
      </c>
      <c r="P324" s="197" t="s">
        <v>1366</v>
      </c>
      <c r="Q324" s="145">
        <v>46065</v>
      </c>
      <c r="R324" s="145">
        <v>46073</v>
      </c>
      <c r="S324" s="192"/>
    </row>
    <row r="325" spans="1:19" ht="135.6" customHeight="1" x14ac:dyDescent="0.25">
      <c r="A325" s="197" t="str">
        <f t="shared" si="9"/>
        <v>INC20260213324</v>
      </c>
      <c r="B325" s="175">
        <v>46066.160416666702</v>
      </c>
      <c r="C325" s="192" t="s">
        <v>77</v>
      </c>
      <c r="D325" s="194" t="s">
        <v>78</v>
      </c>
      <c r="E325" s="192" t="s">
        <v>74</v>
      </c>
      <c r="F325" s="192" t="s">
        <v>40</v>
      </c>
      <c r="G325" s="192" t="s">
        <v>60</v>
      </c>
      <c r="H325" s="192" t="s">
        <v>79</v>
      </c>
      <c r="I325" s="192" t="s">
        <v>80</v>
      </c>
      <c r="J325" s="121" t="s">
        <v>1981</v>
      </c>
      <c r="K325" s="192" t="s">
        <v>63</v>
      </c>
      <c r="L325" s="192" t="s">
        <v>81</v>
      </c>
      <c r="M325" s="146" t="s">
        <v>5</v>
      </c>
      <c r="N325" s="176" t="s">
        <v>499</v>
      </c>
      <c r="O325" s="197" t="s">
        <v>83</v>
      </c>
      <c r="P325" s="197" t="s">
        <v>1366</v>
      </c>
      <c r="Q325" s="145">
        <v>46069</v>
      </c>
      <c r="R325" s="145">
        <v>46073</v>
      </c>
      <c r="S325" s="192"/>
    </row>
    <row r="326" spans="1:19" ht="135.6" customHeight="1" x14ac:dyDescent="0.25">
      <c r="A326" s="197" t="str">
        <f t="shared" si="9"/>
        <v>INC20260213325</v>
      </c>
      <c r="B326" s="175">
        <v>46066.175694444399</v>
      </c>
      <c r="C326" s="192" t="s">
        <v>77</v>
      </c>
      <c r="D326" s="194" t="s">
        <v>78</v>
      </c>
      <c r="E326" s="192" t="s">
        <v>74</v>
      </c>
      <c r="F326" s="192" t="s">
        <v>40</v>
      </c>
      <c r="G326" s="192" t="s">
        <v>60</v>
      </c>
      <c r="H326" s="192" t="s">
        <v>79</v>
      </c>
      <c r="I326" s="192" t="s">
        <v>80</v>
      </c>
      <c r="J326" s="121" t="s">
        <v>1982</v>
      </c>
      <c r="K326" s="192" t="s">
        <v>63</v>
      </c>
      <c r="L326" s="192" t="s">
        <v>81</v>
      </c>
      <c r="M326" s="146" t="s">
        <v>5</v>
      </c>
      <c r="N326" s="176" t="s">
        <v>500</v>
      </c>
      <c r="O326" s="197" t="s">
        <v>83</v>
      </c>
      <c r="P326" s="197" t="s">
        <v>1366</v>
      </c>
      <c r="Q326" s="145">
        <v>46069</v>
      </c>
      <c r="R326" s="145">
        <v>46073</v>
      </c>
      <c r="S326" s="192"/>
    </row>
    <row r="327" spans="1:19" ht="132.6" customHeight="1" x14ac:dyDescent="0.25">
      <c r="A327" s="197" t="str">
        <f t="shared" si="9"/>
        <v>INC20260213326</v>
      </c>
      <c r="B327" s="175">
        <v>46066.144444444399</v>
      </c>
      <c r="C327" s="192" t="s">
        <v>77</v>
      </c>
      <c r="D327" s="194" t="s">
        <v>78</v>
      </c>
      <c r="E327" s="192" t="s">
        <v>69</v>
      </c>
      <c r="F327" s="192" t="s">
        <v>40</v>
      </c>
      <c r="G327" s="192" t="s">
        <v>41</v>
      </c>
      <c r="H327" s="192" t="s">
        <v>79</v>
      </c>
      <c r="I327" s="192" t="s">
        <v>80</v>
      </c>
      <c r="J327" s="121" t="s">
        <v>1983</v>
      </c>
      <c r="K327" s="192" t="s">
        <v>44</v>
      </c>
      <c r="L327" s="192" t="s">
        <v>81</v>
      </c>
      <c r="M327" s="146" t="s">
        <v>5</v>
      </c>
      <c r="N327" s="176" t="s">
        <v>501</v>
      </c>
      <c r="O327" s="197" t="s">
        <v>83</v>
      </c>
      <c r="P327" s="197" t="s">
        <v>1366</v>
      </c>
      <c r="Q327" s="177">
        <v>46066.416666666701</v>
      </c>
      <c r="R327" s="145">
        <v>46073</v>
      </c>
      <c r="S327" s="192"/>
    </row>
    <row r="328" spans="1:19" ht="147.6" customHeight="1" x14ac:dyDescent="0.25">
      <c r="A328" s="197" t="str">
        <f t="shared" si="9"/>
        <v>INC20260213327</v>
      </c>
      <c r="B328" s="175">
        <v>46066.143750000003</v>
      </c>
      <c r="C328" s="192" t="s">
        <v>77</v>
      </c>
      <c r="D328" s="194" t="s">
        <v>78</v>
      </c>
      <c r="E328" s="192" t="s">
        <v>58</v>
      </c>
      <c r="F328" s="192" t="s">
        <v>40</v>
      </c>
      <c r="G328" s="192" t="s">
        <v>60</v>
      </c>
      <c r="H328" s="192" t="s">
        <v>79</v>
      </c>
      <c r="I328" s="192" t="s">
        <v>80</v>
      </c>
      <c r="J328" s="121" t="s">
        <v>1984</v>
      </c>
      <c r="K328" s="192" t="s">
        <v>63</v>
      </c>
      <c r="L328" s="192" t="s">
        <v>81</v>
      </c>
      <c r="M328" s="146" t="s">
        <v>5</v>
      </c>
      <c r="N328" s="176" t="s">
        <v>500</v>
      </c>
      <c r="O328" s="197" t="s">
        <v>83</v>
      </c>
      <c r="P328" s="197" t="s">
        <v>1366</v>
      </c>
      <c r="Q328" s="145">
        <v>46069</v>
      </c>
      <c r="R328" s="145">
        <v>46073</v>
      </c>
      <c r="S328" s="192"/>
    </row>
    <row r="329" spans="1:19" ht="131.4" customHeight="1" x14ac:dyDescent="0.25">
      <c r="A329" s="197" t="str">
        <f t="shared" si="9"/>
        <v>INC20260213328</v>
      </c>
      <c r="B329" s="178">
        <v>46066.4777777778</v>
      </c>
      <c r="C329" s="192" t="s">
        <v>77</v>
      </c>
      <c r="D329" s="194" t="s">
        <v>78</v>
      </c>
      <c r="E329" s="192" t="s">
        <v>69</v>
      </c>
      <c r="F329" s="192" t="s">
        <v>40</v>
      </c>
      <c r="G329" s="192" t="s">
        <v>60</v>
      </c>
      <c r="H329" s="192" t="s">
        <v>79</v>
      </c>
      <c r="I329" s="192" t="s">
        <v>84</v>
      </c>
      <c r="J329" s="121" t="s">
        <v>1985</v>
      </c>
      <c r="K329" s="192" t="s">
        <v>63</v>
      </c>
      <c r="L329" s="192" t="s">
        <v>81</v>
      </c>
      <c r="M329" s="146" t="s">
        <v>5</v>
      </c>
      <c r="N329" s="179" t="s">
        <v>502</v>
      </c>
      <c r="O329" s="192" t="s">
        <v>86</v>
      </c>
      <c r="P329" s="192" t="s">
        <v>87</v>
      </c>
      <c r="Q329" s="145">
        <v>46069</v>
      </c>
      <c r="R329" s="145">
        <v>46073</v>
      </c>
      <c r="S329" s="192"/>
    </row>
    <row r="330" spans="1:19" ht="147.6" customHeight="1" x14ac:dyDescent="0.25">
      <c r="A330" s="197" t="str">
        <f t="shared" si="9"/>
        <v>INC20260213329</v>
      </c>
      <c r="B330" s="178">
        <v>46066.488888888904</v>
      </c>
      <c r="C330" s="192" t="s">
        <v>77</v>
      </c>
      <c r="D330" s="194" t="s">
        <v>78</v>
      </c>
      <c r="E330" s="192" t="s">
        <v>58</v>
      </c>
      <c r="F330" s="192" t="s">
        <v>40</v>
      </c>
      <c r="G330" s="192" t="s">
        <v>60</v>
      </c>
      <c r="H330" s="192" t="s">
        <v>79</v>
      </c>
      <c r="I330" s="192" t="s">
        <v>80</v>
      </c>
      <c r="J330" s="121" t="s">
        <v>1986</v>
      </c>
      <c r="K330" s="192" t="s">
        <v>63</v>
      </c>
      <c r="L330" s="192" t="s">
        <v>81</v>
      </c>
      <c r="M330" s="146" t="s">
        <v>5</v>
      </c>
      <c r="N330" s="179" t="s">
        <v>503</v>
      </c>
      <c r="O330" s="197" t="s">
        <v>83</v>
      </c>
      <c r="P330" s="197" t="s">
        <v>1366</v>
      </c>
      <c r="Q330" s="145">
        <v>46069</v>
      </c>
      <c r="R330" s="145">
        <v>46073</v>
      </c>
      <c r="S330" s="192"/>
    </row>
    <row r="331" spans="1:19" ht="158.4" customHeight="1" x14ac:dyDescent="0.25">
      <c r="A331" s="197" t="str">
        <f t="shared" si="9"/>
        <v>INC20260213330</v>
      </c>
      <c r="B331" s="178">
        <v>46066.356249999997</v>
      </c>
      <c r="C331" s="192" t="s">
        <v>77</v>
      </c>
      <c r="D331" s="194" t="s">
        <v>78</v>
      </c>
      <c r="E331" s="192" t="s">
        <v>58</v>
      </c>
      <c r="F331" s="192" t="s">
        <v>40</v>
      </c>
      <c r="G331" s="192" t="s">
        <v>60</v>
      </c>
      <c r="H331" s="192" t="s">
        <v>79</v>
      </c>
      <c r="I331" s="192" t="s">
        <v>80</v>
      </c>
      <c r="J331" s="121" t="s">
        <v>1987</v>
      </c>
      <c r="K331" s="192" t="s">
        <v>63</v>
      </c>
      <c r="L331" s="192" t="s">
        <v>81</v>
      </c>
      <c r="M331" s="146" t="s">
        <v>5</v>
      </c>
      <c r="N331" s="179" t="s">
        <v>504</v>
      </c>
      <c r="O331" s="197" t="s">
        <v>83</v>
      </c>
      <c r="P331" s="197" t="s">
        <v>1366</v>
      </c>
      <c r="Q331" s="145">
        <v>46069</v>
      </c>
      <c r="R331" s="145">
        <v>46073</v>
      </c>
      <c r="S331" s="192"/>
    </row>
    <row r="332" spans="1:19" ht="147" customHeight="1" x14ac:dyDescent="0.25">
      <c r="A332" s="197" t="str">
        <f t="shared" ref="A332:A418" si="10">"INC"&amp;TEXT(B332,"yyyymmdd")&amp;TEXT(ROW(A332)-1,"000")</f>
        <v>INC20260213331</v>
      </c>
      <c r="B332" s="178">
        <v>46066.590972222199</v>
      </c>
      <c r="C332" s="192" t="s">
        <v>77</v>
      </c>
      <c r="D332" s="194" t="s">
        <v>78</v>
      </c>
      <c r="E332" s="192" t="s">
        <v>58</v>
      </c>
      <c r="F332" s="192" t="s">
        <v>40</v>
      </c>
      <c r="G332" s="192" t="s">
        <v>60</v>
      </c>
      <c r="H332" s="192" t="s">
        <v>79</v>
      </c>
      <c r="I332" s="192" t="s">
        <v>80</v>
      </c>
      <c r="J332" s="121" t="s">
        <v>1988</v>
      </c>
      <c r="K332" s="192" t="s">
        <v>63</v>
      </c>
      <c r="L332" s="192" t="s">
        <v>81</v>
      </c>
      <c r="M332" s="146" t="s">
        <v>5</v>
      </c>
      <c r="N332" s="179" t="s">
        <v>505</v>
      </c>
      <c r="O332" s="197" t="s">
        <v>83</v>
      </c>
      <c r="P332" s="197" t="s">
        <v>1366</v>
      </c>
      <c r="Q332" s="145">
        <v>46069</v>
      </c>
      <c r="R332" s="145">
        <v>46073</v>
      </c>
      <c r="S332" s="192"/>
    </row>
    <row r="333" spans="1:19" ht="131.4" customHeight="1" x14ac:dyDescent="0.25">
      <c r="A333" s="197" t="str">
        <f t="shared" si="10"/>
        <v>INC20260213332</v>
      </c>
      <c r="B333" s="178">
        <v>46066.620833333298</v>
      </c>
      <c r="C333" s="192" t="s">
        <v>77</v>
      </c>
      <c r="D333" s="194" t="s">
        <v>78</v>
      </c>
      <c r="E333" s="192" t="s">
        <v>69</v>
      </c>
      <c r="F333" s="192" t="s">
        <v>40</v>
      </c>
      <c r="G333" s="192" t="s">
        <v>60</v>
      </c>
      <c r="H333" s="192" t="s">
        <v>79</v>
      </c>
      <c r="I333" s="192" t="s">
        <v>80</v>
      </c>
      <c r="J333" s="121" t="s">
        <v>1989</v>
      </c>
      <c r="K333" s="192" t="s">
        <v>63</v>
      </c>
      <c r="L333" s="192" t="s">
        <v>81</v>
      </c>
      <c r="M333" s="146" t="s">
        <v>5</v>
      </c>
      <c r="N333" s="179" t="s">
        <v>506</v>
      </c>
      <c r="O333" s="197" t="s">
        <v>83</v>
      </c>
      <c r="P333" s="197" t="s">
        <v>1366</v>
      </c>
      <c r="Q333" s="145">
        <v>46069</v>
      </c>
      <c r="R333" s="145">
        <v>46073</v>
      </c>
      <c r="S333" s="192"/>
    </row>
    <row r="334" spans="1:19" ht="138.6" customHeight="1" x14ac:dyDescent="0.25">
      <c r="A334" s="197" t="str">
        <f t="shared" si="10"/>
        <v>INC20260213333</v>
      </c>
      <c r="B334" s="178">
        <v>46066.652083333298</v>
      </c>
      <c r="C334" s="192" t="s">
        <v>77</v>
      </c>
      <c r="D334" s="194" t="s">
        <v>78</v>
      </c>
      <c r="E334" s="192" t="s">
        <v>69</v>
      </c>
      <c r="F334" s="192" t="s">
        <v>40</v>
      </c>
      <c r="G334" s="192" t="s">
        <v>60</v>
      </c>
      <c r="H334" s="192" t="s">
        <v>79</v>
      </c>
      <c r="I334" s="192" t="s">
        <v>80</v>
      </c>
      <c r="J334" s="121" t="s">
        <v>1990</v>
      </c>
      <c r="K334" s="192" t="s">
        <v>63</v>
      </c>
      <c r="L334" s="192" t="s">
        <v>81</v>
      </c>
      <c r="M334" s="146" t="s">
        <v>5</v>
      </c>
      <c r="N334" s="179" t="s">
        <v>507</v>
      </c>
      <c r="O334" s="197" t="s">
        <v>83</v>
      </c>
      <c r="P334" s="197" t="s">
        <v>1366</v>
      </c>
      <c r="Q334" s="145">
        <v>46069</v>
      </c>
      <c r="R334" s="145">
        <v>46073</v>
      </c>
      <c r="S334" s="192"/>
    </row>
    <row r="335" spans="1:19" ht="130.80000000000001" customHeight="1" x14ac:dyDescent="0.25">
      <c r="A335" s="197" t="str">
        <f t="shared" si="10"/>
        <v>INC20260213334</v>
      </c>
      <c r="B335" s="178">
        <v>46066.782638888901</v>
      </c>
      <c r="C335" s="192" t="s">
        <v>77</v>
      </c>
      <c r="D335" s="194" t="s">
        <v>78</v>
      </c>
      <c r="E335" s="192" t="s">
        <v>69</v>
      </c>
      <c r="F335" s="192" t="s">
        <v>40</v>
      </c>
      <c r="G335" s="192" t="s">
        <v>41</v>
      </c>
      <c r="H335" s="192" t="s">
        <v>79</v>
      </c>
      <c r="I335" s="192" t="s">
        <v>80</v>
      </c>
      <c r="J335" s="121" t="s">
        <v>1991</v>
      </c>
      <c r="K335" s="192" t="s">
        <v>44</v>
      </c>
      <c r="L335" s="192" t="s">
        <v>81</v>
      </c>
      <c r="M335" s="146" t="s">
        <v>5</v>
      </c>
      <c r="N335" s="179" t="s">
        <v>508</v>
      </c>
      <c r="O335" s="197" t="s">
        <v>83</v>
      </c>
      <c r="P335" s="197" t="s">
        <v>1366</v>
      </c>
      <c r="Q335" s="145">
        <v>46067</v>
      </c>
      <c r="R335" s="145">
        <v>46073</v>
      </c>
      <c r="S335" s="192"/>
    </row>
    <row r="336" spans="1:19" ht="135" customHeight="1" x14ac:dyDescent="0.25">
      <c r="A336" s="197" t="str">
        <f t="shared" si="10"/>
        <v>INC20260213335</v>
      </c>
      <c r="B336" s="178">
        <v>46066.793055555601</v>
      </c>
      <c r="C336" s="192" t="s">
        <v>77</v>
      </c>
      <c r="D336" s="194" t="s">
        <v>78</v>
      </c>
      <c r="E336" s="192" t="s">
        <v>69</v>
      </c>
      <c r="F336" s="192" t="s">
        <v>40</v>
      </c>
      <c r="G336" s="192" t="s">
        <v>41</v>
      </c>
      <c r="H336" s="192" t="s">
        <v>79</v>
      </c>
      <c r="I336" s="192" t="s">
        <v>84</v>
      </c>
      <c r="J336" s="121" t="s">
        <v>1992</v>
      </c>
      <c r="K336" s="192" t="s">
        <v>44</v>
      </c>
      <c r="L336" s="192" t="s">
        <v>81</v>
      </c>
      <c r="M336" s="146" t="s">
        <v>5</v>
      </c>
      <c r="N336" s="179" t="s">
        <v>509</v>
      </c>
      <c r="O336" s="192" t="s">
        <v>86</v>
      </c>
      <c r="P336" s="192" t="s">
        <v>87</v>
      </c>
      <c r="Q336" s="145">
        <v>46066</v>
      </c>
      <c r="R336" s="145">
        <v>46073</v>
      </c>
      <c r="S336" s="192"/>
    </row>
    <row r="337" spans="1:19" ht="134.4" customHeight="1" x14ac:dyDescent="0.25">
      <c r="A337" s="197" t="str">
        <f t="shared" si="10"/>
        <v>INC20260213336</v>
      </c>
      <c r="B337" s="178">
        <v>46066.804861111101</v>
      </c>
      <c r="C337" s="192" t="s">
        <v>77</v>
      </c>
      <c r="D337" s="194" t="s">
        <v>78</v>
      </c>
      <c r="E337" s="192" t="s">
        <v>69</v>
      </c>
      <c r="F337" s="192" t="s">
        <v>40</v>
      </c>
      <c r="G337" s="192" t="s">
        <v>60</v>
      </c>
      <c r="H337" s="192" t="s">
        <v>79</v>
      </c>
      <c r="I337" s="192" t="s">
        <v>84</v>
      </c>
      <c r="J337" s="121" t="s">
        <v>1993</v>
      </c>
      <c r="K337" s="192" t="s">
        <v>63</v>
      </c>
      <c r="L337" s="192" t="s">
        <v>81</v>
      </c>
      <c r="M337" s="146" t="s">
        <v>5</v>
      </c>
      <c r="N337" s="179" t="s">
        <v>510</v>
      </c>
      <c r="O337" s="192" t="s">
        <v>86</v>
      </c>
      <c r="P337" s="192" t="s">
        <v>87</v>
      </c>
      <c r="Q337" s="180">
        <v>46066.846527777801</v>
      </c>
      <c r="R337" s="145">
        <v>46073</v>
      </c>
      <c r="S337" s="192"/>
    </row>
    <row r="338" spans="1:19" ht="143.4" customHeight="1" x14ac:dyDescent="0.25">
      <c r="A338" s="197" t="str">
        <f t="shared" si="10"/>
        <v>INC20260213337</v>
      </c>
      <c r="B338" s="178">
        <v>46066.809027777803</v>
      </c>
      <c r="C338" s="192" t="s">
        <v>77</v>
      </c>
      <c r="D338" s="194" t="s">
        <v>78</v>
      </c>
      <c r="E338" s="192" t="s">
        <v>69</v>
      </c>
      <c r="F338" s="192" t="s">
        <v>40</v>
      </c>
      <c r="G338" s="192" t="s">
        <v>60</v>
      </c>
      <c r="H338" s="192" t="s">
        <v>79</v>
      </c>
      <c r="I338" s="192" t="s">
        <v>84</v>
      </c>
      <c r="J338" s="121" t="s">
        <v>1994</v>
      </c>
      <c r="K338" s="192" t="s">
        <v>107</v>
      </c>
      <c r="L338" s="192" t="s">
        <v>81</v>
      </c>
      <c r="M338" s="146" t="s">
        <v>5</v>
      </c>
      <c r="N338" s="179" t="s">
        <v>511</v>
      </c>
      <c r="O338" s="192" t="s">
        <v>86</v>
      </c>
      <c r="P338" s="192" t="s">
        <v>87</v>
      </c>
      <c r="Q338" s="180">
        <v>46066.846527777801</v>
      </c>
      <c r="R338" s="145">
        <v>46073</v>
      </c>
      <c r="S338" s="192"/>
    </row>
    <row r="339" spans="1:19" ht="135.6" customHeight="1" x14ac:dyDescent="0.25">
      <c r="A339" s="197" t="str">
        <f t="shared" si="10"/>
        <v>INC20260213338</v>
      </c>
      <c r="B339" s="178">
        <v>46066.819444444402</v>
      </c>
      <c r="C339" s="192" t="s">
        <v>77</v>
      </c>
      <c r="D339" s="194" t="s">
        <v>78</v>
      </c>
      <c r="E339" s="192" t="s">
        <v>69</v>
      </c>
      <c r="F339" s="192" t="s">
        <v>40</v>
      </c>
      <c r="G339" s="192" t="s">
        <v>60</v>
      </c>
      <c r="H339" s="192" t="s">
        <v>79</v>
      </c>
      <c r="I339" s="192" t="s">
        <v>84</v>
      </c>
      <c r="J339" s="121" t="s">
        <v>1995</v>
      </c>
      <c r="K339" s="192" t="s">
        <v>63</v>
      </c>
      <c r="L339" s="192" t="s">
        <v>81</v>
      </c>
      <c r="M339" s="146" t="s">
        <v>5</v>
      </c>
      <c r="N339" s="179" t="s">
        <v>512</v>
      </c>
      <c r="O339" s="192" t="s">
        <v>86</v>
      </c>
      <c r="P339" s="192" t="s">
        <v>87</v>
      </c>
      <c r="Q339" s="180">
        <v>414960.84652777802</v>
      </c>
      <c r="R339" s="145">
        <v>46073</v>
      </c>
      <c r="S339" s="192"/>
    </row>
    <row r="340" spans="1:19" ht="141" customHeight="1" x14ac:dyDescent="0.25">
      <c r="A340" s="197" t="str">
        <f t="shared" si="10"/>
        <v>INC20260213339</v>
      </c>
      <c r="B340" s="178">
        <v>46066.826388888898</v>
      </c>
      <c r="C340" s="192" t="s">
        <v>77</v>
      </c>
      <c r="D340" s="194" t="s">
        <v>78</v>
      </c>
      <c r="E340" s="192" t="s">
        <v>69</v>
      </c>
      <c r="F340" s="192" t="s">
        <v>40</v>
      </c>
      <c r="G340" s="192" t="s">
        <v>60</v>
      </c>
      <c r="H340" s="192" t="s">
        <v>79</v>
      </c>
      <c r="I340" s="192" t="s">
        <v>84</v>
      </c>
      <c r="J340" s="121" t="s">
        <v>1996</v>
      </c>
      <c r="K340" s="192" t="s">
        <v>63</v>
      </c>
      <c r="L340" s="192" t="s">
        <v>81</v>
      </c>
      <c r="M340" s="146" t="s">
        <v>5</v>
      </c>
      <c r="N340" s="179" t="s">
        <v>513</v>
      </c>
      <c r="O340" s="192" t="s">
        <v>86</v>
      </c>
      <c r="P340" s="192" t="s">
        <v>87</v>
      </c>
      <c r="Q340" s="180">
        <v>46066.846527777801</v>
      </c>
      <c r="R340" s="145">
        <v>46073</v>
      </c>
      <c r="S340" s="192"/>
    </row>
    <row r="341" spans="1:19" ht="140.4" customHeight="1" x14ac:dyDescent="0.25">
      <c r="A341" s="197" t="str">
        <f t="shared" si="10"/>
        <v>INC20260213340</v>
      </c>
      <c r="B341" s="178">
        <v>46066.857638888898</v>
      </c>
      <c r="C341" s="192" t="s">
        <v>77</v>
      </c>
      <c r="D341" s="194" t="s">
        <v>78</v>
      </c>
      <c r="E341" s="192" t="s">
        <v>69</v>
      </c>
      <c r="F341" s="192" t="s">
        <v>40</v>
      </c>
      <c r="G341" s="192" t="s">
        <v>60</v>
      </c>
      <c r="H341" s="192" t="s">
        <v>79</v>
      </c>
      <c r="I341" s="192" t="s">
        <v>84</v>
      </c>
      <c r="J341" s="121" t="s">
        <v>1997</v>
      </c>
      <c r="K341" s="192" t="s">
        <v>63</v>
      </c>
      <c r="L341" s="192" t="s">
        <v>81</v>
      </c>
      <c r="M341" s="146" t="s">
        <v>5</v>
      </c>
      <c r="N341" s="179" t="s">
        <v>514</v>
      </c>
      <c r="O341" s="192" t="s">
        <v>86</v>
      </c>
      <c r="P341" s="192" t="s">
        <v>87</v>
      </c>
      <c r="Q341" s="180">
        <v>46066.859722222202</v>
      </c>
      <c r="R341" s="145">
        <v>46073</v>
      </c>
      <c r="S341" s="192"/>
    </row>
    <row r="342" spans="1:19" ht="133.19999999999999" customHeight="1" x14ac:dyDescent="0.25">
      <c r="A342" s="197" t="str">
        <f t="shared" si="10"/>
        <v>INC20260213341</v>
      </c>
      <c r="B342" s="178">
        <v>46066.889583333301</v>
      </c>
      <c r="C342" s="192" t="s">
        <v>77</v>
      </c>
      <c r="D342" s="194" t="s">
        <v>78</v>
      </c>
      <c r="E342" s="192" t="s">
        <v>69</v>
      </c>
      <c r="F342" s="192" t="s">
        <v>40</v>
      </c>
      <c r="G342" s="192" t="s">
        <v>41</v>
      </c>
      <c r="H342" s="192" t="s">
        <v>79</v>
      </c>
      <c r="I342" s="192" t="s">
        <v>84</v>
      </c>
      <c r="J342" s="121" t="s">
        <v>1998</v>
      </c>
      <c r="K342" s="192" t="s">
        <v>44</v>
      </c>
      <c r="L342" s="192" t="s">
        <v>81</v>
      </c>
      <c r="M342" s="146" t="s">
        <v>5</v>
      </c>
      <c r="N342" s="179" t="s">
        <v>515</v>
      </c>
      <c r="O342" s="192" t="s">
        <v>86</v>
      </c>
      <c r="P342" s="192" t="s">
        <v>87</v>
      </c>
      <c r="Q342" s="180">
        <v>46066.892361111102</v>
      </c>
      <c r="R342" s="145">
        <v>46073</v>
      </c>
      <c r="S342" s="192"/>
    </row>
    <row r="343" spans="1:19" ht="134.4" customHeight="1" x14ac:dyDescent="0.25">
      <c r="A343" s="197" t="str">
        <f t="shared" si="10"/>
        <v>INC20260213342</v>
      </c>
      <c r="B343" s="178">
        <v>46066.890972222202</v>
      </c>
      <c r="C343" s="192" t="s">
        <v>77</v>
      </c>
      <c r="D343" s="194" t="s">
        <v>78</v>
      </c>
      <c r="E343" s="192" t="s">
        <v>69</v>
      </c>
      <c r="F343" s="192" t="s">
        <v>40</v>
      </c>
      <c r="G343" s="192" t="s">
        <v>41</v>
      </c>
      <c r="H343" s="192" t="s">
        <v>79</v>
      </c>
      <c r="I343" s="192" t="s">
        <v>84</v>
      </c>
      <c r="J343" s="121" t="s">
        <v>1999</v>
      </c>
      <c r="K343" s="192" t="s">
        <v>44</v>
      </c>
      <c r="L343" s="192" t="s">
        <v>81</v>
      </c>
      <c r="M343" s="146" t="s">
        <v>5</v>
      </c>
      <c r="N343" s="179" t="s">
        <v>516</v>
      </c>
      <c r="O343" s="192" t="s">
        <v>86</v>
      </c>
      <c r="P343" s="192" t="s">
        <v>87</v>
      </c>
      <c r="Q343" s="180">
        <v>46066.904861111099</v>
      </c>
      <c r="R343" s="145">
        <v>46073</v>
      </c>
      <c r="S343" s="192"/>
    </row>
    <row r="344" spans="1:19" ht="123.6" customHeight="1" x14ac:dyDescent="0.25">
      <c r="A344" s="197" t="str">
        <f t="shared" si="10"/>
        <v>INC20260213343</v>
      </c>
      <c r="B344" s="178">
        <v>46066.898611111101</v>
      </c>
      <c r="C344" s="192" t="s">
        <v>77</v>
      </c>
      <c r="D344" s="194" t="s">
        <v>78</v>
      </c>
      <c r="E344" s="192" t="s">
        <v>69</v>
      </c>
      <c r="F344" s="192" t="s">
        <v>40</v>
      </c>
      <c r="G344" s="192" t="s">
        <v>60</v>
      </c>
      <c r="H344" s="192" t="s">
        <v>79</v>
      </c>
      <c r="I344" s="192" t="s">
        <v>80</v>
      </c>
      <c r="J344" s="121" t="s">
        <v>2000</v>
      </c>
      <c r="K344" s="192" t="s">
        <v>63</v>
      </c>
      <c r="L344" s="192" t="s">
        <v>81</v>
      </c>
      <c r="M344" s="146" t="s">
        <v>5</v>
      </c>
      <c r="N344" s="179" t="s">
        <v>517</v>
      </c>
      <c r="O344" s="197" t="s">
        <v>83</v>
      </c>
      <c r="P344" s="197" t="s">
        <v>1366</v>
      </c>
      <c r="Q344" s="145">
        <v>46069</v>
      </c>
      <c r="R344" s="145">
        <v>46073</v>
      </c>
      <c r="S344" s="192"/>
    </row>
    <row r="345" spans="1:19" ht="125.4" customHeight="1" x14ac:dyDescent="0.25">
      <c r="A345" s="197" t="str">
        <f t="shared" si="10"/>
        <v>INC20260213344</v>
      </c>
      <c r="B345" s="178">
        <v>46066.920138888898</v>
      </c>
      <c r="C345" s="192" t="s">
        <v>77</v>
      </c>
      <c r="D345" s="194" t="s">
        <v>78</v>
      </c>
      <c r="E345" s="192" t="s">
        <v>69</v>
      </c>
      <c r="F345" s="192" t="s">
        <v>40</v>
      </c>
      <c r="G345" s="192" t="s">
        <v>60</v>
      </c>
      <c r="H345" s="192" t="s">
        <v>79</v>
      </c>
      <c r="I345" s="192" t="s">
        <v>84</v>
      </c>
      <c r="J345" s="121" t="s">
        <v>2001</v>
      </c>
      <c r="K345" s="192" t="s">
        <v>63</v>
      </c>
      <c r="L345" s="192" t="s">
        <v>81</v>
      </c>
      <c r="M345" s="146" t="s">
        <v>5</v>
      </c>
      <c r="N345" s="179" t="s">
        <v>518</v>
      </c>
      <c r="O345" s="192" t="s">
        <v>86</v>
      </c>
      <c r="P345" s="192" t="s">
        <v>87</v>
      </c>
      <c r="Q345" s="180">
        <v>46066.925000000003</v>
      </c>
      <c r="R345" s="145">
        <v>46073</v>
      </c>
      <c r="S345" s="192"/>
    </row>
    <row r="346" spans="1:19" ht="123.6" customHeight="1" x14ac:dyDescent="0.25">
      <c r="A346" s="197" t="str">
        <f t="shared" si="10"/>
        <v>INC20260213345</v>
      </c>
      <c r="B346" s="178">
        <v>46066.938194444403</v>
      </c>
      <c r="C346" s="192" t="s">
        <v>77</v>
      </c>
      <c r="D346" s="194" t="s">
        <v>78</v>
      </c>
      <c r="E346" s="192" t="s">
        <v>69</v>
      </c>
      <c r="F346" s="192" t="s">
        <v>40</v>
      </c>
      <c r="G346" s="192" t="s">
        <v>60</v>
      </c>
      <c r="H346" s="192" t="s">
        <v>79</v>
      </c>
      <c r="I346" s="192" t="s">
        <v>84</v>
      </c>
      <c r="J346" s="121" t="s">
        <v>2002</v>
      </c>
      <c r="K346" s="192" t="s">
        <v>63</v>
      </c>
      <c r="L346" s="192" t="s">
        <v>81</v>
      </c>
      <c r="M346" s="146" t="s">
        <v>5</v>
      </c>
      <c r="N346" s="179" t="s">
        <v>519</v>
      </c>
      <c r="O346" s="192" t="s">
        <v>86</v>
      </c>
      <c r="P346" s="192" t="s">
        <v>87</v>
      </c>
      <c r="Q346" s="180">
        <v>46066.948611111096</v>
      </c>
      <c r="R346" s="145">
        <v>46073</v>
      </c>
      <c r="S346" s="192"/>
    </row>
    <row r="347" spans="1:19" ht="147" customHeight="1" x14ac:dyDescent="0.25">
      <c r="A347" s="197" t="str">
        <f t="shared" si="10"/>
        <v>INC20260213346</v>
      </c>
      <c r="B347" s="178">
        <v>46066.942361111098</v>
      </c>
      <c r="C347" s="192" t="s">
        <v>77</v>
      </c>
      <c r="D347" s="194" t="s">
        <v>78</v>
      </c>
      <c r="E347" s="192" t="s">
        <v>69</v>
      </c>
      <c r="F347" s="192" t="s">
        <v>40</v>
      </c>
      <c r="G347" s="192" t="s">
        <v>60</v>
      </c>
      <c r="H347" s="192" t="s">
        <v>79</v>
      </c>
      <c r="I347" s="192" t="s">
        <v>84</v>
      </c>
      <c r="J347" s="121" t="s">
        <v>2003</v>
      </c>
      <c r="K347" s="192" t="s">
        <v>63</v>
      </c>
      <c r="L347" s="192" t="s">
        <v>81</v>
      </c>
      <c r="M347" s="146" t="s">
        <v>5</v>
      </c>
      <c r="N347" s="179" t="s">
        <v>520</v>
      </c>
      <c r="O347" s="192" t="s">
        <v>86</v>
      </c>
      <c r="P347" s="192" t="s">
        <v>87</v>
      </c>
      <c r="Q347" s="180">
        <v>46066.9555555556</v>
      </c>
      <c r="R347" s="145">
        <v>46073</v>
      </c>
      <c r="S347" s="192"/>
    </row>
    <row r="348" spans="1:19" ht="172.8" customHeight="1" x14ac:dyDescent="0.25">
      <c r="A348" s="197" t="str">
        <f t="shared" si="10"/>
        <v>INC20260213347</v>
      </c>
      <c r="B348" s="178">
        <v>46066.943749999999</v>
      </c>
      <c r="C348" s="192" t="s">
        <v>77</v>
      </c>
      <c r="D348" s="194" t="s">
        <v>78</v>
      </c>
      <c r="E348" s="192" t="s">
        <v>69</v>
      </c>
      <c r="F348" s="192" t="s">
        <v>40</v>
      </c>
      <c r="G348" s="192" t="s">
        <v>41</v>
      </c>
      <c r="H348" s="192" t="s">
        <v>79</v>
      </c>
      <c r="I348" s="192" t="s">
        <v>84</v>
      </c>
      <c r="J348" s="121" t="s">
        <v>2004</v>
      </c>
      <c r="K348" s="192" t="s">
        <v>63</v>
      </c>
      <c r="L348" s="192" t="s">
        <v>81</v>
      </c>
      <c r="M348" s="146" t="s">
        <v>5</v>
      </c>
      <c r="N348" s="179" t="s">
        <v>521</v>
      </c>
      <c r="O348" s="192" t="s">
        <v>86</v>
      </c>
      <c r="P348" s="192" t="s">
        <v>87</v>
      </c>
      <c r="Q348" s="180">
        <v>46066.9506944444</v>
      </c>
      <c r="R348" s="145">
        <v>46073</v>
      </c>
      <c r="S348" s="192"/>
    </row>
    <row r="349" spans="1:19" ht="168" customHeight="1" x14ac:dyDescent="0.25">
      <c r="A349" s="197" t="str">
        <f t="shared" si="10"/>
        <v>INC20260213348</v>
      </c>
      <c r="B349" s="178">
        <v>46066.944444444402</v>
      </c>
      <c r="C349" s="192" t="s">
        <v>77</v>
      </c>
      <c r="D349" s="194" t="s">
        <v>78</v>
      </c>
      <c r="E349" s="192" t="s">
        <v>69</v>
      </c>
      <c r="F349" s="192" t="s">
        <v>40</v>
      </c>
      <c r="G349" s="192" t="s">
        <v>60</v>
      </c>
      <c r="H349" s="192" t="s">
        <v>79</v>
      </c>
      <c r="I349" s="192" t="s">
        <v>84</v>
      </c>
      <c r="J349" s="121" t="s">
        <v>2003</v>
      </c>
      <c r="K349" s="192" t="s">
        <v>63</v>
      </c>
      <c r="L349" s="192" t="s">
        <v>81</v>
      </c>
      <c r="M349" s="146" t="s">
        <v>5</v>
      </c>
      <c r="N349" s="179" t="s">
        <v>522</v>
      </c>
      <c r="O349" s="192" t="s">
        <v>86</v>
      </c>
      <c r="P349" s="192" t="s">
        <v>87</v>
      </c>
      <c r="Q349" s="180">
        <v>46066.9555555556</v>
      </c>
      <c r="R349" s="145">
        <v>46073</v>
      </c>
      <c r="S349" s="192"/>
    </row>
    <row r="350" spans="1:19" ht="132.6" customHeight="1" x14ac:dyDescent="0.25">
      <c r="A350" s="197" t="str">
        <f t="shared" si="10"/>
        <v>INC20260214349</v>
      </c>
      <c r="B350" s="178">
        <v>46067.942361111098</v>
      </c>
      <c r="C350" s="192" t="s">
        <v>77</v>
      </c>
      <c r="D350" s="194" t="s">
        <v>78</v>
      </c>
      <c r="E350" s="192" t="s">
        <v>69</v>
      </c>
      <c r="F350" s="192" t="s">
        <v>40</v>
      </c>
      <c r="G350" s="192" t="s">
        <v>41</v>
      </c>
      <c r="H350" s="192" t="s">
        <v>79</v>
      </c>
      <c r="I350" s="192" t="s">
        <v>80</v>
      </c>
      <c r="J350" s="121" t="s">
        <v>2005</v>
      </c>
      <c r="K350" s="192" t="s">
        <v>44</v>
      </c>
      <c r="L350" s="192" t="s">
        <v>81</v>
      </c>
      <c r="M350" s="146" t="s">
        <v>5</v>
      </c>
      <c r="N350" s="179" t="s">
        <v>523</v>
      </c>
      <c r="O350" s="197" t="s">
        <v>83</v>
      </c>
      <c r="P350" s="197" t="s">
        <v>1366</v>
      </c>
      <c r="Q350" s="180">
        <v>46067.993750000001</v>
      </c>
      <c r="R350" s="145">
        <v>46073</v>
      </c>
      <c r="S350" s="192"/>
    </row>
    <row r="351" spans="1:19" ht="166.2" customHeight="1" x14ac:dyDescent="0.25">
      <c r="A351" s="197" t="str">
        <f t="shared" si="10"/>
        <v>INC20260214350</v>
      </c>
      <c r="B351" s="178">
        <v>46067.635416666701</v>
      </c>
      <c r="C351" s="192" t="s">
        <v>77</v>
      </c>
      <c r="D351" s="194" t="s">
        <v>78</v>
      </c>
      <c r="E351" s="192" t="s">
        <v>69</v>
      </c>
      <c r="F351" s="192" t="s">
        <v>40</v>
      </c>
      <c r="G351" s="192" t="s">
        <v>41</v>
      </c>
      <c r="H351" s="192" t="s">
        <v>79</v>
      </c>
      <c r="I351" s="192" t="s">
        <v>84</v>
      </c>
      <c r="J351" s="121" t="s">
        <v>2006</v>
      </c>
      <c r="K351" s="192" t="s">
        <v>44</v>
      </c>
      <c r="L351" s="192" t="s">
        <v>81</v>
      </c>
      <c r="M351" s="146" t="s">
        <v>5</v>
      </c>
      <c r="N351" s="179" t="s">
        <v>524</v>
      </c>
      <c r="O351" s="192" t="s">
        <v>86</v>
      </c>
      <c r="P351" s="192" t="s">
        <v>87</v>
      </c>
      <c r="Q351" s="180">
        <v>46067.663194444402</v>
      </c>
      <c r="R351" s="145">
        <v>46073</v>
      </c>
      <c r="S351" s="192"/>
    </row>
    <row r="352" spans="1:19" ht="193.2" customHeight="1" x14ac:dyDescent="0.25">
      <c r="A352" s="197" t="str">
        <f t="shared" si="10"/>
        <v>INC20260214351</v>
      </c>
      <c r="B352" s="178">
        <v>46067.637499999997</v>
      </c>
      <c r="C352" s="192" t="s">
        <v>77</v>
      </c>
      <c r="D352" s="194" t="s">
        <v>78</v>
      </c>
      <c r="E352" s="192" t="s">
        <v>69</v>
      </c>
      <c r="F352" s="192" t="s">
        <v>40</v>
      </c>
      <c r="G352" s="192" t="s">
        <v>60</v>
      </c>
      <c r="H352" s="192" t="s">
        <v>79</v>
      </c>
      <c r="I352" s="192" t="s">
        <v>84</v>
      </c>
      <c r="J352" s="121" t="s">
        <v>2007</v>
      </c>
      <c r="K352" s="192" t="s">
        <v>63</v>
      </c>
      <c r="L352" s="192" t="s">
        <v>81</v>
      </c>
      <c r="M352" s="146" t="s">
        <v>5</v>
      </c>
      <c r="N352" s="179" t="s">
        <v>525</v>
      </c>
      <c r="O352" s="192" t="s">
        <v>86</v>
      </c>
      <c r="P352" s="192" t="s">
        <v>87</v>
      </c>
      <c r="Q352" s="180">
        <v>46067.664583333302</v>
      </c>
      <c r="R352" s="145">
        <v>46073</v>
      </c>
      <c r="S352" s="192"/>
    </row>
    <row r="353" spans="1:19" ht="152.4" customHeight="1" x14ac:dyDescent="0.25">
      <c r="A353" s="197" t="str">
        <f t="shared" si="10"/>
        <v>INC20260214352</v>
      </c>
      <c r="B353" s="178">
        <v>46067.681250000001</v>
      </c>
      <c r="C353" s="192" t="s">
        <v>77</v>
      </c>
      <c r="D353" s="194" t="s">
        <v>78</v>
      </c>
      <c r="E353" s="192" t="s">
        <v>69</v>
      </c>
      <c r="F353" s="192" t="s">
        <v>40</v>
      </c>
      <c r="G353" s="192" t="s">
        <v>60</v>
      </c>
      <c r="H353" s="192" t="s">
        <v>79</v>
      </c>
      <c r="I353" s="192" t="s">
        <v>80</v>
      </c>
      <c r="J353" s="121" t="s">
        <v>2008</v>
      </c>
      <c r="K353" s="192" t="s">
        <v>63</v>
      </c>
      <c r="L353" s="192" t="s">
        <v>81</v>
      </c>
      <c r="M353" s="146" t="s">
        <v>5</v>
      </c>
      <c r="N353" s="179" t="s">
        <v>526</v>
      </c>
      <c r="O353" s="197" t="s">
        <v>83</v>
      </c>
      <c r="P353" s="197" t="s">
        <v>1366</v>
      </c>
      <c r="Q353" s="180">
        <v>46068.004861111098</v>
      </c>
      <c r="R353" s="145">
        <v>46073</v>
      </c>
      <c r="S353" s="192"/>
    </row>
    <row r="354" spans="1:19" ht="183" customHeight="1" x14ac:dyDescent="0.25">
      <c r="A354" s="197" t="str">
        <f t="shared" si="10"/>
        <v>INC20260214353</v>
      </c>
      <c r="B354" s="178">
        <v>46067.836111111101</v>
      </c>
      <c r="C354" s="192" t="s">
        <v>77</v>
      </c>
      <c r="D354" s="194" t="s">
        <v>78</v>
      </c>
      <c r="E354" s="192" t="s">
        <v>116</v>
      </c>
      <c r="F354" s="192" t="s">
        <v>40</v>
      </c>
      <c r="G354" s="192" t="s">
        <v>60</v>
      </c>
      <c r="H354" s="192" t="s">
        <v>79</v>
      </c>
      <c r="I354" s="192" t="s">
        <v>84</v>
      </c>
      <c r="J354" s="121" t="s">
        <v>2009</v>
      </c>
      <c r="K354" s="192" t="s">
        <v>63</v>
      </c>
      <c r="L354" s="192" t="s">
        <v>81</v>
      </c>
      <c r="M354" s="146" t="s">
        <v>5</v>
      </c>
      <c r="N354" s="179" t="s">
        <v>527</v>
      </c>
      <c r="O354" s="192" t="s">
        <v>86</v>
      </c>
      <c r="P354" s="192" t="s">
        <v>87</v>
      </c>
      <c r="Q354" s="180">
        <v>46067.870138888902</v>
      </c>
      <c r="R354" s="145">
        <v>46073</v>
      </c>
      <c r="S354" s="192"/>
    </row>
    <row r="355" spans="1:19" ht="185.4" customHeight="1" x14ac:dyDescent="0.25">
      <c r="A355" s="197" t="str">
        <f t="shared" si="10"/>
        <v>INC20260214354</v>
      </c>
      <c r="B355" s="178">
        <v>46067.806250000001</v>
      </c>
      <c r="C355" s="192" t="s">
        <v>77</v>
      </c>
      <c r="D355" s="194" t="s">
        <v>78</v>
      </c>
      <c r="E355" s="192" t="s">
        <v>116</v>
      </c>
      <c r="F355" s="192" t="s">
        <v>40</v>
      </c>
      <c r="G355" s="192" t="s">
        <v>60</v>
      </c>
      <c r="H355" s="192" t="s">
        <v>79</v>
      </c>
      <c r="I355" s="192" t="s">
        <v>84</v>
      </c>
      <c r="J355" s="121" t="s">
        <v>2010</v>
      </c>
      <c r="K355" s="192" t="s">
        <v>151</v>
      </c>
      <c r="L355" s="192" t="s">
        <v>81</v>
      </c>
      <c r="M355" s="146" t="s">
        <v>5</v>
      </c>
      <c r="N355" s="179" t="s">
        <v>528</v>
      </c>
      <c r="O355" s="192" t="s">
        <v>86</v>
      </c>
      <c r="P355" s="192" t="s">
        <v>87</v>
      </c>
      <c r="Q355" s="145">
        <v>46069</v>
      </c>
      <c r="R355" s="145">
        <v>46073</v>
      </c>
      <c r="S355" s="192"/>
    </row>
    <row r="356" spans="1:19" ht="169.2" customHeight="1" x14ac:dyDescent="0.25">
      <c r="A356" s="197" t="str">
        <f t="shared" si="10"/>
        <v>INC20260215355</v>
      </c>
      <c r="B356" s="178">
        <v>46068.015972222202</v>
      </c>
      <c r="C356" s="192" t="s">
        <v>77</v>
      </c>
      <c r="D356" s="194" t="s">
        <v>78</v>
      </c>
      <c r="E356" s="192" t="s">
        <v>69</v>
      </c>
      <c r="F356" s="192" t="s">
        <v>40</v>
      </c>
      <c r="G356" s="192" t="s">
        <v>41</v>
      </c>
      <c r="H356" s="192" t="s">
        <v>79</v>
      </c>
      <c r="I356" s="192" t="s">
        <v>80</v>
      </c>
      <c r="J356" s="121" t="s">
        <v>2011</v>
      </c>
      <c r="K356" s="192" t="s">
        <v>44</v>
      </c>
      <c r="L356" s="192" t="s">
        <v>81</v>
      </c>
      <c r="M356" s="146" t="s">
        <v>5</v>
      </c>
      <c r="N356" s="179" t="s">
        <v>529</v>
      </c>
      <c r="O356" s="197" t="s">
        <v>83</v>
      </c>
      <c r="P356" s="197" t="s">
        <v>1366</v>
      </c>
      <c r="Q356" s="180">
        <v>46068.034722222197</v>
      </c>
      <c r="R356" s="145">
        <v>46073</v>
      </c>
      <c r="S356" s="192"/>
    </row>
    <row r="357" spans="1:19" ht="177.6" customHeight="1" x14ac:dyDescent="0.25">
      <c r="A357" s="197" t="str">
        <f t="shared" si="10"/>
        <v>INC20260215356</v>
      </c>
      <c r="B357" s="178">
        <v>46068.061111111099</v>
      </c>
      <c r="C357" s="192" t="s">
        <v>77</v>
      </c>
      <c r="D357" s="194" t="s">
        <v>78</v>
      </c>
      <c r="E357" s="192" t="s">
        <v>69</v>
      </c>
      <c r="F357" s="192" t="s">
        <v>40</v>
      </c>
      <c r="G357" s="192" t="s">
        <v>41</v>
      </c>
      <c r="H357" s="192" t="s">
        <v>79</v>
      </c>
      <c r="I357" s="192" t="s">
        <v>80</v>
      </c>
      <c r="J357" s="121" t="s">
        <v>2012</v>
      </c>
      <c r="K357" s="192" t="s">
        <v>44</v>
      </c>
      <c r="L357" s="192" t="s">
        <v>81</v>
      </c>
      <c r="M357" s="146" t="s">
        <v>5</v>
      </c>
      <c r="N357" s="179" t="s">
        <v>530</v>
      </c>
      <c r="O357" s="197" t="s">
        <v>83</v>
      </c>
      <c r="P357" s="197" t="s">
        <v>1366</v>
      </c>
      <c r="Q357" s="145">
        <v>46068</v>
      </c>
      <c r="R357" s="145">
        <v>46073</v>
      </c>
      <c r="S357" s="192"/>
    </row>
    <row r="358" spans="1:19" ht="182.4" customHeight="1" x14ac:dyDescent="0.25">
      <c r="A358" s="197" t="str">
        <f t="shared" si="10"/>
        <v>INC20260215357</v>
      </c>
      <c r="B358" s="178">
        <v>46068.527083333298</v>
      </c>
      <c r="C358" s="192" t="s">
        <v>77</v>
      </c>
      <c r="D358" s="194" t="s">
        <v>78</v>
      </c>
      <c r="E358" s="192" t="s">
        <v>69</v>
      </c>
      <c r="F358" s="192" t="s">
        <v>40</v>
      </c>
      <c r="G358" s="192" t="s">
        <v>41</v>
      </c>
      <c r="H358" s="192" t="s">
        <v>79</v>
      </c>
      <c r="I358" s="192" t="s">
        <v>80</v>
      </c>
      <c r="J358" s="121" t="s">
        <v>2013</v>
      </c>
      <c r="K358" s="192" t="s">
        <v>44</v>
      </c>
      <c r="L358" s="192" t="s">
        <v>81</v>
      </c>
      <c r="M358" s="146" t="s">
        <v>5</v>
      </c>
      <c r="N358" s="179" t="s">
        <v>531</v>
      </c>
      <c r="O358" s="197" t="s">
        <v>83</v>
      </c>
      <c r="P358" s="197" t="s">
        <v>1366</v>
      </c>
      <c r="Q358" s="180">
        <v>46068.531944444403</v>
      </c>
      <c r="R358" s="145">
        <v>46073</v>
      </c>
      <c r="S358" s="192"/>
    </row>
    <row r="359" spans="1:19" ht="184.8" customHeight="1" x14ac:dyDescent="0.25">
      <c r="A359" s="197" t="str">
        <f t="shared" si="10"/>
        <v>INC20260215358</v>
      </c>
      <c r="B359" s="178">
        <v>46068.513888888898</v>
      </c>
      <c r="C359" s="192" t="s">
        <v>77</v>
      </c>
      <c r="D359" s="194" t="s">
        <v>78</v>
      </c>
      <c r="E359" s="192" t="s">
        <v>69</v>
      </c>
      <c r="F359" s="192" t="s">
        <v>40</v>
      </c>
      <c r="G359" s="192" t="s">
        <v>41</v>
      </c>
      <c r="H359" s="192" t="s">
        <v>79</v>
      </c>
      <c r="I359" s="192" t="s">
        <v>80</v>
      </c>
      <c r="J359" s="121" t="s">
        <v>2014</v>
      </c>
      <c r="K359" s="192" t="s">
        <v>44</v>
      </c>
      <c r="L359" s="192" t="s">
        <v>81</v>
      </c>
      <c r="M359" s="146" t="s">
        <v>5</v>
      </c>
      <c r="N359" s="179" t="s">
        <v>532</v>
      </c>
      <c r="O359" s="197" t="s">
        <v>83</v>
      </c>
      <c r="P359" s="197" t="s">
        <v>1366</v>
      </c>
      <c r="Q359" s="180">
        <v>46068.622916666704</v>
      </c>
      <c r="R359" s="145">
        <v>46073</v>
      </c>
      <c r="S359" s="192"/>
    </row>
    <row r="360" spans="1:19" ht="158.4" customHeight="1" x14ac:dyDescent="0.25">
      <c r="A360" s="197" t="str">
        <f t="shared" si="10"/>
        <v>INC20260215359</v>
      </c>
      <c r="B360" s="178">
        <v>46068.512499999997</v>
      </c>
      <c r="C360" s="192" t="s">
        <v>77</v>
      </c>
      <c r="D360" s="194" t="s">
        <v>78</v>
      </c>
      <c r="E360" s="192" t="s">
        <v>69</v>
      </c>
      <c r="F360" s="192" t="s">
        <v>40</v>
      </c>
      <c r="G360" s="192" t="s">
        <v>41</v>
      </c>
      <c r="H360" s="192" t="s">
        <v>79</v>
      </c>
      <c r="I360" s="192" t="s">
        <v>80</v>
      </c>
      <c r="J360" s="121" t="s">
        <v>2015</v>
      </c>
      <c r="K360" s="192" t="s">
        <v>44</v>
      </c>
      <c r="L360" s="192" t="s">
        <v>81</v>
      </c>
      <c r="M360" s="146" t="s">
        <v>5</v>
      </c>
      <c r="N360" s="179" t="s">
        <v>533</v>
      </c>
      <c r="O360" s="197" t="s">
        <v>83</v>
      </c>
      <c r="P360" s="197" t="s">
        <v>1366</v>
      </c>
      <c r="Q360" s="145">
        <v>46068</v>
      </c>
      <c r="R360" s="145">
        <v>46073</v>
      </c>
      <c r="S360" s="192"/>
    </row>
    <row r="361" spans="1:19" ht="171.6" customHeight="1" x14ac:dyDescent="0.25">
      <c r="A361" s="197" t="str">
        <f t="shared" si="10"/>
        <v>INC20260215360</v>
      </c>
      <c r="B361" s="178">
        <v>46068.516666666699</v>
      </c>
      <c r="C361" s="192" t="s">
        <v>77</v>
      </c>
      <c r="D361" s="194" t="s">
        <v>78</v>
      </c>
      <c r="E361" s="192" t="s">
        <v>69</v>
      </c>
      <c r="F361" s="192" t="s">
        <v>40</v>
      </c>
      <c r="G361" s="192" t="s">
        <v>41</v>
      </c>
      <c r="H361" s="192" t="s">
        <v>79</v>
      </c>
      <c r="I361" s="192" t="s">
        <v>80</v>
      </c>
      <c r="J361" s="121" t="s">
        <v>2016</v>
      </c>
      <c r="K361" s="192" t="s">
        <v>44</v>
      </c>
      <c r="L361" s="192" t="s">
        <v>81</v>
      </c>
      <c r="M361" s="146" t="s">
        <v>5</v>
      </c>
      <c r="N361" s="179" t="s">
        <v>534</v>
      </c>
      <c r="O361" s="197" t="s">
        <v>83</v>
      </c>
      <c r="P361" s="197" t="s">
        <v>1366</v>
      </c>
      <c r="Q361" s="180">
        <v>46068.622916666704</v>
      </c>
      <c r="R361" s="145">
        <v>46073</v>
      </c>
      <c r="S361" s="192"/>
    </row>
    <row r="362" spans="1:19" ht="198" customHeight="1" x14ac:dyDescent="0.25">
      <c r="A362" s="197" t="str">
        <f t="shared" si="10"/>
        <v>INC20260215361</v>
      </c>
      <c r="B362" s="178">
        <v>46068.539583333302</v>
      </c>
      <c r="C362" s="192" t="s">
        <v>77</v>
      </c>
      <c r="D362" s="194" t="s">
        <v>78</v>
      </c>
      <c r="E362" s="192" t="s">
        <v>69</v>
      </c>
      <c r="F362" s="192" t="s">
        <v>40</v>
      </c>
      <c r="G362" s="192" t="s">
        <v>41</v>
      </c>
      <c r="H362" s="192" t="s">
        <v>79</v>
      </c>
      <c r="I362" s="192" t="s">
        <v>80</v>
      </c>
      <c r="J362" s="121" t="s">
        <v>2017</v>
      </c>
      <c r="K362" s="192" t="s">
        <v>44</v>
      </c>
      <c r="L362" s="192" t="s">
        <v>81</v>
      </c>
      <c r="M362" s="146" t="s">
        <v>5</v>
      </c>
      <c r="N362" s="179" t="s">
        <v>535</v>
      </c>
      <c r="O362" s="197" t="s">
        <v>83</v>
      </c>
      <c r="P362" s="197" t="s">
        <v>1366</v>
      </c>
      <c r="Q362" s="180">
        <v>46068.622916666704</v>
      </c>
      <c r="R362" s="145">
        <v>46073</v>
      </c>
      <c r="S362" s="192"/>
    </row>
    <row r="363" spans="1:19" ht="182.4" customHeight="1" x14ac:dyDescent="0.25">
      <c r="A363" s="197" t="str">
        <f t="shared" si="10"/>
        <v>INC20260215362</v>
      </c>
      <c r="B363" s="178">
        <v>46068.545138888898</v>
      </c>
      <c r="C363" s="192" t="s">
        <v>77</v>
      </c>
      <c r="D363" s="194" t="s">
        <v>78</v>
      </c>
      <c r="E363" s="192" t="s">
        <v>69</v>
      </c>
      <c r="F363" s="192" t="s">
        <v>40</v>
      </c>
      <c r="G363" s="192" t="s">
        <v>41</v>
      </c>
      <c r="H363" s="192" t="s">
        <v>79</v>
      </c>
      <c r="I363" s="192" t="s">
        <v>80</v>
      </c>
      <c r="J363" s="121" t="s">
        <v>2018</v>
      </c>
      <c r="K363" s="192" t="s">
        <v>44</v>
      </c>
      <c r="L363" s="192" t="s">
        <v>81</v>
      </c>
      <c r="M363" s="146" t="s">
        <v>5</v>
      </c>
      <c r="N363" s="179" t="s">
        <v>536</v>
      </c>
      <c r="O363" s="197" t="s">
        <v>83</v>
      </c>
      <c r="P363" s="197" t="s">
        <v>1366</v>
      </c>
      <c r="Q363" s="180">
        <v>46068.622916666704</v>
      </c>
      <c r="R363" s="145">
        <v>46073</v>
      </c>
      <c r="S363" s="192"/>
    </row>
    <row r="364" spans="1:19" ht="183" customHeight="1" x14ac:dyDescent="0.25">
      <c r="A364" s="197" t="str">
        <f t="shared" si="10"/>
        <v>INC20260215363</v>
      </c>
      <c r="B364" s="178">
        <v>46068.552777777797</v>
      </c>
      <c r="C364" s="192" t="s">
        <v>77</v>
      </c>
      <c r="D364" s="194" t="s">
        <v>78</v>
      </c>
      <c r="E364" s="192" t="s">
        <v>69</v>
      </c>
      <c r="F364" s="192" t="s">
        <v>40</v>
      </c>
      <c r="G364" s="192" t="s">
        <v>41</v>
      </c>
      <c r="H364" s="192" t="s">
        <v>79</v>
      </c>
      <c r="I364" s="192" t="s">
        <v>80</v>
      </c>
      <c r="J364" s="121" t="s">
        <v>2019</v>
      </c>
      <c r="K364" s="192" t="s">
        <v>44</v>
      </c>
      <c r="L364" s="192" t="s">
        <v>81</v>
      </c>
      <c r="M364" s="146" t="s">
        <v>5</v>
      </c>
      <c r="N364" s="179" t="s">
        <v>537</v>
      </c>
      <c r="O364" s="197" t="s">
        <v>83</v>
      </c>
      <c r="P364" s="197" t="s">
        <v>1366</v>
      </c>
      <c r="Q364" s="180">
        <v>46068.622916666704</v>
      </c>
      <c r="R364" s="145">
        <v>46073</v>
      </c>
      <c r="S364" s="192"/>
    </row>
    <row r="365" spans="1:19" ht="185.4" customHeight="1" x14ac:dyDescent="0.25">
      <c r="A365" s="197" t="str">
        <f t="shared" si="10"/>
        <v>INC20260215364</v>
      </c>
      <c r="B365" s="178">
        <v>46068.556944444397</v>
      </c>
      <c r="C365" s="192" t="s">
        <v>77</v>
      </c>
      <c r="D365" s="194" t="s">
        <v>78</v>
      </c>
      <c r="E365" s="192" t="s">
        <v>69</v>
      </c>
      <c r="F365" s="192" t="s">
        <v>40</v>
      </c>
      <c r="G365" s="192" t="s">
        <v>41</v>
      </c>
      <c r="H365" s="192" t="s">
        <v>79</v>
      </c>
      <c r="I365" s="192" t="s">
        <v>80</v>
      </c>
      <c r="J365" s="121" t="s">
        <v>2020</v>
      </c>
      <c r="K365" s="192" t="s">
        <v>44</v>
      </c>
      <c r="L365" s="192" t="s">
        <v>81</v>
      </c>
      <c r="M365" s="146" t="s">
        <v>5</v>
      </c>
      <c r="N365" s="179" t="s">
        <v>538</v>
      </c>
      <c r="O365" s="197" t="s">
        <v>83</v>
      </c>
      <c r="P365" s="197" t="s">
        <v>1366</v>
      </c>
      <c r="Q365" s="180">
        <v>46068.622916666704</v>
      </c>
      <c r="R365" s="145">
        <v>46073</v>
      </c>
      <c r="S365" s="192"/>
    </row>
    <row r="366" spans="1:19" ht="183.6" customHeight="1" x14ac:dyDescent="0.25">
      <c r="A366" s="197" t="str">
        <f t="shared" si="10"/>
        <v>INC20260215365</v>
      </c>
      <c r="B366" s="178">
        <v>46068.557638888902</v>
      </c>
      <c r="C366" s="192" t="s">
        <v>77</v>
      </c>
      <c r="D366" s="194" t="s">
        <v>78</v>
      </c>
      <c r="E366" s="192" t="s">
        <v>69</v>
      </c>
      <c r="F366" s="192" t="s">
        <v>40</v>
      </c>
      <c r="G366" s="192" t="s">
        <v>41</v>
      </c>
      <c r="H366" s="192" t="s">
        <v>79</v>
      </c>
      <c r="I366" s="192" t="s">
        <v>80</v>
      </c>
      <c r="J366" s="121" t="s">
        <v>2021</v>
      </c>
      <c r="K366" s="192" t="s">
        <v>44</v>
      </c>
      <c r="L366" s="192" t="s">
        <v>81</v>
      </c>
      <c r="M366" s="146" t="s">
        <v>5</v>
      </c>
      <c r="N366" s="179" t="s">
        <v>539</v>
      </c>
      <c r="O366" s="197" t="s">
        <v>83</v>
      </c>
      <c r="P366" s="197" t="s">
        <v>1366</v>
      </c>
      <c r="Q366" s="145">
        <v>46068</v>
      </c>
      <c r="R366" s="145">
        <v>46073</v>
      </c>
      <c r="S366" s="192"/>
    </row>
    <row r="367" spans="1:19" ht="180.6" customHeight="1" x14ac:dyDescent="0.25">
      <c r="A367" s="197" t="str">
        <f t="shared" si="10"/>
        <v>INC20260215366</v>
      </c>
      <c r="B367" s="178">
        <v>46068.565972222197</v>
      </c>
      <c r="C367" s="192" t="s">
        <v>77</v>
      </c>
      <c r="D367" s="194" t="s">
        <v>78</v>
      </c>
      <c r="E367" s="192" t="s">
        <v>69</v>
      </c>
      <c r="F367" s="192" t="s">
        <v>40</v>
      </c>
      <c r="G367" s="192" t="s">
        <v>41</v>
      </c>
      <c r="H367" s="192" t="s">
        <v>79</v>
      </c>
      <c r="I367" s="192" t="s">
        <v>80</v>
      </c>
      <c r="J367" s="121" t="s">
        <v>2022</v>
      </c>
      <c r="K367" s="192" t="s">
        <v>44</v>
      </c>
      <c r="L367" s="192" t="s">
        <v>81</v>
      </c>
      <c r="M367" s="146" t="s">
        <v>5</v>
      </c>
      <c r="N367" s="179" t="s">
        <v>540</v>
      </c>
      <c r="O367" s="197" t="s">
        <v>83</v>
      </c>
      <c r="P367" s="197" t="s">
        <v>1366</v>
      </c>
      <c r="Q367" s="180">
        <v>46068.622916666704</v>
      </c>
      <c r="R367" s="145">
        <v>46073</v>
      </c>
      <c r="S367" s="192"/>
    </row>
    <row r="368" spans="1:19" ht="199.2" customHeight="1" x14ac:dyDescent="0.25">
      <c r="A368" s="197" t="str">
        <f t="shared" si="10"/>
        <v>INC20260215367</v>
      </c>
      <c r="B368" s="178">
        <v>46068.567361111098</v>
      </c>
      <c r="C368" s="192" t="s">
        <v>77</v>
      </c>
      <c r="D368" s="194" t="s">
        <v>78</v>
      </c>
      <c r="E368" s="192" t="s">
        <v>69</v>
      </c>
      <c r="F368" s="192" t="s">
        <v>40</v>
      </c>
      <c r="G368" s="192" t="s">
        <v>41</v>
      </c>
      <c r="H368" s="192" t="s">
        <v>79</v>
      </c>
      <c r="I368" s="192" t="s">
        <v>80</v>
      </c>
      <c r="J368" s="121" t="s">
        <v>2023</v>
      </c>
      <c r="K368" s="192" t="s">
        <v>44</v>
      </c>
      <c r="L368" s="192" t="s">
        <v>81</v>
      </c>
      <c r="M368" s="146" t="s">
        <v>5</v>
      </c>
      <c r="N368" s="179" t="s">
        <v>541</v>
      </c>
      <c r="O368" s="197" t="s">
        <v>83</v>
      </c>
      <c r="P368" s="197" t="s">
        <v>1366</v>
      </c>
      <c r="Q368" s="180">
        <v>46068.622916666704</v>
      </c>
      <c r="R368" s="145">
        <v>46073</v>
      </c>
      <c r="S368" s="192"/>
    </row>
    <row r="369" spans="1:19" ht="168.6" customHeight="1" x14ac:dyDescent="0.25">
      <c r="A369" s="197" t="str">
        <f t="shared" si="10"/>
        <v>INC20260215368</v>
      </c>
      <c r="B369" s="178">
        <v>46068.567361111098</v>
      </c>
      <c r="C369" s="192" t="s">
        <v>77</v>
      </c>
      <c r="D369" s="194" t="s">
        <v>78</v>
      </c>
      <c r="E369" s="192" t="s">
        <v>69</v>
      </c>
      <c r="F369" s="192" t="s">
        <v>40</v>
      </c>
      <c r="G369" s="192" t="s">
        <v>41</v>
      </c>
      <c r="H369" s="192" t="s">
        <v>79</v>
      </c>
      <c r="I369" s="192" t="s">
        <v>80</v>
      </c>
      <c r="J369" s="121" t="s">
        <v>2024</v>
      </c>
      <c r="K369" s="192" t="s">
        <v>44</v>
      </c>
      <c r="L369" s="192" t="s">
        <v>81</v>
      </c>
      <c r="M369" s="146" t="s">
        <v>5</v>
      </c>
      <c r="N369" s="179" t="s">
        <v>542</v>
      </c>
      <c r="O369" s="197" t="s">
        <v>83</v>
      </c>
      <c r="P369" s="197" t="s">
        <v>1366</v>
      </c>
      <c r="Q369" s="180">
        <v>46068.622916666704</v>
      </c>
      <c r="R369" s="145">
        <v>46073</v>
      </c>
      <c r="S369" s="192"/>
    </row>
    <row r="370" spans="1:19" ht="198.6" customHeight="1" x14ac:dyDescent="0.25">
      <c r="A370" s="197" t="str">
        <f t="shared" si="10"/>
        <v>INC20260215369</v>
      </c>
      <c r="B370" s="178">
        <v>46068.568055555603</v>
      </c>
      <c r="C370" s="192" t="s">
        <v>77</v>
      </c>
      <c r="D370" s="194" t="s">
        <v>78</v>
      </c>
      <c r="E370" s="192" t="s">
        <v>69</v>
      </c>
      <c r="F370" s="192" t="s">
        <v>40</v>
      </c>
      <c r="G370" s="192" t="s">
        <v>41</v>
      </c>
      <c r="H370" s="192" t="s">
        <v>79</v>
      </c>
      <c r="I370" s="192" t="s">
        <v>80</v>
      </c>
      <c r="J370" s="121" t="s">
        <v>2025</v>
      </c>
      <c r="K370" s="192" t="s">
        <v>44</v>
      </c>
      <c r="L370" s="192" t="s">
        <v>81</v>
      </c>
      <c r="M370" s="146" t="s">
        <v>5</v>
      </c>
      <c r="N370" s="179" t="s">
        <v>543</v>
      </c>
      <c r="O370" s="197" t="s">
        <v>83</v>
      </c>
      <c r="P370" s="197" t="s">
        <v>1366</v>
      </c>
      <c r="Q370" s="180">
        <v>46068.622916666704</v>
      </c>
      <c r="R370" s="145">
        <v>46073</v>
      </c>
      <c r="S370" s="192"/>
    </row>
    <row r="371" spans="1:19" ht="159" customHeight="1" x14ac:dyDescent="0.25">
      <c r="A371" s="197" t="str">
        <f t="shared" si="10"/>
        <v>INC20260215370</v>
      </c>
      <c r="B371" s="178">
        <v>46068.5715277778</v>
      </c>
      <c r="C371" s="192" t="s">
        <v>77</v>
      </c>
      <c r="D371" s="194" t="s">
        <v>78</v>
      </c>
      <c r="E371" s="192" t="s">
        <v>69</v>
      </c>
      <c r="F371" s="192" t="s">
        <v>40</v>
      </c>
      <c r="G371" s="192" t="s">
        <v>41</v>
      </c>
      <c r="H371" s="192" t="s">
        <v>79</v>
      </c>
      <c r="I371" s="192" t="s">
        <v>80</v>
      </c>
      <c r="J371" s="121" t="s">
        <v>2026</v>
      </c>
      <c r="K371" s="192" t="s">
        <v>44</v>
      </c>
      <c r="L371" s="192" t="s">
        <v>81</v>
      </c>
      <c r="M371" s="146" t="s">
        <v>5</v>
      </c>
      <c r="N371" s="179" t="s">
        <v>544</v>
      </c>
      <c r="O371" s="197" t="s">
        <v>83</v>
      </c>
      <c r="P371" s="197" t="s">
        <v>1366</v>
      </c>
      <c r="Q371" s="180">
        <v>46068.622916666704</v>
      </c>
      <c r="R371" s="145">
        <v>46073</v>
      </c>
      <c r="S371" s="192"/>
    </row>
    <row r="372" spans="1:19" ht="168.6" customHeight="1" x14ac:dyDescent="0.25">
      <c r="A372" s="197" t="str">
        <f t="shared" si="10"/>
        <v>INC20260215371</v>
      </c>
      <c r="B372" s="178">
        <v>46068.579166666699</v>
      </c>
      <c r="C372" s="192" t="s">
        <v>77</v>
      </c>
      <c r="D372" s="194" t="s">
        <v>78</v>
      </c>
      <c r="E372" s="192" t="s">
        <v>69</v>
      </c>
      <c r="F372" s="192" t="s">
        <v>40</v>
      </c>
      <c r="G372" s="192" t="s">
        <v>41</v>
      </c>
      <c r="H372" s="192" t="s">
        <v>79</v>
      </c>
      <c r="I372" s="192" t="s">
        <v>80</v>
      </c>
      <c r="J372" s="121" t="s">
        <v>2027</v>
      </c>
      <c r="K372" s="192" t="s">
        <v>44</v>
      </c>
      <c r="L372" s="192" t="s">
        <v>81</v>
      </c>
      <c r="M372" s="146" t="s">
        <v>5</v>
      </c>
      <c r="N372" s="179" t="s">
        <v>545</v>
      </c>
      <c r="O372" s="197" t="s">
        <v>83</v>
      </c>
      <c r="P372" s="197" t="s">
        <v>1366</v>
      </c>
      <c r="Q372" s="180">
        <v>46068.622916666704</v>
      </c>
      <c r="R372" s="145">
        <v>46073</v>
      </c>
      <c r="S372" s="192"/>
    </row>
    <row r="373" spans="1:19" ht="165.6" customHeight="1" x14ac:dyDescent="0.25">
      <c r="A373" s="197" t="str">
        <f t="shared" si="10"/>
        <v>INC20260215372</v>
      </c>
      <c r="B373" s="178">
        <v>46068.596527777801</v>
      </c>
      <c r="C373" s="192" t="s">
        <v>77</v>
      </c>
      <c r="D373" s="194" t="s">
        <v>78</v>
      </c>
      <c r="E373" s="192" t="s">
        <v>69</v>
      </c>
      <c r="F373" s="192" t="s">
        <v>40</v>
      </c>
      <c r="G373" s="192" t="s">
        <v>41</v>
      </c>
      <c r="H373" s="192" t="s">
        <v>79</v>
      </c>
      <c r="I373" s="192" t="s">
        <v>80</v>
      </c>
      <c r="J373" s="121" t="s">
        <v>2028</v>
      </c>
      <c r="K373" s="192" t="s">
        <v>44</v>
      </c>
      <c r="L373" s="192" t="s">
        <v>81</v>
      </c>
      <c r="M373" s="146" t="s">
        <v>5</v>
      </c>
      <c r="N373" s="179" t="s">
        <v>546</v>
      </c>
      <c r="O373" s="197" t="s">
        <v>83</v>
      </c>
      <c r="P373" s="197" t="s">
        <v>1366</v>
      </c>
      <c r="Q373" s="180">
        <v>46068.622916666704</v>
      </c>
      <c r="R373" s="145">
        <v>46073</v>
      </c>
      <c r="S373" s="192"/>
    </row>
    <row r="374" spans="1:19" ht="174.6" customHeight="1" x14ac:dyDescent="0.25">
      <c r="A374" s="197" t="str">
        <f t="shared" si="10"/>
        <v>INC20260215373</v>
      </c>
      <c r="B374" s="178">
        <v>46068.600694444402</v>
      </c>
      <c r="C374" s="192" t="s">
        <v>77</v>
      </c>
      <c r="D374" s="194" t="s">
        <v>78</v>
      </c>
      <c r="E374" s="192" t="s">
        <v>69</v>
      </c>
      <c r="F374" s="192" t="s">
        <v>40</v>
      </c>
      <c r="G374" s="192" t="s">
        <v>41</v>
      </c>
      <c r="H374" s="192" t="s">
        <v>79</v>
      </c>
      <c r="I374" s="192" t="s">
        <v>80</v>
      </c>
      <c r="J374" s="121" t="s">
        <v>2029</v>
      </c>
      <c r="K374" s="192" t="s">
        <v>44</v>
      </c>
      <c r="L374" s="192" t="s">
        <v>81</v>
      </c>
      <c r="M374" s="146" t="s">
        <v>5</v>
      </c>
      <c r="N374" s="179" t="s">
        <v>546</v>
      </c>
      <c r="O374" s="197" t="s">
        <v>83</v>
      </c>
      <c r="P374" s="197" t="s">
        <v>1366</v>
      </c>
      <c r="Q374" s="180">
        <v>46068.622916666704</v>
      </c>
      <c r="R374" s="145">
        <v>46073</v>
      </c>
      <c r="S374" s="192"/>
    </row>
    <row r="375" spans="1:19" ht="164.4" customHeight="1" x14ac:dyDescent="0.25">
      <c r="A375" s="197" t="str">
        <f t="shared" si="10"/>
        <v>INC20260215374</v>
      </c>
      <c r="B375" s="178">
        <v>46068.6027777778</v>
      </c>
      <c r="C375" s="192" t="s">
        <v>77</v>
      </c>
      <c r="D375" s="194" t="s">
        <v>78</v>
      </c>
      <c r="E375" s="192" t="s">
        <v>69</v>
      </c>
      <c r="F375" s="192" t="s">
        <v>40</v>
      </c>
      <c r="G375" s="192" t="s">
        <v>60</v>
      </c>
      <c r="H375" s="192" t="s">
        <v>79</v>
      </c>
      <c r="I375" s="192" t="s">
        <v>80</v>
      </c>
      <c r="J375" s="121" t="s">
        <v>2030</v>
      </c>
      <c r="K375" s="192" t="s">
        <v>63</v>
      </c>
      <c r="L375" s="192" t="s">
        <v>81</v>
      </c>
      <c r="M375" s="146" t="s">
        <v>5</v>
      </c>
      <c r="N375" s="179" t="s">
        <v>547</v>
      </c>
      <c r="O375" s="197" t="s">
        <v>83</v>
      </c>
      <c r="P375" s="197" t="s">
        <v>1366</v>
      </c>
      <c r="Q375" s="145">
        <v>46069</v>
      </c>
      <c r="R375" s="145">
        <v>46073</v>
      </c>
      <c r="S375" s="192"/>
    </row>
    <row r="376" spans="1:19" ht="192.6" customHeight="1" x14ac:dyDescent="0.25">
      <c r="A376" s="197" t="str">
        <f t="shared" si="10"/>
        <v>INC20260215375</v>
      </c>
      <c r="B376" s="178">
        <v>46068.655555555597</v>
      </c>
      <c r="C376" s="192" t="s">
        <v>77</v>
      </c>
      <c r="D376" s="194" t="s">
        <v>78</v>
      </c>
      <c r="E376" s="192" t="s">
        <v>69</v>
      </c>
      <c r="F376" s="192" t="s">
        <v>40</v>
      </c>
      <c r="G376" s="192" t="s">
        <v>41</v>
      </c>
      <c r="H376" s="192" t="s">
        <v>79</v>
      </c>
      <c r="I376" s="192" t="s">
        <v>80</v>
      </c>
      <c r="J376" s="121" t="s">
        <v>2031</v>
      </c>
      <c r="K376" s="192" t="s">
        <v>44</v>
      </c>
      <c r="L376" s="192" t="s">
        <v>81</v>
      </c>
      <c r="M376" s="146" t="s">
        <v>5</v>
      </c>
      <c r="N376" s="179" t="s">
        <v>548</v>
      </c>
      <c r="O376" s="197" t="s">
        <v>83</v>
      </c>
      <c r="P376" s="197" t="s">
        <v>1366</v>
      </c>
      <c r="Q376" s="180">
        <v>46069</v>
      </c>
      <c r="R376" s="145">
        <v>46073</v>
      </c>
      <c r="S376" s="192"/>
    </row>
    <row r="377" spans="1:19" ht="201" customHeight="1" x14ac:dyDescent="0.25">
      <c r="A377" s="197" t="str">
        <f t="shared" si="10"/>
        <v>INC20260215376</v>
      </c>
      <c r="B377" s="178">
        <v>46068.65625</v>
      </c>
      <c r="C377" s="192" t="s">
        <v>77</v>
      </c>
      <c r="D377" s="194" t="s">
        <v>78</v>
      </c>
      <c r="E377" s="192" t="s">
        <v>69</v>
      </c>
      <c r="F377" s="192" t="s">
        <v>40</v>
      </c>
      <c r="G377" s="192" t="s">
        <v>41</v>
      </c>
      <c r="H377" s="192" t="s">
        <v>79</v>
      </c>
      <c r="I377" s="192" t="s">
        <v>80</v>
      </c>
      <c r="J377" s="121" t="s">
        <v>2032</v>
      </c>
      <c r="K377" s="192" t="s">
        <v>44</v>
      </c>
      <c r="L377" s="192" t="s">
        <v>81</v>
      </c>
      <c r="M377" s="146" t="s">
        <v>5</v>
      </c>
      <c r="N377" s="179" t="s">
        <v>549</v>
      </c>
      <c r="O377" s="197" t="s">
        <v>83</v>
      </c>
      <c r="P377" s="197" t="s">
        <v>1366</v>
      </c>
      <c r="Q377" s="180">
        <v>46068.706250000003</v>
      </c>
      <c r="R377" s="145">
        <v>46073</v>
      </c>
      <c r="S377" s="192"/>
    </row>
    <row r="378" spans="1:19" ht="177" customHeight="1" x14ac:dyDescent="0.25">
      <c r="A378" s="197" t="str">
        <f t="shared" si="10"/>
        <v>INC20260215377</v>
      </c>
      <c r="B378" s="178">
        <v>46068.656944444403</v>
      </c>
      <c r="C378" s="192" t="s">
        <v>77</v>
      </c>
      <c r="D378" s="194" t="s">
        <v>78</v>
      </c>
      <c r="E378" s="192" t="s">
        <v>69</v>
      </c>
      <c r="F378" s="192" t="s">
        <v>40</v>
      </c>
      <c r="G378" s="192" t="s">
        <v>41</v>
      </c>
      <c r="H378" s="192" t="s">
        <v>79</v>
      </c>
      <c r="I378" s="192" t="s">
        <v>80</v>
      </c>
      <c r="J378" s="121" t="s">
        <v>2033</v>
      </c>
      <c r="K378" s="192" t="s">
        <v>44</v>
      </c>
      <c r="L378" s="192" t="s">
        <v>81</v>
      </c>
      <c r="M378" s="146" t="s">
        <v>5</v>
      </c>
      <c r="N378" s="179" t="s">
        <v>550</v>
      </c>
      <c r="O378" s="197" t="s">
        <v>83</v>
      </c>
      <c r="P378" s="197" t="s">
        <v>1366</v>
      </c>
      <c r="Q378" s="180">
        <v>46068.706250000003</v>
      </c>
      <c r="R378" s="145">
        <v>46073</v>
      </c>
      <c r="S378" s="192"/>
    </row>
    <row r="379" spans="1:19" ht="168.6" customHeight="1" x14ac:dyDescent="0.25">
      <c r="A379" s="197" t="str">
        <f t="shared" si="10"/>
        <v>INC20260215378</v>
      </c>
      <c r="B379" s="178">
        <v>46068.658333333296</v>
      </c>
      <c r="C379" s="192" t="s">
        <v>77</v>
      </c>
      <c r="D379" s="194" t="s">
        <v>78</v>
      </c>
      <c r="E379" s="192" t="s">
        <v>69</v>
      </c>
      <c r="F379" s="192" t="s">
        <v>40</v>
      </c>
      <c r="G379" s="192" t="s">
        <v>41</v>
      </c>
      <c r="H379" s="192" t="s">
        <v>79</v>
      </c>
      <c r="I379" s="192" t="s">
        <v>80</v>
      </c>
      <c r="J379" s="121" t="s">
        <v>2034</v>
      </c>
      <c r="K379" s="192" t="s">
        <v>44</v>
      </c>
      <c r="L379" s="192" t="s">
        <v>81</v>
      </c>
      <c r="M379" s="146" t="s">
        <v>5</v>
      </c>
      <c r="N379" s="179" t="s">
        <v>551</v>
      </c>
      <c r="O379" s="197" t="s">
        <v>83</v>
      </c>
      <c r="P379" s="197" t="s">
        <v>1366</v>
      </c>
      <c r="Q379" s="180">
        <v>46068.683333333298</v>
      </c>
      <c r="R379" s="145">
        <v>46073</v>
      </c>
      <c r="S379" s="192"/>
    </row>
    <row r="380" spans="1:19" ht="178.8" customHeight="1" x14ac:dyDescent="0.25">
      <c r="A380" s="197" t="str">
        <f t="shared" si="10"/>
        <v>INC20260215379</v>
      </c>
      <c r="B380" s="178">
        <v>46068.659027777801</v>
      </c>
      <c r="C380" s="192" t="s">
        <v>77</v>
      </c>
      <c r="D380" s="194" t="s">
        <v>78</v>
      </c>
      <c r="E380" s="192" t="s">
        <v>69</v>
      </c>
      <c r="F380" s="192" t="s">
        <v>40</v>
      </c>
      <c r="G380" s="192" t="s">
        <v>41</v>
      </c>
      <c r="H380" s="192" t="s">
        <v>79</v>
      </c>
      <c r="I380" s="192" t="s">
        <v>80</v>
      </c>
      <c r="J380" s="121" t="s">
        <v>2035</v>
      </c>
      <c r="K380" s="192" t="s">
        <v>44</v>
      </c>
      <c r="L380" s="192" t="s">
        <v>81</v>
      </c>
      <c r="M380" s="146" t="s">
        <v>5</v>
      </c>
      <c r="N380" s="179" t="s">
        <v>552</v>
      </c>
      <c r="O380" s="197" t="s">
        <v>83</v>
      </c>
      <c r="P380" s="197" t="s">
        <v>1366</v>
      </c>
      <c r="Q380" s="180">
        <v>46068.680555555598</v>
      </c>
      <c r="R380" s="145">
        <v>46073</v>
      </c>
      <c r="S380" s="192"/>
    </row>
    <row r="381" spans="1:19" ht="161.4" customHeight="1" x14ac:dyDescent="0.25">
      <c r="A381" s="197" t="str">
        <f t="shared" si="10"/>
        <v>INC20260215380</v>
      </c>
      <c r="B381" s="178">
        <v>46068.670833333301</v>
      </c>
      <c r="C381" s="192" t="s">
        <v>77</v>
      </c>
      <c r="D381" s="194" t="s">
        <v>78</v>
      </c>
      <c r="E381" s="192" t="s">
        <v>69</v>
      </c>
      <c r="F381" s="192" t="s">
        <v>40</v>
      </c>
      <c r="G381" s="192" t="s">
        <v>41</v>
      </c>
      <c r="H381" s="192" t="s">
        <v>79</v>
      </c>
      <c r="I381" s="192" t="s">
        <v>80</v>
      </c>
      <c r="J381" s="121" t="s">
        <v>2036</v>
      </c>
      <c r="K381" s="192" t="s">
        <v>44</v>
      </c>
      <c r="L381" s="192" t="s">
        <v>81</v>
      </c>
      <c r="M381" s="146" t="s">
        <v>5</v>
      </c>
      <c r="N381" s="179" t="s">
        <v>553</v>
      </c>
      <c r="O381" s="197" t="s">
        <v>83</v>
      </c>
      <c r="P381" s="197" t="s">
        <v>1366</v>
      </c>
      <c r="Q381" s="180">
        <v>46068.681250000001</v>
      </c>
      <c r="R381" s="145">
        <v>46073</v>
      </c>
      <c r="S381" s="192"/>
    </row>
    <row r="382" spans="1:19" ht="168.6" customHeight="1" x14ac:dyDescent="0.25">
      <c r="A382" s="197" t="str">
        <f t="shared" si="10"/>
        <v>INC20260215381</v>
      </c>
      <c r="B382" s="178">
        <v>46068.961805555598</v>
      </c>
      <c r="C382" s="192" t="s">
        <v>77</v>
      </c>
      <c r="D382" s="194" t="s">
        <v>78</v>
      </c>
      <c r="E382" s="192" t="s">
        <v>69</v>
      </c>
      <c r="F382" s="192" t="s">
        <v>40</v>
      </c>
      <c r="G382" s="192" t="s">
        <v>41</v>
      </c>
      <c r="H382" s="192" t="s">
        <v>79</v>
      </c>
      <c r="I382" s="192" t="s">
        <v>80</v>
      </c>
      <c r="J382" s="121" t="s">
        <v>2037</v>
      </c>
      <c r="K382" s="192" t="s">
        <v>44</v>
      </c>
      <c r="L382" s="192" t="s">
        <v>81</v>
      </c>
      <c r="M382" s="146" t="s">
        <v>5</v>
      </c>
      <c r="N382" s="179" t="s">
        <v>554</v>
      </c>
      <c r="O382" s="197" t="s">
        <v>83</v>
      </c>
      <c r="P382" s="197" t="s">
        <v>1366</v>
      </c>
      <c r="Q382" s="180">
        <v>46068.964583333298</v>
      </c>
      <c r="R382" s="145">
        <v>46073</v>
      </c>
      <c r="S382" s="192"/>
    </row>
    <row r="383" spans="1:19" ht="180.6" customHeight="1" x14ac:dyDescent="0.25">
      <c r="A383" s="197" t="str">
        <f t="shared" si="10"/>
        <v>INC20260216382</v>
      </c>
      <c r="B383" s="178">
        <v>46069.072916666701</v>
      </c>
      <c r="C383" s="192" t="s">
        <v>77</v>
      </c>
      <c r="D383" s="194" t="s">
        <v>78</v>
      </c>
      <c r="E383" s="192" t="s">
        <v>69</v>
      </c>
      <c r="F383" s="192" t="s">
        <v>40</v>
      </c>
      <c r="G383" s="192" t="s">
        <v>60</v>
      </c>
      <c r="H383" s="192" t="s">
        <v>79</v>
      </c>
      <c r="I383" s="192" t="s">
        <v>80</v>
      </c>
      <c r="J383" s="121" t="s">
        <v>2038</v>
      </c>
      <c r="K383" s="192" t="s">
        <v>63</v>
      </c>
      <c r="L383" s="192" t="s">
        <v>81</v>
      </c>
      <c r="M383" s="146" t="s">
        <v>5</v>
      </c>
      <c r="N383" s="179" t="s">
        <v>555</v>
      </c>
      <c r="O383" s="197" t="s">
        <v>83</v>
      </c>
      <c r="P383" s="197" t="s">
        <v>1366</v>
      </c>
      <c r="Q383" s="180">
        <v>46068.441666666702</v>
      </c>
      <c r="R383" s="145">
        <v>46073</v>
      </c>
      <c r="S383" s="192"/>
    </row>
    <row r="384" spans="1:19" ht="180.6" customHeight="1" x14ac:dyDescent="0.25">
      <c r="A384" s="197" t="str">
        <f t="shared" si="10"/>
        <v>INC20260216383</v>
      </c>
      <c r="B384" s="178">
        <v>46069.7097222222</v>
      </c>
      <c r="C384" s="192" t="s">
        <v>77</v>
      </c>
      <c r="D384" s="194" t="s">
        <v>78</v>
      </c>
      <c r="E384" s="192" t="s">
        <v>69</v>
      </c>
      <c r="F384" s="192" t="s">
        <v>40</v>
      </c>
      <c r="G384" s="192" t="s">
        <v>60</v>
      </c>
      <c r="H384" s="192" t="s">
        <v>79</v>
      </c>
      <c r="I384" s="192" t="s">
        <v>84</v>
      </c>
      <c r="J384" s="121" t="s">
        <v>2039</v>
      </c>
      <c r="K384" s="192" t="s">
        <v>63</v>
      </c>
      <c r="L384" s="192" t="s">
        <v>81</v>
      </c>
      <c r="M384" s="146" t="s">
        <v>5</v>
      </c>
      <c r="N384" s="179" t="s">
        <v>556</v>
      </c>
      <c r="O384" s="192" t="s">
        <v>86</v>
      </c>
      <c r="P384" s="192" t="s">
        <v>87</v>
      </c>
      <c r="Q384" s="145">
        <v>46071</v>
      </c>
      <c r="R384" s="145">
        <v>46073</v>
      </c>
      <c r="S384" s="192"/>
    </row>
    <row r="385" spans="1:19" ht="159" customHeight="1" x14ac:dyDescent="0.25">
      <c r="A385" s="197" t="str">
        <f t="shared" si="10"/>
        <v>INC20260216384</v>
      </c>
      <c r="B385" s="178">
        <v>46069.809027777803</v>
      </c>
      <c r="C385" s="192" t="s">
        <v>77</v>
      </c>
      <c r="D385" s="194" t="s">
        <v>78</v>
      </c>
      <c r="E385" s="192" t="s">
        <v>58</v>
      </c>
      <c r="F385" s="192" t="s">
        <v>40</v>
      </c>
      <c r="G385" s="192" t="s">
        <v>60</v>
      </c>
      <c r="H385" s="192" t="s">
        <v>79</v>
      </c>
      <c r="I385" s="192" t="s">
        <v>84</v>
      </c>
      <c r="J385" s="121" t="s">
        <v>2040</v>
      </c>
      <c r="K385" s="192" t="s">
        <v>63</v>
      </c>
      <c r="L385" s="192" t="s">
        <v>81</v>
      </c>
      <c r="M385" s="146" t="s">
        <v>5</v>
      </c>
      <c r="N385" s="179" t="s">
        <v>557</v>
      </c>
      <c r="O385" s="192" t="s">
        <v>86</v>
      </c>
      <c r="P385" s="192" t="s">
        <v>87</v>
      </c>
      <c r="Q385" s="180">
        <v>46069.815277777801</v>
      </c>
      <c r="R385" s="145">
        <v>46073</v>
      </c>
      <c r="S385" s="192"/>
    </row>
    <row r="386" spans="1:19" ht="169.2" customHeight="1" x14ac:dyDescent="0.25">
      <c r="A386" s="197" t="str">
        <f t="shared" si="10"/>
        <v>INC20260218385</v>
      </c>
      <c r="B386" s="199">
        <v>46071.466666666704</v>
      </c>
      <c r="C386" s="192" t="s">
        <v>37</v>
      </c>
      <c r="D386" s="194" t="s">
        <v>129</v>
      </c>
      <c r="E386" s="192" t="s">
        <v>50</v>
      </c>
      <c r="F386" s="192" t="s">
        <v>40</v>
      </c>
      <c r="G386" s="192" t="s">
        <v>51</v>
      </c>
      <c r="H386" s="192" t="s">
        <v>92</v>
      </c>
      <c r="I386" s="192" t="s">
        <v>93</v>
      </c>
      <c r="J386" s="195" t="s">
        <v>2041</v>
      </c>
      <c r="K386" s="192" t="s">
        <v>54</v>
      </c>
      <c r="L386" s="192" t="s">
        <v>55</v>
      </c>
      <c r="M386" s="146" t="s">
        <v>5</v>
      </c>
      <c r="N386" s="192" t="s">
        <v>558</v>
      </c>
      <c r="O386" s="192" t="s">
        <v>95</v>
      </c>
      <c r="P386" s="192" t="s">
        <v>96</v>
      </c>
      <c r="Q386" s="145">
        <v>46072</v>
      </c>
      <c r="R386" s="145">
        <v>46073</v>
      </c>
      <c r="S386" s="192"/>
    </row>
    <row r="387" spans="1:19" ht="194.4" customHeight="1" x14ac:dyDescent="0.25">
      <c r="A387" s="197" t="str">
        <f t="shared" si="10"/>
        <v>INC20260218386</v>
      </c>
      <c r="B387" s="199">
        <v>46071.620833333298</v>
      </c>
      <c r="C387" s="192" t="s">
        <v>37</v>
      </c>
      <c r="D387" s="194" t="s">
        <v>57</v>
      </c>
      <c r="E387" s="192" t="s">
        <v>58</v>
      </c>
      <c r="F387" s="192" t="s">
        <v>59</v>
      </c>
      <c r="G387" s="192" t="s">
        <v>60</v>
      </c>
      <c r="H387" s="192" t="s">
        <v>61</v>
      </c>
      <c r="I387" s="192" t="s">
        <v>62</v>
      </c>
      <c r="J387" s="121" t="s">
        <v>2042</v>
      </c>
      <c r="K387" s="192" t="s">
        <v>63</v>
      </c>
      <c r="L387" s="192" t="s">
        <v>64</v>
      </c>
      <c r="M387" s="143" t="s">
        <v>5</v>
      </c>
      <c r="N387" s="192" t="s">
        <v>559</v>
      </c>
      <c r="O387" s="192" t="s">
        <v>66</v>
      </c>
      <c r="P387" s="192" t="s">
        <v>67</v>
      </c>
      <c r="Q387" s="145"/>
      <c r="R387" s="145">
        <v>46073</v>
      </c>
      <c r="S387" s="192"/>
    </row>
    <row r="388" spans="1:19" ht="190.8" customHeight="1" x14ac:dyDescent="0.25">
      <c r="A388" s="197" t="str">
        <f t="shared" si="10"/>
        <v>INC20260218387</v>
      </c>
      <c r="B388" s="199">
        <v>46071.697222222203</v>
      </c>
      <c r="C388" s="192" t="s">
        <v>37</v>
      </c>
      <c r="D388" s="194" t="s">
        <v>560</v>
      </c>
      <c r="E388" s="192" t="s">
        <v>69</v>
      </c>
      <c r="F388" s="192" t="s">
        <v>40</v>
      </c>
      <c r="G388" s="192" t="s">
        <v>60</v>
      </c>
      <c r="H388" s="192" t="s">
        <v>79</v>
      </c>
      <c r="I388" s="192" t="s">
        <v>84</v>
      </c>
      <c r="J388" s="121" t="s">
        <v>2043</v>
      </c>
      <c r="K388" s="192" t="s">
        <v>63</v>
      </c>
      <c r="L388" s="192" t="s">
        <v>81</v>
      </c>
      <c r="M388" s="146" t="s">
        <v>5</v>
      </c>
      <c r="N388" s="179" t="s">
        <v>484</v>
      </c>
      <c r="O388" s="192" t="s">
        <v>86</v>
      </c>
      <c r="P388" s="192" t="s">
        <v>87</v>
      </c>
      <c r="Q388" s="145">
        <v>46071</v>
      </c>
      <c r="R388" s="145">
        <v>46073</v>
      </c>
      <c r="S388" s="192"/>
    </row>
    <row r="389" spans="1:19" ht="147.6" customHeight="1" x14ac:dyDescent="0.25">
      <c r="A389" s="197" t="str">
        <f t="shared" si="10"/>
        <v>INC20260218388</v>
      </c>
      <c r="B389" s="199">
        <v>46071.744444444397</v>
      </c>
      <c r="C389" s="192" t="s">
        <v>37</v>
      </c>
      <c r="D389" s="194" t="s">
        <v>57</v>
      </c>
      <c r="E389" s="192" t="s">
        <v>561</v>
      </c>
      <c r="F389" s="192" t="s">
        <v>40</v>
      </c>
      <c r="G389" s="192" t="s">
        <v>60</v>
      </c>
      <c r="H389" s="192" t="s">
        <v>79</v>
      </c>
      <c r="I389" s="192" t="s">
        <v>84</v>
      </c>
      <c r="J389" s="121" t="s">
        <v>2044</v>
      </c>
      <c r="K389" s="192" t="s">
        <v>63</v>
      </c>
      <c r="L389" s="192" t="s">
        <v>81</v>
      </c>
      <c r="M389" s="146" t="s">
        <v>5</v>
      </c>
      <c r="N389" s="179" t="s">
        <v>562</v>
      </c>
      <c r="O389" s="192" t="s">
        <v>86</v>
      </c>
      <c r="P389" s="192" t="s">
        <v>87</v>
      </c>
      <c r="Q389" s="145">
        <v>46071</v>
      </c>
      <c r="R389" s="145">
        <v>46073</v>
      </c>
      <c r="S389" s="192"/>
    </row>
    <row r="390" spans="1:19" ht="176.4" customHeight="1" x14ac:dyDescent="0.25">
      <c r="A390" s="197" t="str">
        <f t="shared" si="10"/>
        <v>INC20260219389</v>
      </c>
      <c r="B390" s="199">
        <v>46072.386111111096</v>
      </c>
      <c r="C390" s="192" t="s">
        <v>37</v>
      </c>
      <c r="D390" s="194" t="s">
        <v>38</v>
      </c>
      <c r="E390" s="192" t="s">
        <v>39</v>
      </c>
      <c r="F390" s="192" t="s">
        <v>40</v>
      </c>
      <c r="G390" s="192" t="s">
        <v>41</v>
      </c>
      <c r="H390" s="192" t="s">
        <v>42</v>
      </c>
      <c r="I390" s="192" t="s">
        <v>43</v>
      </c>
      <c r="J390" s="195" t="s">
        <v>2045</v>
      </c>
      <c r="K390" s="192" t="s">
        <v>44</v>
      </c>
      <c r="L390" s="192" t="s">
        <v>45</v>
      </c>
      <c r="M390" s="143" t="s">
        <v>5</v>
      </c>
      <c r="N390" s="198" t="s">
        <v>563</v>
      </c>
      <c r="O390" s="192"/>
      <c r="P390" s="144" t="s">
        <v>47</v>
      </c>
      <c r="Q390" s="145">
        <v>46072</v>
      </c>
      <c r="R390" s="145">
        <v>46073</v>
      </c>
      <c r="S390" s="192"/>
    </row>
    <row r="391" spans="1:19" ht="195" customHeight="1" x14ac:dyDescent="0.25">
      <c r="A391" s="197" t="str">
        <f t="shared" si="10"/>
        <v>INC20260219390</v>
      </c>
      <c r="B391" s="199">
        <v>46072.413888888899</v>
      </c>
      <c r="C391" s="192" t="s">
        <v>37</v>
      </c>
      <c r="D391" s="194" t="s">
        <v>49</v>
      </c>
      <c r="E391" s="192" t="s">
        <v>50</v>
      </c>
      <c r="F391" s="192" t="s">
        <v>40</v>
      </c>
      <c r="G391" s="192" t="s">
        <v>51</v>
      </c>
      <c r="H391" s="192" t="s">
        <v>92</v>
      </c>
      <c r="I391" s="192" t="s">
        <v>93</v>
      </c>
      <c r="J391" s="195" t="s">
        <v>2046</v>
      </c>
      <c r="K391" s="192" t="s">
        <v>54</v>
      </c>
      <c r="L391" s="192" t="s">
        <v>55</v>
      </c>
      <c r="M391" s="146" t="s">
        <v>5</v>
      </c>
      <c r="N391" s="192" t="s">
        <v>564</v>
      </c>
      <c r="O391" s="192" t="s">
        <v>95</v>
      </c>
      <c r="P391" s="192" t="s">
        <v>96</v>
      </c>
      <c r="Q391" s="145">
        <v>46076</v>
      </c>
      <c r="R391" s="145">
        <v>46073</v>
      </c>
      <c r="S391" s="192"/>
    </row>
    <row r="392" spans="1:19" ht="199.2" customHeight="1" x14ac:dyDescent="0.25">
      <c r="A392" s="197" t="str">
        <f t="shared" si="10"/>
        <v>INC20260219391</v>
      </c>
      <c r="B392" s="199">
        <v>46072.547222222202</v>
      </c>
      <c r="C392" s="192" t="s">
        <v>37</v>
      </c>
      <c r="D392" s="194" t="s">
        <v>57</v>
      </c>
      <c r="E392" s="192" t="s">
        <v>74</v>
      </c>
      <c r="F392" s="192" t="s">
        <v>59</v>
      </c>
      <c r="G392" s="192" t="s">
        <v>60</v>
      </c>
      <c r="H392" s="192" t="s">
        <v>61</v>
      </c>
      <c r="I392" s="192" t="s">
        <v>62</v>
      </c>
      <c r="J392" s="121" t="s">
        <v>2047</v>
      </c>
      <c r="K392" s="192" t="s">
        <v>63</v>
      </c>
      <c r="L392" s="192" t="s">
        <v>64</v>
      </c>
      <c r="M392" s="143" t="s">
        <v>5</v>
      </c>
      <c r="N392" s="192" t="s">
        <v>565</v>
      </c>
      <c r="O392" s="192" t="s">
        <v>66</v>
      </c>
      <c r="P392" s="192" t="s">
        <v>67</v>
      </c>
      <c r="Q392" s="145"/>
      <c r="R392" s="145">
        <v>46073</v>
      </c>
      <c r="S392" s="192"/>
    </row>
    <row r="393" spans="1:19" ht="164.4" customHeight="1" x14ac:dyDescent="0.25">
      <c r="A393" s="197" t="str">
        <f t="shared" si="10"/>
        <v>INC20260219392</v>
      </c>
      <c r="B393" s="199">
        <v>46072.5493055556</v>
      </c>
      <c r="C393" s="192" t="s">
        <v>37</v>
      </c>
      <c r="D393" s="194" t="s">
        <v>57</v>
      </c>
      <c r="E393" s="192" t="s">
        <v>74</v>
      </c>
      <c r="F393" s="192" t="s">
        <v>59</v>
      </c>
      <c r="G393" s="192" t="s">
        <v>60</v>
      </c>
      <c r="H393" s="192" t="s">
        <v>61</v>
      </c>
      <c r="I393" s="192" t="s">
        <v>62</v>
      </c>
      <c r="J393" s="121" t="s">
        <v>2048</v>
      </c>
      <c r="K393" s="192" t="s">
        <v>63</v>
      </c>
      <c r="L393" s="192" t="s">
        <v>64</v>
      </c>
      <c r="M393" s="143" t="s">
        <v>5</v>
      </c>
      <c r="N393" s="192" t="s">
        <v>566</v>
      </c>
      <c r="O393" s="192" t="s">
        <v>66</v>
      </c>
      <c r="P393" s="192" t="s">
        <v>67</v>
      </c>
      <c r="Q393" s="145"/>
      <c r="R393" s="145">
        <v>46073</v>
      </c>
      <c r="S393" s="192"/>
    </row>
    <row r="394" spans="1:19" ht="163.19999999999999" customHeight="1" x14ac:dyDescent="0.25">
      <c r="A394" s="197" t="str">
        <f t="shared" si="10"/>
        <v>INC20260219393</v>
      </c>
      <c r="B394" s="199">
        <v>46072.616666666698</v>
      </c>
      <c r="C394" s="192" t="s">
        <v>37</v>
      </c>
      <c r="D394" s="194" t="s">
        <v>57</v>
      </c>
      <c r="E394" s="192" t="s">
        <v>74</v>
      </c>
      <c r="F394" s="192" t="s">
        <v>59</v>
      </c>
      <c r="G394" s="192" t="s">
        <v>60</v>
      </c>
      <c r="H394" s="192" t="s">
        <v>61</v>
      </c>
      <c r="I394" s="192" t="s">
        <v>62</v>
      </c>
      <c r="J394" s="121" t="s">
        <v>2049</v>
      </c>
      <c r="K394" s="192" t="s">
        <v>63</v>
      </c>
      <c r="L394" s="192" t="s">
        <v>64</v>
      </c>
      <c r="M394" s="143" t="s">
        <v>5</v>
      </c>
      <c r="N394" s="192" t="s">
        <v>566</v>
      </c>
      <c r="O394" s="192" t="s">
        <v>66</v>
      </c>
      <c r="P394" s="192" t="s">
        <v>67</v>
      </c>
      <c r="Q394" s="145"/>
      <c r="R394" s="145">
        <v>46073</v>
      </c>
      <c r="S394" s="192"/>
    </row>
    <row r="395" spans="1:19" ht="170.4" customHeight="1" x14ac:dyDescent="0.25">
      <c r="A395" s="197" t="str">
        <f t="shared" si="10"/>
        <v>INC20260219394</v>
      </c>
      <c r="B395" s="199">
        <v>46072.65</v>
      </c>
      <c r="C395" s="192" t="s">
        <v>37</v>
      </c>
      <c r="D395" s="194" t="s">
        <v>567</v>
      </c>
      <c r="E395" s="192" t="s">
        <v>568</v>
      </c>
      <c r="F395" s="192" t="s">
        <v>59</v>
      </c>
      <c r="G395" s="192" t="s">
        <v>60</v>
      </c>
      <c r="H395" s="192" t="s">
        <v>61</v>
      </c>
      <c r="I395" s="192" t="s">
        <v>62</v>
      </c>
      <c r="J395" s="121" t="s">
        <v>2050</v>
      </c>
      <c r="K395" s="192" t="s">
        <v>63</v>
      </c>
      <c r="L395" s="192" t="s">
        <v>64</v>
      </c>
      <c r="M395" s="143" t="s">
        <v>5</v>
      </c>
      <c r="N395" s="192" t="s">
        <v>569</v>
      </c>
      <c r="O395" s="192" t="s">
        <v>66</v>
      </c>
      <c r="P395" s="192" t="s">
        <v>67</v>
      </c>
      <c r="Q395" s="145"/>
      <c r="R395" s="145">
        <v>46073</v>
      </c>
      <c r="S395" s="192"/>
    </row>
    <row r="396" spans="1:19" ht="169.2" customHeight="1" x14ac:dyDescent="0.25">
      <c r="A396" s="197" t="str">
        <f t="shared" si="10"/>
        <v>INC20260219395</v>
      </c>
      <c r="B396" s="199">
        <v>46072.370833333298</v>
      </c>
      <c r="C396" s="192" t="s">
        <v>37</v>
      </c>
      <c r="D396" s="194" t="s">
        <v>49</v>
      </c>
      <c r="E396" s="192" t="s">
        <v>50</v>
      </c>
      <c r="F396" s="192" t="s">
        <v>40</v>
      </c>
      <c r="G396" s="192" t="s">
        <v>51</v>
      </c>
      <c r="H396" s="192" t="s">
        <v>92</v>
      </c>
      <c r="I396" s="192" t="s">
        <v>93</v>
      </c>
      <c r="J396" s="195" t="s">
        <v>2051</v>
      </c>
      <c r="K396" s="192" t="s">
        <v>54</v>
      </c>
      <c r="L396" s="192" t="s">
        <v>55</v>
      </c>
      <c r="M396" s="146" t="s">
        <v>5</v>
      </c>
      <c r="N396" s="192" t="s">
        <v>570</v>
      </c>
      <c r="O396" s="192" t="s">
        <v>95</v>
      </c>
      <c r="P396" s="192" t="s">
        <v>96</v>
      </c>
      <c r="Q396" s="145">
        <v>46073</v>
      </c>
      <c r="R396" s="145">
        <v>46073</v>
      </c>
      <c r="S396" s="192"/>
    </row>
    <row r="397" spans="1:19" ht="156.6" customHeight="1" x14ac:dyDescent="0.25">
      <c r="A397" s="197" t="str">
        <f t="shared" si="10"/>
        <v>INC20260220396</v>
      </c>
      <c r="B397" s="199">
        <v>46073.404861111099</v>
      </c>
      <c r="C397" s="192" t="s">
        <v>37</v>
      </c>
      <c r="D397" s="194" t="s">
        <v>38</v>
      </c>
      <c r="E397" s="192" t="s">
        <v>39</v>
      </c>
      <c r="F397" s="192" t="s">
        <v>40</v>
      </c>
      <c r="G397" s="192" t="s">
        <v>41</v>
      </c>
      <c r="H397" s="192" t="s">
        <v>42</v>
      </c>
      <c r="I397" s="192" t="s">
        <v>43</v>
      </c>
      <c r="J397" s="195" t="s">
        <v>2052</v>
      </c>
      <c r="K397" s="192" t="s">
        <v>44</v>
      </c>
      <c r="L397" s="192" t="s">
        <v>45</v>
      </c>
      <c r="M397" s="143" t="s">
        <v>5</v>
      </c>
      <c r="N397" s="198" t="s">
        <v>571</v>
      </c>
      <c r="O397" s="192"/>
      <c r="P397" s="144" t="s">
        <v>47</v>
      </c>
      <c r="Q397" s="145">
        <v>46073</v>
      </c>
      <c r="R397" s="145">
        <v>46073</v>
      </c>
      <c r="S397" s="192"/>
    </row>
    <row r="398" spans="1:19" ht="143.4" customHeight="1" x14ac:dyDescent="0.25">
      <c r="A398" s="197" t="str">
        <f t="shared" si="10"/>
        <v>INC20260220397</v>
      </c>
      <c r="B398" s="199">
        <v>46073.495833333298</v>
      </c>
      <c r="C398" s="192" t="s">
        <v>37</v>
      </c>
      <c r="D398" s="194" t="s">
        <v>572</v>
      </c>
      <c r="E398" s="192" t="s">
        <v>50</v>
      </c>
      <c r="F398" s="192" t="s">
        <v>40</v>
      </c>
      <c r="G398" s="192" t="s">
        <v>51</v>
      </c>
      <c r="H398" s="192" t="s">
        <v>92</v>
      </c>
      <c r="I398" s="192" t="s">
        <v>403</v>
      </c>
      <c r="J398" s="195" t="s">
        <v>2053</v>
      </c>
      <c r="K398" s="192" t="s">
        <v>54</v>
      </c>
      <c r="L398" s="192" t="s">
        <v>55</v>
      </c>
      <c r="M398" s="146" t="s">
        <v>5</v>
      </c>
      <c r="N398" s="192" t="s">
        <v>573</v>
      </c>
      <c r="O398" s="192"/>
      <c r="P398" s="192"/>
      <c r="Q398" s="145">
        <v>46073</v>
      </c>
      <c r="R398" s="145">
        <v>46073</v>
      </c>
      <c r="S398" s="192"/>
    </row>
    <row r="399" spans="1:19" ht="171" customHeight="1" x14ac:dyDescent="0.25">
      <c r="A399" s="197" t="str">
        <f t="shared" si="10"/>
        <v>INC20260220398</v>
      </c>
      <c r="B399" s="200">
        <v>46073.474305555603</v>
      </c>
      <c r="C399" s="192" t="s">
        <v>37</v>
      </c>
      <c r="D399" s="194" t="s">
        <v>574</v>
      </c>
      <c r="E399" s="192" t="s">
        <v>50</v>
      </c>
      <c r="F399" s="192" t="s">
        <v>40</v>
      </c>
      <c r="G399" s="192" t="s">
        <v>51</v>
      </c>
      <c r="H399" s="192" t="s">
        <v>92</v>
      </c>
      <c r="I399" s="192" t="s">
        <v>403</v>
      </c>
      <c r="J399" s="195" t="s">
        <v>2054</v>
      </c>
      <c r="K399" s="192" t="s">
        <v>54</v>
      </c>
      <c r="L399" s="192" t="s">
        <v>55</v>
      </c>
      <c r="M399" s="146" t="s">
        <v>5</v>
      </c>
      <c r="N399" s="192" t="s">
        <v>573</v>
      </c>
      <c r="O399" s="192"/>
      <c r="P399" s="192"/>
      <c r="Q399" s="145">
        <v>46073</v>
      </c>
      <c r="R399" s="145">
        <v>46073</v>
      </c>
      <c r="S399" s="192"/>
    </row>
    <row r="400" spans="1:19" ht="189.6" customHeight="1" x14ac:dyDescent="0.25">
      <c r="A400" s="197" t="str">
        <f t="shared" si="10"/>
        <v>INC20260220399</v>
      </c>
      <c r="B400" s="199">
        <v>46073.561111111099</v>
      </c>
      <c r="C400" s="192" t="s">
        <v>37</v>
      </c>
      <c r="D400" s="194" t="s">
        <v>57</v>
      </c>
      <c r="E400" s="192" t="s">
        <v>74</v>
      </c>
      <c r="F400" s="192" t="s">
        <v>59</v>
      </c>
      <c r="G400" s="192" t="s">
        <v>60</v>
      </c>
      <c r="H400" s="192" t="s">
        <v>61</v>
      </c>
      <c r="I400" s="192" t="s">
        <v>62</v>
      </c>
      <c r="J400" s="121" t="s">
        <v>2055</v>
      </c>
      <c r="K400" s="192" t="s">
        <v>63</v>
      </c>
      <c r="L400" s="192" t="s">
        <v>64</v>
      </c>
      <c r="M400" s="143" t="s">
        <v>5</v>
      </c>
      <c r="N400" s="192" t="s">
        <v>575</v>
      </c>
      <c r="O400" s="192" t="s">
        <v>66</v>
      </c>
      <c r="P400" s="192" t="s">
        <v>67</v>
      </c>
      <c r="Q400" s="145"/>
      <c r="R400" s="145">
        <v>46073</v>
      </c>
      <c r="S400" s="192"/>
    </row>
    <row r="401" spans="1:19" ht="168.6" customHeight="1" x14ac:dyDescent="0.25">
      <c r="A401" s="197" t="str">
        <f t="shared" si="10"/>
        <v>INC20260220400</v>
      </c>
      <c r="B401" s="199">
        <v>46073.671527777798</v>
      </c>
      <c r="C401" s="192" t="s">
        <v>37</v>
      </c>
      <c r="D401" s="192" t="s">
        <v>286</v>
      </c>
      <c r="E401" s="192" t="s">
        <v>125</v>
      </c>
      <c r="F401" s="192" t="s">
        <v>40</v>
      </c>
      <c r="G401" s="192" t="s">
        <v>41</v>
      </c>
      <c r="H401" s="192" t="s">
        <v>79</v>
      </c>
      <c r="I401" s="192" t="s">
        <v>287</v>
      </c>
      <c r="J401" s="195" t="s">
        <v>2056</v>
      </c>
      <c r="K401" s="192" t="s">
        <v>44</v>
      </c>
      <c r="L401" s="192" t="s">
        <v>81</v>
      </c>
      <c r="M401" s="146" t="s">
        <v>5</v>
      </c>
      <c r="N401" s="192" t="s">
        <v>576</v>
      </c>
      <c r="O401" s="192" t="s">
        <v>86</v>
      </c>
      <c r="P401" s="192" t="s">
        <v>290</v>
      </c>
      <c r="Q401" s="145">
        <v>46073</v>
      </c>
      <c r="R401" s="145">
        <v>46073</v>
      </c>
      <c r="S401" s="192"/>
    </row>
    <row r="402" spans="1:19" ht="167.4" customHeight="1" x14ac:dyDescent="0.25">
      <c r="A402" s="197" t="str">
        <f t="shared" si="10"/>
        <v>INC20260218401</v>
      </c>
      <c r="B402" s="181">
        <v>46071.391666666699</v>
      </c>
      <c r="C402" s="192" t="s">
        <v>77</v>
      </c>
      <c r="D402" s="194" t="s">
        <v>78</v>
      </c>
      <c r="E402" s="192" t="s">
        <v>58</v>
      </c>
      <c r="F402" s="192" t="s">
        <v>40</v>
      </c>
      <c r="G402" s="192" t="s">
        <v>60</v>
      </c>
      <c r="H402" s="192" t="s">
        <v>79</v>
      </c>
      <c r="I402" s="192" t="s">
        <v>80</v>
      </c>
      <c r="J402" s="121" t="s">
        <v>2057</v>
      </c>
      <c r="K402" s="192" t="s">
        <v>577</v>
      </c>
      <c r="L402" s="192" t="s">
        <v>81</v>
      </c>
      <c r="M402" s="146" t="s">
        <v>5</v>
      </c>
      <c r="N402" s="182" t="s">
        <v>578</v>
      </c>
      <c r="O402" s="197" t="s">
        <v>83</v>
      </c>
      <c r="P402" s="197" t="s">
        <v>1366</v>
      </c>
      <c r="Q402" s="183">
        <v>46071.448611111096</v>
      </c>
      <c r="R402" s="145">
        <v>46073</v>
      </c>
      <c r="S402" s="192"/>
    </row>
    <row r="403" spans="1:19" ht="188.4" customHeight="1" x14ac:dyDescent="0.25">
      <c r="A403" s="197" t="str">
        <f t="shared" si="10"/>
        <v>INC20260218402</v>
      </c>
      <c r="B403" s="181">
        <v>46071.664583333302</v>
      </c>
      <c r="C403" s="192" t="s">
        <v>77</v>
      </c>
      <c r="D403" s="194" t="s">
        <v>78</v>
      </c>
      <c r="E403" s="192" t="s">
        <v>69</v>
      </c>
      <c r="F403" s="192" t="s">
        <v>40</v>
      </c>
      <c r="G403" s="192" t="s">
        <v>41</v>
      </c>
      <c r="H403" s="192" t="s">
        <v>79</v>
      </c>
      <c r="I403" s="192" t="s">
        <v>80</v>
      </c>
      <c r="J403" s="121" t="s">
        <v>2058</v>
      </c>
      <c r="K403" s="192" t="s">
        <v>44</v>
      </c>
      <c r="L403" s="192" t="s">
        <v>81</v>
      </c>
      <c r="M403" s="146" t="s">
        <v>5</v>
      </c>
      <c r="N403" s="182" t="s">
        <v>579</v>
      </c>
      <c r="O403" s="197" t="s">
        <v>83</v>
      </c>
      <c r="P403" s="197" t="s">
        <v>1366</v>
      </c>
      <c r="Q403" s="183">
        <v>46071.679861111101</v>
      </c>
      <c r="R403" s="145">
        <v>46073</v>
      </c>
      <c r="S403" s="192"/>
    </row>
    <row r="404" spans="1:19" ht="172.8" customHeight="1" x14ac:dyDescent="0.25">
      <c r="A404" s="197" t="str">
        <f t="shared" si="10"/>
        <v>INC20260218403</v>
      </c>
      <c r="B404" s="181">
        <v>46071.701388888898</v>
      </c>
      <c r="C404" s="192" t="s">
        <v>77</v>
      </c>
      <c r="D404" s="194" t="s">
        <v>78</v>
      </c>
      <c r="E404" s="192" t="s">
        <v>69</v>
      </c>
      <c r="F404" s="192" t="s">
        <v>40</v>
      </c>
      <c r="G404" s="192" t="s">
        <v>41</v>
      </c>
      <c r="H404" s="192" t="s">
        <v>79</v>
      </c>
      <c r="I404" s="192" t="s">
        <v>80</v>
      </c>
      <c r="J404" s="121" t="s">
        <v>2059</v>
      </c>
      <c r="K404" s="192" t="s">
        <v>44</v>
      </c>
      <c r="L404" s="192" t="s">
        <v>81</v>
      </c>
      <c r="M404" s="146" t="s">
        <v>5</v>
      </c>
      <c r="N404" s="182" t="s">
        <v>580</v>
      </c>
      <c r="O404" s="197" t="s">
        <v>83</v>
      </c>
      <c r="P404" s="197" t="s">
        <v>1366</v>
      </c>
      <c r="Q404" s="183">
        <v>46071.715972222199</v>
      </c>
      <c r="R404" s="145">
        <v>46073</v>
      </c>
      <c r="S404" s="192"/>
    </row>
    <row r="405" spans="1:19" ht="189.6" customHeight="1" x14ac:dyDescent="0.25">
      <c r="A405" s="197" t="str">
        <f t="shared" si="10"/>
        <v>INC20260218404</v>
      </c>
      <c r="B405" s="181">
        <v>46071.917361111096</v>
      </c>
      <c r="C405" s="192" t="s">
        <v>77</v>
      </c>
      <c r="D405" s="194" t="s">
        <v>78</v>
      </c>
      <c r="E405" s="192" t="s">
        <v>134</v>
      </c>
      <c r="F405" s="192" t="s">
        <v>40</v>
      </c>
      <c r="G405" s="192" t="s">
        <v>60</v>
      </c>
      <c r="H405" s="192" t="s">
        <v>79</v>
      </c>
      <c r="I405" s="192" t="s">
        <v>84</v>
      </c>
      <c r="J405" s="121" t="s">
        <v>2060</v>
      </c>
      <c r="K405" s="192" t="s">
        <v>151</v>
      </c>
      <c r="L405" s="192" t="s">
        <v>81</v>
      </c>
      <c r="M405" s="146" t="s">
        <v>5</v>
      </c>
      <c r="N405" s="182" t="s">
        <v>581</v>
      </c>
      <c r="O405" s="192" t="s">
        <v>86</v>
      </c>
      <c r="P405" s="192" t="s">
        <v>87</v>
      </c>
      <c r="Q405" s="183">
        <v>46071.929166666698</v>
      </c>
      <c r="R405" s="145">
        <v>46073</v>
      </c>
      <c r="S405" s="192"/>
    </row>
    <row r="406" spans="1:19" ht="188.4" customHeight="1" x14ac:dyDescent="0.25">
      <c r="A406" s="197" t="str">
        <f t="shared" si="10"/>
        <v>INC20260219405</v>
      </c>
      <c r="B406" s="181">
        <v>46072.386805555601</v>
      </c>
      <c r="C406" s="192" t="s">
        <v>77</v>
      </c>
      <c r="D406" s="194" t="s">
        <v>78</v>
      </c>
      <c r="E406" s="192" t="s">
        <v>486</v>
      </c>
      <c r="F406" s="192" t="s">
        <v>40</v>
      </c>
      <c r="G406" s="192" t="s">
        <v>41</v>
      </c>
      <c r="H406" s="192" t="s">
        <v>79</v>
      </c>
      <c r="I406" s="192" t="s">
        <v>80</v>
      </c>
      <c r="J406" s="121" t="s">
        <v>2061</v>
      </c>
      <c r="K406" s="192" t="s">
        <v>44</v>
      </c>
      <c r="L406" s="192" t="s">
        <v>81</v>
      </c>
      <c r="M406" s="146" t="s">
        <v>5</v>
      </c>
      <c r="N406" s="182" t="s">
        <v>582</v>
      </c>
      <c r="O406" s="197" t="s">
        <v>83</v>
      </c>
      <c r="P406" s="197" t="s">
        <v>1366</v>
      </c>
      <c r="Q406" s="183">
        <v>46072.391666666699</v>
      </c>
      <c r="R406" s="145">
        <v>46073</v>
      </c>
      <c r="S406" s="192"/>
    </row>
    <row r="407" spans="1:19" ht="179.4" customHeight="1" x14ac:dyDescent="0.25">
      <c r="A407" s="197" t="str">
        <f t="shared" si="10"/>
        <v>INC20260219406</v>
      </c>
      <c r="B407" s="181">
        <v>46072.704861111102</v>
      </c>
      <c r="C407" s="192" t="s">
        <v>77</v>
      </c>
      <c r="D407" s="194" t="s">
        <v>78</v>
      </c>
      <c r="E407" s="192" t="s">
        <v>58</v>
      </c>
      <c r="F407" s="192" t="s">
        <v>40</v>
      </c>
      <c r="G407" s="192" t="s">
        <v>41</v>
      </c>
      <c r="H407" s="192" t="s">
        <v>79</v>
      </c>
      <c r="I407" s="192" t="s">
        <v>80</v>
      </c>
      <c r="J407" s="121" t="s">
        <v>2062</v>
      </c>
      <c r="K407" s="192" t="s">
        <v>577</v>
      </c>
      <c r="L407" s="192" t="s">
        <v>81</v>
      </c>
      <c r="M407" s="146" t="s">
        <v>5</v>
      </c>
      <c r="N407" s="182" t="s">
        <v>583</v>
      </c>
      <c r="O407" s="197" t="s">
        <v>83</v>
      </c>
      <c r="P407" s="197" t="s">
        <v>1366</v>
      </c>
      <c r="Q407" s="183">
        <v>46072.7902777778</v>
      </c>
      <c r="R407" s="145">
        <v>46073</v>
      </c>
      <c r="S407" s="192"/>
    </row>
    <row r="408" spans="1:19" ht="175.2" customHeight="1" x14ac:dyDescent="0.25">
      <c r="A408" s="197" t="str">
        <f t="shared" si="10"/>
        <v>INC20260220407</v>
      </c>
      <c r="B408" s="181">
        <v>46073.5493055556</v>
      </c>
      <c r="C408" s="192" t="s">
        <v>77</v>
      </c>
      <c r="D408" s="194" t="s">
        <v>78</v>
      </c>
      <c r="E408" s="192" t="s">
        <v>116</v>
      </c>
      <c r="F408" s="192" t="s">
        <v>40</v>
      </c>
      <c r="G408" s="192" t="s">
        <v>60</v>
      </c>
      <c r="H408" s="192" t="s">
        <v>79</v>
      </c>
      <c r="I408" s="192" t="s">
        <v>84</v>
      </c>
      <c r="J408" s="121" t="s">
        <v>2063</v>
      </c>
      <c r="K408" s="192" t="s">
        <v>63</v>
      </c>
      <c r="L408" s="192" t="s">
        <v>81</v>
      </c>
      <c r="M408" s="146" t="s">
        <v>5</v>
      </c>
      <c r="N408" s="182" t="s">
        <v>584</v>
      </c>
      <c r="O408" s="192" t="s">
        <v>86</v>
      </c>
      <c r="P408" s="192" t="s">
        <v>87</v>
      </c>
      <c r="Q408" s="183">
        <v>46073.554861111101</v>
      </c>
      <c r="R408" s="145">
        <v>46073</v>
      </c>
      <c r="S408" s="192"/>
    </row>
    <row r="409" spans="1:19" ht="177.6" customHeight="1" x14ac:dyDescent="0.25">
      <c r="A409" s="197" t="str">
        <f t="shared" si="10"/>
        <v>INC20260220408</v>
      </c>
      <c r="B409" s="181">
        <v>46073.599999999999</v>
      </c>
      <c r="C409" s="192" t="s">
        <v>77</v>
      </c>
      <c r="D409" s="194" t="s">
        <v>78</v>
      </c>
      <c r="E409" s="192" t="s">
        <v>125</v>
      </c>
      <c r="F409" s="192" t="s">
        <v>40</v>
      </c>
      <c r="G409" s="192" t="s">
        <v>41</v>
      </c>
      <c r="H409" s="192" t="s">
        <v>79</v>
      </c>
      <c r="I409" s="192" t="s">
        <v>84</v>
      </c>
      <c r="J409" s="121" t="s">
        <v>2064</v>
      </c>
      <c r="K409" s="192" t="s">
        <v>44</v>
      </c>
      <c r="L409" s="192" t="s">
        <v>81</v>
      </c>
      <c r="M409" s="146" t="s">
        <v>5</v>
      </c>
      <c r="N409" s="182" t="s">
        <v>585</v>
      </c>
      <c r="O409" s="192" t="s">
        <v>86</v>
      </c>
      <c r="P409" s="192" t="s">
        <v>87</v>
      </c>
      <c r="Q409" s="183">
        <v>46073.602083333302</v>
      </c>
      <c r="R409" s="145">
        <v>46073</v>
      </c>
      <c r="S409" s="192"/>
    </row>
    <row r="410" spans="1:19" ht="185.4" customHeight="1" x14ac:dyDescent="0.25">
      <c r="A410" s="197" t="str">
        <f t="shared" si="10"/>
        <v>INC20260220409</v>
      </c>
      <c r="B410" s="181">
        <v>46073.642361111102</v>
      </c>
      <c r="C410" s="192" t="s">
        <v>77</v>
      </c>
      <c r="D410" s="194" t="s">
        <v>78</v>
      </c>
      <c r="E410" s="192" t="s">
        <v>134</v>
      </c>
      <c r="F410" s="192" t="s">
        <v>40</v>
      </c>
      <c r="G410" s="192" t="s">
        <v>60</v>
      </c>
      <c r="H410" s="192" t="s">
        <v>79</v>
      </c>
      <c r="I410" s="192" t="s">
        <v>84</v>
      </c>
      <c r="J410" s="121" t="s">
        <v>2065</v>
      </c>
      <c r="K410" s="192" t="s">
        <v>135</v>
      </c>
      <c r="L410" s="192" t="s">
        <v>81</v>
      </c>
      <c r="M410" s="146" t="s">
        <v>5</v>
      </c>
      <c r="N410" s="182" t="s">
        <v>586</v>
      </c>
      <c r="O410" s="192" t="s">
        <v>86</v>
      </c>
      <c r="P410" s="192" t="s">
        <v>87</v>
      </c>
      <c r="Q410" s="183">
        <v>46073.647916666698</v>
      </c>
      <c r="R410" s="145">
        <v>46073</v>
      </c>
      <c r="S410" s="192"/>
    </row>
    <row r="411" spans="1:19" ht="181.2" customHeight="1" x14ac:dyDescent="0.25">
      <c r="A411" s="197" t="str">
        <f t="shared" si="10"/>
        <v>INC20260220410</v>
      </c>
      <c r="B411" s="199">
        <v>46073.713194444397</v>
      </c>
      <c r="C411" s="192" t="s">
        <v>37</v>
      </c>
      <c r="D411" s="192" t="s">
        <v>286</v>
      </c>
      <c r="E411" s="192" t="s">
        <v>125</v>
      </c>
      <c r="F411" s="192" t="s">
        <v>40</v>
      </c>
      <c r="G411" s="192" t="s">
        <v>41</v>
      </c>
      <c r="H411" s="192" t="s">
        <v>79</v>
      </c>
      <c r="I411" s="192" t="s">
        <v>287</v>
      </c>
      <c r="J411" s="195" t="s">
        <v>2066</v>
      </c>
      <c r="K411" s="192" t="s">
        <v>44</v>
      </c>
      <c r="L411" s="192" t="s">
        <v>81</v>
      </c>
      <c r="M411" s="146" t="s">
        <v>5</v>
      </c>
      <c r="N411" s="192" t="s">
        <v>576</v>
      </c>
      <c r="O411" s="192" t="s">
        <v>86</v>
      </c>
      <c r="P411" s="192" t="s">
        <v>290</v>
      </c>
      <c r="Q411" s="145">
        <v>46073</v>
      </c>
      <c r="R411" s="145">
        <v>46076</v>
      </c>
      <c r="S411" s="192"/>
    </row>
    <row r="412" spans="1:19" ht="177" customHeight="1" x14ac:dyDescent="0.25">
      <c r="A412" s="197" t="str">
        <f t="shared" si="10"/>
        <v>INC20260221411</v>
      </c>
      <c r="B412" s="193">
        <v>46074.688888888901</v>
      </c>
      <c r="C412" s="192" t="s">
        <v>77</v>
      </c>
      <c r="D412" s="194" t="s">
        <v>78</v>
      </c>
      <c r="E412" s="192" t="s">
        <v>397</v>
      </c>
      <c r="F412" s="192" t="s">
        <v>40</v>
      </c>
      <c r="G412" s="192" t="s">
        <v>60</v>
      </c>
      <c r="H412" s="192" t="s">
        <v>79</v>
      </c>
      <c r="I412" s="192" t="s">
        <v>84</v>
      </c>
      <c r="J412" s="121" t="s">
        <v>2067</v>
      </c>
      <c r="K412" s="192" t="s">
        <v>63</v>
      </c>
      <c r="L412" s="192" t="s">
        <v>81</v>
      </c>
      <c r="M412" s="146" t="s">
        <v>5</v>
      </c>
      <c r="N412" s="192" t="s">
        <v>587</v>
      </c>
      <c r="O412" s="192" t="s">
        <v>86</v>
      </c>
      <c r="P412" s="192" t="s">
        <v>87</v>
      </c>
      <c r="Q412" s="196">
        <v>46074.695833333302</v>
      </c>
      <c r="R412" s="145">
        <v>46076</v>
      </c>
      <c r="S412" s="192"/>
    </row>
    <row r="413" spans="1:19" ht="190.8" customHeight="1" x14ac:dyDescent="0.25">
      <c r="A413" s="197" t="str">
        <f t="shared" si="10"/>
        <v>INC20260221412</v>
      </c>
      <c r="B413" s="193">
        <v>46074.9777777778</v>
      </c>
      <c r="C413" s="192" t="s">
        <v>77</v>
      </c>
      <c r="D413" s="194" t="s">
        <v>78</v>
      </c>
      <c r="E413" s="192" t="s">
        <v>74</v>
      </c>
      <c r="F413" s="192" t="s">
        <v>40</v>
      </c>
      <c r="G413" s="192" t="s">
        <v>60</v>
      </c>
      <c r="H413" s="192" t="s">
        <v>79</v>
      </c>
      <c r="I413" s="192" t="s">
        <v>84</v>
      </c>
      <c r="J413" s="121" t="s">
        <v>2068</v>
      </c>
      <c r="K413" s="192" t="s">
        <v>63</v>
      </c>
      <c r="L413" s="192" t="s">
        <v>81</v>
      </c>
      <c r="M413" s="146" t="s">
        <v>5</v>
      </c>
      <c r="N413" s="192" t="s">
        <v>588</v>
      </c>
      <c r="O413" s="192" t="s">
        <v>86</v>
      </c>
      <c r="P413" s="192" t="s">
        <v>87</v>
      </c>
      <c r="Q413" s="145">
        <v>46075</v>
      </c>
      <c r="R413" s="145">
        <v>46076</v>
      </c>
      <c r="S413" s="192"/>
    </row>
    <row r="414" spans="1:19" ht="192.6" customHeight="1" x14ac:dyDescent="0.25">
      <c r="A414" s="197" t="str">
        <f t="shared" si="10"/>
        <v>INC20260222413</v>
      </c>
      <c r="B414" s="193">
        <v>46075.098611111098</v>
      </c>
      <c r="C414" s="192" t="s">
        <v>77</v>
      </c>
      <c r="D414" s="194" t="s">
        <v>78</v>
      </c>
      <c r="E414" s="192" t="s">
        <v>74</v>
      </c>
      <c r="F414" s="192" t="s">
        <v>40</v>
      </c>
      <c r="G414" s="192" t="s">
        <v>60</v>
      </c>
      <c r="H414" s="192" t="s">
        <v>79</v>
      </c>
      <c r="I414" s="192" t="s">
        <v>84</v>
      </c>
      <c r="J414" s="121" t="s">
        <v>2069</v>
      </c>
      <c r="K414" s="192" t="s">
        <v>63</v>
      </c>
      <c r="L414" s="192" t="s">
        <v>81</v>
      </c>
      <c r="M414" s="146" t="s">
        <v>5</v>
      </c>
      <c r="N414" s="192" t="s">
        <v>589</v>
      </c>
      <c r="O414" s="192" t="s">
        <v>86</v>
      </c>
      <c r="P414" s="192" t="s">
        <v>87</v>
      </c>
      <c r="Q414" s="145">
        <v>46075</v>
      </c>
      <c r="R414" s="145">
        <v>46076</v>
      </c>
      <c r="S414" s="192"/>
    </row>
    <row r="415" spans="1:19" ht="167.4" customHeight="1" x14ac:dyDescent="0.25">
      <c r="A415" s="197" t="str">
        <f t="shared" si="10"/>
        <v>INC20260220414</v>
      </c>
      <c r="B415" s="199">
        <v>46073.773611111101</v>
      </c>
      <c r="C415" s="192" t="s">
        <v>37</v>
      </c>
      <c r="D415" s="192" t="s">
        <v>286</v>
      </c>
      <c r="E415" s="192" t="s">
        <v>125</v>
      </c>
      <c r="F415" s="192" t="s">
        <v>40</v>
      </c>
      <c r="G415" s="192" t="s">
        <v>41</v>
      </c>
      <c r="H415" s="192" t="s">
        <v>79</v>
      </c>
      <c r="I415" s="192" t="s">
        <v>287</v>
      </c>
      <c r="J415" s="195" t="s">
        <v>2070</v>
      </c>
      <c r="K415" s="192" t="s">
        <v>44</v>
      </c>
      <c r="L415" s="192" t="s">
        <v>81</v>
      </c>
      <c r="M415" s="146" t="s">
        <v>5</v>
      </c>
      <c r="N415" s="192" t="s">
        <v>576</v>
      </c>
      <c r="O415" s="192" t="s">
        <v>86</v>
      </c>
      <c r="P415" s="192" t="s">
        <v>290</v>
      </c>
      <c r="Q415" s="145">
        <v>46073</v>
      </c>
      <c r="R415" s="145">
        <v>46076</v>
      </c>
      <c r="S415" s="192"/>
    </row>
    <row r="416" spans="1:19" ht="166.8" customHeight="1" x14ac:dyDescent="0.25">
      <c r="A416" s="197" t="str">
        <f t="shared" si="10"/>
        <v>INC20260223415</v>
      </c>
      <c r="B416" s="199">
        <v>46076.368055555598</v>
      </c>
      <c r="C416" s="192" t="s">
        <v>37</v>
      </c>
      <c r="D416" s="194" t="s">
        <v>38</v>
      </c>
      <c r="E416" s="192" t="s">
        <v>39</v>
      </c>
      <c r="F416" s="192" t="s">
        <v>40</v>
      </c>
      <c r="G416" s="192" t="s">
        <v>41</v>
      </c>
      <c r="H416" s="192" t="s">
        <v>42</v>
      </c>
      <c r="I416" s="192" t="s">
        <v>43</v>
      </c>
      <c r="J416" s="195" t="s">
        <v>2071</v>
      </c>
      <c r="K416" s="192" t="s">
        <v>44</v>
      </c>
      <c r="L416" s="192" t="s">
        <v>45</v>
      </c>
      <c r="M416" s="143" t="s">
        <v>5</v>
      </c>
      <c r="N416" s="198" t="s">
        <v>590</v>
      </c>
      <c r="O416" s="192"/>
      <c r="P416" s="144" t="s">
        <v>47</v>
      </c>
      <c r="Q416" s="145">
        <v>46077</v>
      </c>
      <c r="R416" s="145">
        <v>46076</v>
      </c>
      <c r="S416" s="192"/>
    </row>
    <row r="417" spans="1:19" ht="165" customHeight="1" x14ac:dyDescent="0.25">
      <c r="A417" s="197" t="str">
        <f t="shared" si="10"/>
        <v>INC20260223416</v>
      </c>
      <c r="B417" s="199">
        <v>46076.478472222203</v>
      </c>
      <c r="C417" s="192" t="s">
        <v>37</v>
      </c>
      <c r="D417" s="194" t="s">
        <v>57</v>
      </c>
      <c r="E417" s="192" t="s">
        <v>74</v>
      </c>
      <c r="F417" s="192" t="s">
        <v>59</v>
      </c>
      <c r="G417" s="192" t="s">
        <v>60</v>
      </c>
      <c r="H417" s="192" t="s">
        <v>61</v>
      </c>
      <c r="I417" s="192" t="s">
        <v>62</v>
      </c>
      <c r="J417" s="121" t="s">
        <v>2072</v>
      </c>
      <c r="K417" s="192" t="s">
        <v>63</v>
      </c>
      <c r="L417" s="192" t="s">
        <v>64</v>
      </c>
      <c r="M417" s="143" t="s">
        <v>5</v>
      </c>
      <c r="N417" s="192" t="s">
        <v>591</v>
      </c>
      <c r="O417" s="192" t="s">
        <v>66</v>
      </c>
      <c r="P417" s="192" t="s">
        <v>67</v>
      </c>
      <c r="Q417" s="145"/>
      <c r="R417" s="145">
        <v>46077</v>
      </c>
      <c r="S417" s="192"/>
    </row>
    <row r="418" spans="1:19" ht="179.4" customHeight="1" x14ac:dyDescent="0.25">
      <c r="A418" s="197" t="str">
        <f t="shared" si="10"/>
        <v>INC20260223417</v>
      </c>
      <c r="B418" s="199">
        <v>46076.520833333299</v>
      </c>
      <c r="C418" s="192" t="s">
        <v>37</v>
      </c>
      <c r="D418" s="194" t="s">
        <v>592</v>
      </c>
      <c r="E418" s="192" t="s">
        <v>69</v>
      </c>
      <c r="F418" s="192" t="s">
        <v>40</v>
      </c>
      <c r="G418" s="192" t="s">
        <v>60</v>
      </c>
      <c r="H418" s="192" t="s">
        <v>79</v>
      </c>
      <c r="I418" s="192" t="s">
        <v>84</v>
      </c>
      <c r="J418" s="121" t="s">
        <v>2073</v>
      </c>
      <c r="K418" s="192" t="s">
        <v>63</v>
      </c>
      <c r="L418" s="192" t="s">
        <v>81</v>
      </c>
      <c r="M418" s="146" t="s">
        <v>5</v>
      </c>
      <c r="N418" s="172" t="s">
        <v>593</v>
      </c>
      <c r="O418" s="192" t="s">
        <v>86</v>
      </c>
      <c r="P418" s="192" t="s">
        <v>87</v>
      </c>
      <c r="Q418" s="145">
        <v>46077</v>
      </c>
      <c r="R418" s="145">
        <v>46077</v>
      </c>
      <c r="S418" s="192"/>
    </row>
    <row r="419" spans="1:19" ht="177.6" customHeight="1" x14ac:dyDescent="0.25">
      <c r="A419" s="197" t="str">
        <f t="shared" ref="A419:A482" si="11">"INC"&amp;TEXT(B419,"yyyymmdd")&amp;TEXT(ROW(A419)-1,"000")</f>
        <v>INC20260223418</v>
      </c>
      <c r="B419" s="199">
        <v>46076.600694444402</v>
      </c>
      <c r="C419" s="192" t="s">
        <v>37</v>
      </c>
      <c r="D419" s="194" t="s">
        <v>57</v>
      </c>
      <c r="E419" s="192" t="s">
        <v>74</v>
      </c>
      <c r="F419" s="192" t="s">
        <v>59</v>
      </c>
      <c r="G419" s="192" t="s">
        <v>60</v>
      </c>
      <c r="H419" s="192" t="s">
        <v>61</v>
      </c>
      <c r="I419" s="192" t="s">
        <v>62</v>
      </c>
      <c r="J419" s="121" t="s">
        <v>2074</v>
      </c>
      <c r="K419" s="192" t="s">
        <v>63</v>
      </c>
      <c r="L419" s="192" t="s">
        <v>64</v>
      </c>
      <c r="M419" s="143" t="s">
        <v>5</v>
      </c>
      <c r="N419" s="192" t="s">
        <v>594</v>
      </c>
      <c r="O419" s="192" t="s">
        <v>66</v>
      </c>
      <c r="P419" s="192" t="s">
        <v>67</v>
      </c>
      <c r="Q419" s="145"/>
      <c r="R419" s="145">
        <v>46077</v>
      </c>
      <c r="S419" s="192"/>
    </row>
    <row r="420" spans="1:19" ht="180.6" customHeight="1" x14ac:dyDescent="0.25">
      <c r="A420" s="197" t="str">
        <f t="shared" si="11"/>
        <v>INC20260223419</v>
      </c>
      <c r="B420" s="199">
        <v>46076.652083333298</v>
      </c>
      <c r="C420" s="192" t="s">
        <v>37</v>
      </c>
      <c r="D420" s="194" t="s">
        <v>49</v>
      </c>
      <c r="E420" s="192" t="s">
        <v>50</v>
      </c>
      <c r="F420" s="192" t="s">
        <v>40</v>
      </c>
      <c r="G420" s="192" t="s">
        <v>51</v>
      </c>
      <c r="H420" s="192" t="s">
        <v>52</v>
      </c>
      <c r="I420" s="192" t="s">
        <v>53</v>
      </c>
      <c r="J420" s="195" t="s">
        <v>2075</v>
      </c>
      <c r="K420" s="192" t="s">
        <v>54</v>
      </c>
      <c r="L420" s="192" t="s">
        <v>55</v>
      </c>
      <c r="M420" s="146" t="s">
        <v>5</v>
      </c>
      <c r="N420" s="192" t="s">
        <v>595</v>
      </c>
      <c r="O420" s="192"/>
      <c r="P420" s="192"/>
      <c r="Q420" s="145"/>
      <c r="R420" s="145">
        <v>46077</v>
      </c>
      <c r="S420" s="192"/>
    </row>
    <row r="421" spans="1:19" ht="209.4" customHeight="1" x14ac:dyDescent="0.25">
      <c r="A421" s="197" t="str">
        <f t="shared" si="11"/>
        <v>INC20260223420</v>
      </c>
      <c r="B421" s="199">
        <v>46076.677083333299</v>
      </c>
      <c r="C421" s="192" t="s">
        <v>37</v>
      </c>
      <c r="D421" s="194" t="s">
        <v>57</v>
      </c>
      <c r="E421" s="192" t="s">
        <v>596</v>
      </c>
      <c r="F421" s="192" t="s">
        <v>59</v>
      </c>
      <c r="G421" s="192" t="s">
        <v>60</v>
      </c>
      <c r="H421" s="192" t="s">
        <v>61</v>
      </c>
      <c r="I421" s="192" t="s">
        <v>62</v>
      </c>
      <c r="J421" s="121" t="s">
        <v>2076</v>
      </c>
      <c r="K421" s="192" t="s">
        <v>63</v>
      </c>
      <c r="L421" s="192" t="s">
        <v>64</v>
      </c>
      <c r="M421" s="143" t="s">
        <v>5</v>
      </c>
      <c r="N421" s="192" t="s">
        <v>597</v>
      </c>
      <c r="O421" s="192" t="s">
        <v>66</v>
      </c>
      <c r="P421" s="192" t="s">
        <v>67</v>
      </c>
      <c r="Q421" s="145"/>
      <c r="R421" s="145">
        <v>46077</v>
      </c>
      <c r="S421" s="192"/>
    </row>
    <row r="422" spans="1:19" ht="161.4" customHeight="1" x14ac:dyDescent="0.25">
      <c r="A422" s="197" t="str">
        <f t="shared" si="11"/>
        <v>INC20260223421</v>
      </c>
      <c r="B422" s="199">
        <v>46076.724999999999</v>
      </c>
      <c r="C422" s="192" t="s">
        <v>37</v>
      </c>
      <c r="D422" s="192" t="s">
        <v>286</v>
      </c>
      <c r="E422" s="192" t="s">
        <v>125</v>
      </c>
      <c r="F422" s="192" t="s">
        <v>40</v>
      </c>
      <c r="G422" s="192" t="s">
        <v>41</v>
      </c>
      <c r="H422" s="192" t="s">
        <v>79</v>
      </c>
      <c r="I422" s="192" t="s">
        <v>287</v>
      </c>
      <c r="J422" s="195" t="s">
        <v>2077</v>
      </c>
      <c r="K422" s="192" t="s">
        <v>44</v>
      </c>
      <c r="L422" s="192" t="s">
        <v>81</v>
      </c>
      <c r="M422" s="146" t="s">
        <v>5</v>
      </c>
      <c r="N422" s="192" t="s">
        <v>598</v>
      </c>
      <c r="O422" s="192" t="s">
        <v>86</v>
      </c>
      <c r="P422" s="192" t="s">
        <v>290</v>
      </c>
      <c r="Q422" s="145">
        <v>46077</v>
      </c>
      <c r="R422" s="145">
        <v>46077</v>
      </c>
      <c r="S422" s="192"/>
    </row>
    <row r="423" spans="1:19" ht="163.19999999999999" customHeight="1" x14ac:dyDescent="0.25">
      <c r="A423" s="197" t="str">
        <f t="shared" si="11"/>
        <v>INC20260224422</v>
      </c>
      <c r="B423" s="199">
        <v>46077.311805555597</v>
      </c>
      <c r="C423" s="192" t="s">
        <v>37</v>
      </c>
      <c r="D423" s="194" t="s">
        <v>38</v>
      </c>
      <c r="E423" s="192" t="s">
        <v>39</v>
      </c>
      <c r="F423" s="192" t="s">
        <v>40</v>
      </c>
      <c r="G423" s="192" t="s">
        <v>41</v>
      </c>
      <c r="H423" s="192" t="s">
        <v>42</v>
      </c>
      <c r="I423" s="192" t="s">
        <v>43</v>
      </c>
      <c r="J423" s="195" t="s">
        <v>2078</v>
      </c>
      <c r="K423" s="192" t="s">
        <v>44</v>
      </c>
      <c r="L423" s="192" t="s">
        <v>45</v>
      </c>
      <c r="M423" s="143" t="s">
        <v>5</v>
      </c>
      <c r="N423" s="198" t="s">
        <v>599</v>
      </c>
      <c r="O423" s="192"/>
      <c r="P423" s="144" t="s">
        <v>47</v>
      </c>
      <c r="Q423" s="145">
        <v>46078</v>
      </c>
      <c r="R423" s="145">
        <v>46077</v>
      </c>
      <c r="S423" s="192"/>
    </row>
    <row r="424" spans="1:19" ht="153.6" customHeight="1" x14ac:dyDescent="0.25">
      <c r="A424" s="197" t="str">
        <f t="shared" si="11"/>
        <v>INC20260224423</v>
      </c>
      <c r="B424" s="199">
        <v>46077.374305555597</v>
      </c>
      <c r="C424" s="192" t="s">
        <v>37</v>
      </c>
      <c r="D424" s="194" t="s">
        <v>600</v>
      </c>
      <c r="E424" s="192" t="s">
        <v>397</v>
      </c>
      <c r="F424" s="192" t="s">
        <v>40</v>
      </c>
      <c r="G424" s="192" t="s">
        <v>60</v>
      </c>
      <c r="H424" s="192" t="s">
        <v>79</v>
      </c>
      <c r="I424" s="192" t="s">
        <v>84</v>
      </c>
      <c r="J424" s="121" t="s">
        <v>2079</v>
      </c>
      <c r="K424" s="192" t="s">
        <v>63</v>
      </c>
      <c r="L424" s="192" t="s">
        <v>81</v>
      </c>
      <c r="M424" s="146" t="s">
        <v>5</v>
      </c>
      <c r="N424" s="172" t="s">
        <v>601</v>
      </c>
      <c r="O424" s="192" t="s">
        <v>86</v>
      </c>
      <c r="P424" s="192" t="s">
        <v>87</v>
      </c>
      <c r="Q424" s="145">
        <v>46077</v>
      </c>
      <c r="R424" s="145">
        <v>46077</v>
      </c>
      <c r="S424" s="192"/>
    </row>
    <row r="425" spans="1:19" ht="153.6" customHeight="1" x14ac:dyDescent="0.25">
      <c r="A425" s="197" t="str">
        <f t="shared" si="11"/>
        <v>INC20260223424</v>
      </c>
      <c r="B425" s="184">
        <v>46076.816666666702</v>
      </c>
      <c r="C425" s="192" t="s">
        <v>77</v>
      </c>
      <c r="D425" s="194" t="s">
        <v>78</v>
      </c>
      <c r="E425" s="192" t="s">
        <v>125</v>
      </c>
      <c r="F425" s="192" t="s">
        <v>40</v>
      </c>
      <c r="G425" s="192" t="s">
        <v>41</v>
      </c>
      <c r="H425" s="192" t="s">
        <v>79</v>
      </c>
      <c r="I425" s="192" t="s">
        <v>84</v>
      </c>
      <c r="J425" s="121" t="s">
        <v>2080</v>
      </c>
      <c r="K425" s="192" t="s">
        <v>44</v>
      </c>
      <c r="L425" s="192" t="s">
        <v>81</v>
      </c>
      <c r="M425" s="146" t="s">
        <v>5</v>
      </c>
      <c r="N425" s="192" t="s">
        <v>585</v>
      </c>
      <c r="O425" s="192" t="s">
        <v>86</v>
      </c>
      <c r="P425" s="192" t="s">
        <v>87</v>
      </c>
      <c r="Q425" s="145">
        <v>46076</v>
      </c>
      <c r="R425" s="145">
        <v>46077</v>
      </c>
      <c r="S425" s="192"/>
    </row>
    <row r="426" spans="1:19" ht="171.6" customHeight="1" x14ac:dyDescent="0.25">
      <c r="A426" s="197" t="str">
        <f t="shared" si="11"/>
        <v>INC20260224425</v>
      </c>
      <c r="B426" s="193">
        <v>46077.023611111101</v>
      </c>
      <c r="C426" s="192" t="s">
        <v>77</v>
      </c>
      <c r="D426" s="194" t="s">
        <v>78</v>
      </c>
      <c r="E426" s="192" t="s">
        <v>58</v>
      </c>
      <c r="F426" s="192" t="s">
        <v>40</v>
      </c>
      <c r="G426" s="192" t="s">
        <v>60</v>
      </c>
      <c r="H426" s="192" t="s">
        <v>79</v>
      </c>
      <c r="I426" s="192" t="s">
        <v>80</v>
      </c>
      <c r="J426" s="121" t="s">
        <v>2081</v>
      </c>
      <c r="K426" s="192" t="s">
        <v>63</v>
      </c>
      <c r="L426" s="192" t="s">
        <v>81</v>
      </c>
      <c r="M426" s="146" t="s">
        <v>5</v>
      </c>
      <c r="N426" s="192" t="s">
        <v>602</v>
      </c>
      <c r="O426" s="197" t="s">
        <v>83</v>
      </c>
      <c r="P426" s="197" t="s">
        <v>1366</v>
      </c>
      <c r="Q426" s="145">
        <v>46077</v>
      </c>
      <c r="R426" s="145">
        <v>46077</v>
      </c>
      <c r="S426" s="192"/>
    </row>
    <row r="427" spans="1:19" ht="189.6" customHeight="1" x14ac:dyDescent="0.25">
      <c r="A427" s="197" t="str">
        <f t="shared" si="11"/>
        <v>INC20260225426</v>
      </c>
      <c r="B427" s="199">
        <v>46078.531944444403</v>
      </c>
      <c r="C427" s="192" t="s">
        <v>37</v>
      </c>
      <c r="D427" s="194" t="s">
        <v>49</v>
      </c>
      <c r="E427" s="192" t="s">
        <v>50</v>
      </c>
      <c r="F427" s="192" t="s">
        <v>40</v>
      </c>
      <c r="G427" s="192" t="s">
        <v>51</v>
      </c>
      <c r="H427" s="192" t="s">
        <v>92</v>
      </c>
      <c r="I427" s="192" t="s">
        <v>93</v>
      </c>
      <c r="J427" s="195" t="s">
        <v>2082</v>
      </c>
      <c r="K427" s="192" t="s">
        <v>54</v>
      </c>
      <c r="L427" s="192" t="s">
        <v>55</v>
      </c>
      <c r="M427" s="146" t="s">
        <v>5</v>
      </c>
      <c r="N427" s="192" t="s">
        <v>603</v>
      </c>
      <c r="O427" s="192" t="s">
        <v>95</v>
      </c>
      <c r="P427" s="192" t="s">
        <v>96</v>
      </c>
      <c r="Q427" s="145">
        <v>46079</v>
      </c>
      <c r="R427" s="145">
        <v>46078</v>
      </c>
      <c r="S427" s="192"/>
    </row>
    <row r="428" spans="1:19" ht="183.6" customHeight="1" x14ac:dyDescent="0.25">
      <c r="A428" s="197" t="str">
        <f t="shared" si="11"/>
        <v>INC20260225427</v>
      </c>
      <c r="B428" s="199">
        <v>46078.533333333296</v>
      </c>
      <c r="C428" s="192" t="s">
        <v>37</v>
      </c>
      <c r="D428" s="194" t="s">
        <v>49</v>
      </c>
      <c r="E428" s="192" t="s">
        <v>50</v>
      </c>
      <c r="F428" s="192" t="s">
        <v>40</v>
      </c>
      <c r="G428" s="192" t="s">
        <v>51</v>
      </c>
      <c r="H428" s="192" t="s">
        <v>92</v>
      </c>
      <c r="I428" s="192" t="s">
        <v>93</v>
      </c>
      <c r="J428" s="195" t="s">
        <v>2083</v>
      </c>
      <c r="K428" s="192" t="s">
        <v>54</v>
      </c>
      <c r="L428" s="192" t="s">
        <v>55</v>
      </c>
      <c r="M428" s="146" t="s">
        <v>5</v>
      </c>
      <c r="N428" s="192" t="s">
        <v>604</v>
      </c>
      <c r="O428" s="192" t="s">
        <v>95</v>
      </c>
      <c r="P428" s="192" t="s">
        <v>96</v>
      </c>
      <c r="Q428" s="145">
        <v>46080</v>
      </c>
      <c r="R428" s="145">
        <v>46078</v>
      </c>
      <c r="S428" s="192"/>
    </row>
    <row r="429" spans="1:19" ht="177.6" customHeight="1" x14ac:dyDescent="0.25">
      <c r="A429" s="197" t="str">
        <f t="shared" si="11"/>
        <v>INC20260225428</v>
      </c>
      <c r="B429" s="199">
        <v>46078.59375</v>
      </c>
      <c r="C429" s="192" t="s">
        <v>37</v>
      </c>
      <c r="D429" s="194" t="s">
        <v>49</v>
      </c>
      <c r="E429" s="192" t="s">
        <v>50</v>
      </c>
      <c r="F429" s="192" t="s">
        <v>40</v>
      </c>
      <c r="G429" s="192" t="s">
        <v>51</v>
      </c>
      <c r="H429" s="192" t="s">
        <v>92</v>
      </c>
      <c r="I429" s="192" t="s">
        <v>93</v>
      </c>
      <c r="J429" s="195" t="s">
        <v>2084</v>
      </c>
      <c r="K429" s="192" t="s">
        <v>54</v>
      </c>
      <c r="L429" s="192" t="s">
        <v>55</v>
      </c>
      <c r="M429" s="146" t="s">
        <v>5</v>
      </c>
      <c r="N429" s="192" t="s">
        <v>605</v>
      </c>
      <c r="O429" s="192" t="s">
        <v>95</v>
      </c>
      <c r="P429" s="192" t="s">
        <v>96</v>
      </c>
      <c r="Q429" s="145"/>
      <c r="R429" s="145">
        <v>46078</v>
      </c>
      <c r="S429" s="192"/>
    </row>
    <row r="430" spans="1:19" ht="203.4" customHeight="1" x14ac:dyDescent="0.25">
      <c r="A430" s="197" t="str">
        <f t="shared" si="11"/>
        <v>INC20260225429</v>
      </c>
      <c r="B430" s="199">
        <v>46078.620138888902</v>
      </c>
      <c r="C430" s="192" t="s">
        <v>37</v>
      </c>
      <c r="D430" s="194" t="s">
        <v>49</v>
      </c>
      <c r="E430" s="192" t="s">
        <v>50</v>
      </c>
      <c r="F430" s="192" t="s">
        <v>40</v>
      </c>
      <c r="G430" s="192" t="s">
        <v>51</v>
      </c>
      <c r="H430" s="192" t="s">
        <v>52</v>
      </c>
      <c r="I430" s="192" t="s">
        <v>53</v>
      </c>
      <c r="J430" s="195" t="s">
        <v>2085</v>
      </c>
      <c r="K430" s="192" t="s">
        <v>54</v>
      </c>
      <c r="L430" s="192" t="s">
        <v>55</v>
      </c>
      <c r="M430" s="146" t="s">
        <v>5</v>
      </c>
      <c r="N430" s="192" t="s">
        <v>606</v>
      </c>
      <c r="O430" s="192"/>
      <c r="P430" s="192"/>
      <c r="Q430" s="145"/>
      <c r="R430" s="145">
        <v>46078</v>
      </c>
      <c r="S430" s="192"/>
    </row>
    <row r="431" spans="1:19" ht="160.80000000000001" customHeight="1" x14ac:dyDescent="0.25">
      <c r="A431" s="197" t="str">
        <f t="shared" si="11"/>
        <v>INC20260225430</v>
      </c>
      <c r="B431" s="199">
        <v>46078.646527777797</v>
      </c>
      <c r="C431" s="192" t="s">
        <v>37</v>
      </c>
      <c r="D431" s="194" t="s">
        <v>49</v>
      </c>
      <c r="E431" s="192" t="s">
        <v>130</v>
      </c>
      <c r="F431" s="192" t="s">
        <v>40</v>
      </c>
      <c r="G431" s="192" t="s">
        <v>51</v>
      </c>
      <c r="H431" s="192" t="s">
        <v>52</v>
      </c>
      <c r="I431" s="192" t="s">
        <v>53</v>
      </c>
      <c r="J431" s="195" t="s">
        <v>2086</v>
      </c>
      <c r="K431" s="192" t="s">
        <v>54</v>
      </c>
      <c r="L431" s="192" t="s">
        <v>55</v>
      </c>
      <c r="M431" s="146" t="s">
        <v>5</v>
      </c>
      <c r="N431" s="192" t="s">
        <v>606</v>
      </c>
      <c r="O431" s="192"/>
      <c r="P431" s="192"/>
      <c r="Q431" s="145"/>
      <c r="R431" s="145">
        <v>46078</v>
      </c>
      <c r="S431" s="192"/>
    </row>
    <row r="432" spans="1:19" ht="170.4" customHeight="1" x14ac:dyDescent="0.25">
      <c r="A432" s="197" t="str">
        <f t="shared" si="11"/>
        <v>INC20260225431</v>
      </c>
      <c r="B432" s="193">
        <v>46078.411111111098</v>
      </c>
      <c r="C432" s="192" t="s">
        <v>77</v>
      </c>
      <c r="D432" s="194" t="s">
        <v>78</v>
      </c>
      <c r="E432" s="192" t="s">
        <v>69</v>
      </c>
      <c r="F432" s="192" t="s">
        <v>40</v>
      </c>
      <c r="G432" s="192" t="s">
        <v>41</v>
      </c>
      <c r="H432" s="192" t="s">
        <v>79</v>
      </c>
      <c r="I432" s="192" t="s">
        <v>84</v>
      </c>
      <c r="J432" s="121" t="s">
        <v>2087</v>
      </c>
      <c r="K432" s="192" t="s">
        <v>44</v>
      </c>
      <c r="L432" s="192" t="s">
        <v>81</v>
      </c>
      <c r="M432" s="146" t="s">
        <v>5</v>
      </c>
      <c r="N432" s="192" t="s">
        <v>607</v>
      </c>
      <c r="O432" s="192" t="s">
        <v>86</v>
      </c>
      <c r="P432" s="192" t="s">
        <v>87</v>
      </c>
      <c r="Q432" s="196">
        <v>46077.416666666701</v>
      </c>
      <c r="R432" s="145">
        <v>46083</v>
      </c>
      <c r="S432" s="192"/>
    </row>
    <row r="433" spans="1:19" ht="167.4" customHeight="1" x14ac:dyDescent="0.25">
      <c r="A433" s="197" t="str">
        <f t="shared" si="11"/>
        <v>INC20260225432</v>
      </c>
      <c r="B433" s="193">
        <v>46078.497916666704</v>
      </c>
      <c r="C433" s="192" t="s">
        <v>77</v>
      </c>
      <c r="D433" s="194" t="s">
        <v>78</v>
      </c>
      <c r="E433" s="192" t="s">
        <v>125</v>
      </c>
      <c r="F433" s="192" t="s">
        <v>40</v>
      </c>
      <c r="G433" s="192" t="s">
        <v>41</v>
      </c>
      <c r="H433" s="192" t="s">
        <v>79</v>
      </c>
      <c r="I433" s="192" t="s">
        <v>84</v>
      </c>
      <c r="J433" s="121" t="s">
        <v>2088</v>
      </c>
      <c r="K433" s="192" t="s">
        <v>44</v>
      </c>
      <c r="L433" s="192" t="s">
        <v>81</v>
      </c>
      <c r="M433" s="146" t="s">
        <v>5</v>
      </c>
      <c r="N433" s="192" t="s">
        <v>608</v>
      </c>
      <c r="O433" s="192" t="s">
        <v>86</v>
      </c>
      <c r="P433" s="192" t="s">
        <v>87</v>
      </c>
      <c r="Q433" s="196">
        <v>46078.616666666698</v>
      </c>
      <c r="R433" s="145">
        <v>46083</v>
      </c>
      <c r="S433" s="192"/>
    </row>
    <row r="434" spans="1:19" ht="183.6" customHeight="1" x14ac:dyDescent="0.25">
      <c r="A434" s="197" t="str">
        <f t="shared" si="11"/>
        <v>INC20260225433</v>
      </c>
      <c r="B434" s="193">
        <v>46078.935416666704</v>
      </c>
      <c r="C434" s="192" t="s">
        <v>77</v>
      </c>
      <c r="D434" s="194" t="s">
        <v>78</v>
      </c>
      <c r="E434" s="192" t="s">
        <v>69</v>
      </c>
      <c r="F434" s="192" t="s">
        <v>40</v>
      </c>
      <c r="G434" s="192" t="s">
        <v>60</v>
      </c>
      <c r="H434" s="192" t="s">
        <v>79</v>
      </c>
      <c r="I434" s="192" t="s">
        <v>84</v>
      </c>
      <c r="J434" s="121" t="s">
        <v>2089</v>
      </c>
      <c r="K434" s="192" t="s">
        <v>63</v>
      </c>
      <c r="L434" s="192" t="s">
        <v>81</v>
      </c>
      <c r="M434" s="146" t="s">
        <v>5</v>
      </c>
      <c r="N434" s="192" t="s">
        <v>609</v>
      </c>
      <c r="O434" s="192" t="s">
        <v>86</v>
      </c>
      <c r="P434" s="192" t="s">
        <v>87</v>
      </c>
      <c r="Q434" s="196">
        <v>46078.945833333302</v>
      </c>
      <c r="R434" s="145">
        <v>46083</v>
      </c>
      <c r="S434" s="192"/>
    </row>
    <row r="435" spans="1:19" ht="181.2" customHeight="1" x14ac:dyDescent="0.25">
      <c r="A435" s="197" t="str">
        <f t="shared" si="11"/>
        <v>INC20260226434</v>
      </c>
      <c r="B435" s="193">
        <v>46079.461111111101</v>
      </c>
      <c r="C435" s="192" t="s">
        <v>77</v>
      </c>
      <c r="D435" s="194" t="s">
        <v>78</v>
      </c>
      <c r="E435" s="192" t="s">
        <v>486</v>
      </c>
      <c r="F435" s="192" t="s">
        <v>40</v>
      </c>
      <c r="G435" s="192" t="s">
        <v>41</v>
      </c>
      <c r="H435" s="192" t="s">
        <v>79</v>
      </c>
      <c r="I435" s="192" t="s">
        <v>80</v>
      </c>
      <c r="J435" s="121" t="s">
        <v>2090</v>
      </c>
      <c r="K435" s="192" t="s">
        <v>44</v>
      </c>
      <c r="L435" s="192" t="s">
        <v>81</v>
      </c>
      <c r="M435" s="146" t="s">
        <v>5</v>
      </c>
      <c r="N435" s="192" t="s">
        <v>610</v>
      </c>
      <c r="O435" s="197" t="s">
        <v>83</v>
      </c>
      <c r="P435" s="197" t="s">
        <v>1366</v>
      </c>
      <c r="Q435" s="196">
        <v>46079.496527777803</v>
      </c>
      <c r="R435" s="145">
        <v>46083</v>
      </c>
      <c r="S435" s="192"/>
    </row>
    <row r="436" spans="1:19" ht="190.8" customHeight="1" x14ac:dyDescent="0.25">
      <c r="A436" s="197" t="str">
        <f t="shared" si="11"/>
        <v>INC20260226435</v>
      </c>
      <c r="B436" s="193">
        <v>46079.9284722222</v>
      </c>
      <c r="C436" s="192" t="s">
        <v>77</v>
      </c>
      <c r="D436" s="194" t="s">
        <v>78</v>
      </c>
      <c r="E436" s="192" t="s">
        <v>58</v>
      </c>
      <c r="F436" s="192" t="s">
        <v>40</v>
      </c>
      <c r="G436" s="192" t="s">
        <v>60</v>
      </c>
      <c r="H436" s="192" t="s">
        <v>79</v>
      </c>
      <c r="I436" s="192" t="s">
        <v>80</v>
      </c>
      <c r="J436" s="121" t="s">
        <v>2091</v>
      </c>
      <c r="K436" s="192" t="s">
        <v>63</v>
      </c>
      <c r="L436" s="192" t="s">
        <v>81</v>
      </c>
      <c r="M436" s="146" t="s">
        <v>5</v>
      </c>
      <c r="N436" s="192" t="s">
        <v>611</v>
      </c>
      <c r="O436" s="197" t="s">
        <v>83</v>
      </c>
      <c r="P436" s="197" t="s">
        <v>1366</v>
      </c>
      <c r="Q436" s="145">
        <v>46081</v>
      </c>
      <c r="R436" s="145">
        <v>46083</v>
      </c>
      <c r="S436" s="192"/>
    </row>
    <row r="437" spans="1:19" ht="151.19999999999999" customHeight="1" x14ac:dyDescent="0.25">
      <c r="A437" s="197" t="str">
        <f t="shared" si="11"/>
        <v>INC20260225436</v>
      </c>
      <c r="B437" s="199">
        <v>46078.653472222199</v>
      </c>
      <c r="C437" s="192" t="s">
        <v>37</v>
      </c>
      <c r="D437" s="194" t="s">
        <v>612</v>
      </c>
      <c r="E437" s="192" t="s">
        <v>74</v>
      </c>
      <c r="F437" s="192" t="s">
        <v>59</v>
      </c>
      <c r="G437" s="192" t="s">
        <v>60</v>
      </c>
      <c r="H437" s="192" t="s">
        <v>61</v>
      </c>
      <c r="I437" s="192" t="s">
        <v>62</v>
      </c>
      <c r="J437" s="121" t="s">
        <v>2092</v>
      </c>
      <c r="K437" s="192" t="s">
        <v>63</v>
      </c>
      <c r="L437" s="192" t="s">
        <v>64</v>
      </c>
      <c r="M437" s="143" t="s">
        <v>5</v>
      </c>
      <c r="N437" s="192" t="s">
        <v>613</v>
      </c>
      <c r="O437" s="192" t="s">
        <v>66</v>
      </c>
      <c r="P437" s="192" t="s">
        <v>67</v>
      </c>
      <c r="Q437" s="145">
        <v>46084</v>
      </c>
      <c r="R437" s="145">
        <v>46083</v>
      </c>
      <c r="S437" s="192"/>
    </row>
    <row r="438" spans="1:19" ht="170.4" customHeight="1" x14ac:dyDescent="0.25">
      <c r="A438" s="197" t="str">
        <f t="shared" si="11"/>
        <v>INC20260226437</v>
      </c>
      <c r="B438" s="199">
        <v>46079.317361111098</v>
      </c>
      <c r="C438" s="192" t="s">
        <v>37</v>
      </c>
      <c r="D438" s="194" t="s">
        <v>38</v>
      </c>
      <c r="E438" s="192" t="s">
        <v>39</v>
      </c>
      <c r="F438" s="192" t="s">
        <v>40</v>
      </c>
      <c r="G438" s="192" t="s">
        <v>41</v>
      </c>
      <c r="H438" s="192" t="s">
        <v>42</v>
      </c>
      <c r="I438" s="192" t="s">
        <v>43</v>
      </c>
      <c r="J438" s="195" t="s">
        <v>2093</v>
      </c>
      <c r="K438" s="192" t="s">
        <v>44</v>
      </c>
      <c r="L438" s="192" t="s">
        <v>45</v>
      </c>
      <c r="M438" s="143" t="s">
        <v>5</v>
      </c>
      <c r="N438" s="198" t="s">
        <v>614</v>
      </c>
      <c r="O438" s="192"/>
      <c r="P438" s="144" t="s">
        <v>47</v>
      </c>
      <c r="Q438" s="145">
        <v>46079</v>
      </c>
      <c r="R438" s="145">
        <v>46083</v>
      </c>
      <c r="S438" s="192"/>
    </row>
    <row r="439" spans="1:19" ht="174.6" customHeight="1" x14ac:dyDescent="0.25">
      <c r="A439" s="197" t="str">
        <f t="shared" si="11"/>
        <v>INC20260226438</v>
      </c>
      <c r="B439" s="199">
        <v>46079.572916666701</v>
      </c>
      <c r="C439" s="192" t="s">
        <v>37</v>
      </c>
      <c r="D439" s="194" t="s">
        <v>129</v>
      </c>
      <c r="E439" s="192" t="s">
        <v>50</v>
      </c>
      <c r="F439" s="192" t="s">
        <v>40</v>
      </c>
      <c r="G439" s="192" t="s">
        <v>51</v>
      </c>
      <c r="H439" s="192" t="s">
        <v>52</v>
      </c>
      <c r="I439" s="192" t="s">
        <v>53</v>
      </c>
      <c r="J439" s="195" t="s">
        <v>2094</v>
      </c>
      <c r="K439" s="192" t="s">
        <v>54</v>
      </c>
      <c r="L439" s="192" t="s">
        <v>55</v>
      </c>
      <c r="M439" s="146" t="s">
        <v>5</v>
      </c>
      <c r="N439" s="192" t="s">
        <v>615</v>
      </c>
      <c r="O439" s="192"/>
      <c r="P439" s="192"/>
      <c r="Q439" s="145">
        <v>46079</v>
      </c>
      <c r="R439" s="145">
        <v>46083</v>
      </c>
      <c r="S439" s="192"/>
    </row>
    <row r="440" spans="1:19" ht="241.2" customHeight="1" x14ac:dyDescent="0.25">
      <c r="A440" s="197" t="str">
        <f t="shared" si="11"/>
        <v>INC20260226439</v>
      </c>
      <c r="B440" s="199">
        <v>46079.724305555603</v>
      </c>
      <c r="C440" s="192" t="s">
        <v>37</v>
      </c>
      <c r="D440" s="194" t="s">
        <v>616</v>
      </c>
      <c r="E440" s="192" t="s">
        <v>397</v>
      </c>
      <c r="F440" s="192" t="s">
        <v>59</v>
      </c>
      <c r="G440" s="192" t="s">
        <v>60</v>
      </c>
      <c r="H440" s="192" t="s">
        <v>61</v>
      </c>
      <c r="I440" s="192" t="s">
        <v>62</v>
      </c>
      <c r="J440" s="121" t="s">
        <v>2095</v>
      </c>
      <c r="K440" s="192" t="s">
        <v>63</v>
      </c>
      <c r="L440" s="192" t="s">
        <v>64</v>
      </c>
      <c r="M440" s="143" t="s">
        <v>5</v>
      </c>
      <c r="N440" s="192" t="s">
        <v>617</v>
      </c>
      <c r="O440" s="192" t="s">
        <v>66</v>
      </c>
      <c r="P440" s="192" t="s">
        <v>67</v>
      </c>
      <c r="Q440" s="145">
        <v>46084</v>
      </c>
      <c r="R440" s="145">
        <v>46083</v>
      </c>
      <c r="S440" s="192"/>
    </row>
    <row r="441" spans="1:19" ht="184.8" customHeight="1" x14ac:dyDescent="0.25">
      <c r="A441" s="197" t="str">
        <f t="shared" si="11"/>
        <v>INC20260227440</v>
      </c>
      <c r="B441" s="199">
        <v>46080.336805555598</v>
      </c>
      <c r="C441" s="192" t="s">
        <v>37</v>
      </c>
      <c r="D441" s="194" t="s">
        <v>38</v>
      </c>
      <c r="E441" s="192" t="s">
        <v>39</v>
      </c>
      <c r="F441" s="192" t="s">
        <v>40</v>
      </c>
      <c r="G441" s="192" t="s">
        <v>41</v>
      </c>
      <c r="H441" s="192" t="s">
        <v>42</v>
      </c>
      <c r="I441" s="192" t="s">
        <v>43</v>
      </c>
      <c r="J441" s="195" t="s">
        <v>2096</v>
      </c>
      <c r="K441" s="192" t="s">
        <v>44</v>
      </c>
      <c r="L441" s="192" t="s">
        <v>45</v>
      </c>
      <c r="M441" s="143" t="s">
        <v>5</v>
      </c>
      <c r="N441" s="198" t="s">
        <v>618</v>
      </c>
      <c r="O441" s="192"/>
      <c r="P441" s="144" t="s">
        <v>47</v>
      </c>
      <c r="Q441" s="145">
        <v>46083</v>
      </c>
      <c r="R441" s="145">
        <v>46083</v>
      </c>
      <c r="S441" s="192"/>
    </row>
    <row r="442" spans="1:19" ht="174.6" customHeight="1" x14ac:dyDescent="0.25">
      <c r="A442" s="197" t="str">
        <f t="shared" si="11"/>
        <v>INC20260226441</v>
      </c>
      <c r="B442" s="199">
        <v>46079.662499999999</v>
      </c>
      <c r="C442" s="192" t="s">
        <v>37</v>
      </c>
      <c r="D442" s="194" t="s">
        <v>49</v>
      </c>
      <c r="E442" s="192" t="s">
        <v>130</v>
      </c>
      <c r="F442" s="192" t="s">
        <v>40</v>
      </c>
      <c r="G442" s="192" t="s">
        <v>51</v>
      </c>
      <c r="H442" s="192" t="s">
        <v>52</v>
      </c>
      <c r="I442" s="192" t="s">
        <v>53</v>
      </c>
      <c r="J442" s="195" t="s">
        <v>2097</v>
      </c>
      <c r="K442" s="192" t="s">
        <v>54</v>
      </c>
      <c r="L442" s="192" t="s">
        <v>55</v>
      </c>
      <c r="M442" s="146" t="s">
        <v>5</v>
      </c>
      <c r="N442" s="192" t="s">
        <v>619</v>
      </c>
      <c r="O442" s="192"/>
      <c r="P442" s="192"/>
      <c r="Q442" s="145">
        <v>46080</v>
      </c>
      <c r="R442" s="145">
        <v>46083</v>
      </c>
      <c r="S442" s="192"/>
    </row>
    <row r="443" spans="1:19" ht="149.4" customHeight="1" x14ac:dyDescent="0.25">
      <c r="A443" s="197" t="str">
        <f t="shared" si="11"/>
        <v>INC20260226442</v>
      </c>
      <c r="B443" s="199">
        <v>46079.569444444402</v>
      </c>
      <c r="C443" s="192" t="s">
        <v>37</v>
      </c>
      <c r="D443" s="194" t="s">
        <v>49</v>
      </c>
      <c r="E443" s="192" t="s">
        <v>50</v>
      </c>
      <c r="F443" s="192" t="s">
        <v>40</v>
      </c>
      <c r="G443" s="192" t="s">
        <v>51</v>
      </c>
      <c r="H443" s="192" t="s">
        <v>92</v>
      </c>
      <c r="I443" s="192" t="s">
        <v>93</v>
      </c>
      <c r="J443" s="195" t="s">
        <v>2098</v>
      </c>
      <c r="K443" s="192" t="s">
        <v>54</v>
      </c>
      <c r="L443" s="192" t="s">
        <v>55</v>
      </c>
      <c r="M443" s="146" t="s">
        <v>5</v>
      </c>
      <c r="N443" s="192" t="s">
        <v>620</v>
      </c>
      <c r="O443" s="192" t="s">
        <v>95</v>
      </c>
      <c r="P443" s="192" t="s">
        <v>96</v>
      </c>
      <c r="Q443" s="145">
        <v>46080</v>
      </c>
      <c r="R443" s="145">
        <v>46083</v>
      </c>
      <c r="S443" s="192"/>
    </row>
    <row r="444" spans="1:19" ht="162.6" customHeight="1" x14ac:dyDescent="0.25">
      <c r="A444" s="197" t="str">
        <f t="shared" si="11"/>
        <v>INC20260227443</v>
      </c>
      <c r="B444" s="199">
        <v>46080.459027777797</v>
      </c>
      <c r="C444" s="192" t="s">
        <v>37</v>
      </c>
      <c r="D444" s="194" t="s">
        <v>621</v>
      </c>
      <c r="E444" s="192" t="s">
        <v>622</v>
      </c>
      <c r="F444" s="192" t="s">
        <v>40</v>
      </c>
      <c r="G444" s="192" t="s">
        <v>60</v>
      </c>
      <c r="H444" s="192" t="s">
        <v>79</v>
      </c>
      <c r="I444" s="192" t="s">
        <v>84</v>
      </c>
      <c r="J444" s="121" t="s">
        <v>2099</v>
      </c>
      <c r="K444" s="192" t="s">
        <v>63</v>
      </c>
      <c r="L444" s="192" t="s">
        <v>81</v>
      </c>
      <c r="M444" s="146" t="s">
        <v>5</v>
      </c>
      <c r="N444" s="192" t="s">
        <v>623</v>
      </c>
      <c r="O444" s="192" t="s">
        <v>86</v>
      </c>
      <c r="P444" s="192" t="s">
        <v>87</v>
      </c>
      <c r="Q444" s="145">
        <v>46080</v>
      </c>
      <c r="R444" s="145">
        <v>46083</v>
      </c>
      <c r="S444" s="192"/>
    </row>
    <row r="445" spans="1:19" ht="160.80000000000001" customHeight="1" x14ac:dyDescent="0.25">
      <c r="A445" s="197" t="str">
        <f t="shared" si="11"/>
        <v>INC20260227444</v>
      </c>
      <c r="B445" s="199">
        <v>46080.488888888904</v>
      </c>
      <c r="C445" s="192" t="s">
        <v>37</v>
      </c>
      <c r="D445" s="194" t="s">
        <v>57</v>
      </c>
      <c r="E445" s="192" t="s">
        <v>180</v>
      </c>
      <c r="F445" s="192" t="s">
        <v>59</v>
      </c>
      <c r="G445" s="192" t="s">
        <v>60</v>
      </c>
      <c r="H445" s="192" t="s">
        <v>61</v>
      </c>
      <c r="I445" s="192" t="s">
        <v>62</v>
      </c>
      <c r="J445" s="121" t="s">
        <v>2100</v>
      </c>
      <c r="K445" s="192" t="s">
        <v>63</v>
      </c>
      <c r="L445" s="192" t="s">
        <v>64</v>
      </c>
      <c r="M445" s="143" t="s">
        <v>5</v>
      </c>
      <c r="N445" s="192" t="s">
        <v>624</v>
      </c>
      <c r="O445" s="192" t="s">
        <v>66</v>
      </c>
      <c r="P445" s="192" t="s">
        <v>67</v>
      </c>
      <c r="Q445" s="145">
        <v>46080</v>
      </c>
      <c r="R445" s="145">
        <v>46083</v>
      </c>
      <c r="S445" s="192"/>
    </row>
    <row r="446" spans="1:19" ht="176.4" customHeight="1" x14ac:dyDescent="0.25">
      <c r="A446" s="197" t="str">
        <f t="shared" si="11"/>
        <v>INC20260227445</v>
      </c>
      <c r="B446" s="199">
        <v>46080.622222222199</v>
      </c>
      <c r="C446" s="192" t="s">
        <v>37</v>
      </c>
      <c r="D446" s="194" t="s">
        <v>625</v>
      </c>
      <c r="E446" s="192" t="s">
        <v>50</v>
      </c>
      <c r="F446" s="192" t="s">
        <v>40</v>
      </c>
      <c r="G446" s="192" t="s">
        <v>51</v>
      </c>
      <c r="H446" s="192" t="s">
        <v>92</v>
      </c>
      <c r="I446" s="192" t="s">
        <v>403</v>
      </c>
      <c r="J446" s="195" t="s">
        <v>2101</v>
      </c>
      <c r="K446" s="192" t="s">
        <v>54</v>
      </c>
      <c r="L446" s="192" t="s">
        <v>55</v>
      </c>
      <c r="M446" s="146" t="s">
        <v>5</v>
      </c>
      <c r="N446" s="192" t="s">
        <v>626</v>
      </c>
      <c r="O446" s="192"/>
      <c r="P446" s="192"/>
      <c r="Q446" s="145">
        <v>46080</v>
      </c>
      <c r="R446" s="145">
        <v>46083</v>
      </c>
      <c r="S446" s="192"/>
    </row>
    <row r="447" spans="1:19" ht="172.8" customHeight="1" x14ac:dyDescent="0.25">
      <c r="A447" s="197" t="str">
        <f t="shared" si="11"/>
        <v>INC20260227446</v>
      </c>
      <c r="B447" s="199">
        <v>46080.627083333296</v>
      </c>
      <c r="C447" s="192" t="s">
        <v>37</v>
      </c>
      <c r="D447" s="194" t="s">
        <v>49</v>
      </c>
      <c r="E447" s="192" t="s">
        <v>50</v>
      </c>
      <c r="F447" s="192" t="s">
        <v>40</v>
      </c>
      <c r="G447" s="192" t="s">
        <v>51</v>
      </c>
      <c r="H447" s="192" t="s">
        <v>52</v>
      </c>
      <c r="I447" s="192" t="s">
        <v>53</v>
      </c>
      <c r="J447" s="195" t="s">
        <v>2102</v>
      </c>
      <c r="K447" s="192" t="s">
        <v>54</v>
      </c>
      <c r="L447" s="192" t="s">
        <v>55</v>
      </c>
      <c r="M447" s="146" t="s">
        <v>5</v>
      </c>
      <c r="N447" s="192" t="s">
        <v>627</v>
      </c>
      <c r="O447" s="192"/>
      <c r="P447" s="192"/>
      <c r="Q447" s="145">
        <v>46080</v>
      </c>
      <c r="R447" s="145">
        <v>46083</v>
      </c>
      <c r="S447" s="192"/>
    </row>
    <row r="448" spans="1:19" ht="165" customHeight="1" x14ac:dyDescent="0.25">
      <c r="A448" s="197" t="str">
        <f t="shared" si="11"/>
        <v>INC20260227447</v>
      </c>
      <c r="B448" s="199">
        <v>46080.652083333298</v>
      </c>
      <c r="C448" s="192" t="s">
        <v>37</v>
      </c>
      <c r="D448" s="194" t="s">
        <v>57</v>
      </c>
      <c r="E448" s="192" t="s">
        <v>397</v>
      </c>
      <c r="F448" s="192" t="s">
        <v>59</v>
      </c>
      <c r="G448" s="192" t="s">
        <v>60</v>
      </c>
      <c r="H448" s="192" t="s">
        <v>61</v>
      </c>
      <c r="I448" s="192" t="s">
        <v>62</v>
      </c>
      <c r="J448" s="121" t="s">
        <v>2103</v>
      </c>
      <c r="K448" s="192" t="s">
        <v>63</v>
      </c>
      <c r="L448" s="192" t="s">
        <v>64</v>
      </c>
      <c r="M448" s="143" t="s">
        <v>5</v>
      </c>
      <c r="N448" s="192" t="s">
        <v>628</v>
      </c>
      <c r="O448" s="192" t="s">
        <v>66</v>
      </c>
      <c r="P448" s="192" t="s">
        <v>67</v>
      </c>
      <c r="Q448" s="145">
        <v>46084</v>
      </c>
      <c r="R448" s="145">
        <v>46083</v>
      </c>
      <c r="S448" s="192"/>
    </row>
    <row r="449" spans="1:19" ht="165.6" customHeight="1" x14ac:dyDescent="0.25">
      <c r="A449" s="197" t="str">
        <f t="shared" si="11"/>
        <v>INC20260301448</v>
      </c>
      <c r="B449" s="199">
        <v>46082.71875</v>
      </c>
      <c r="C449" s="192" t="s">
        <v>37</v>
      </c>
      <c r="D449" s="194" t="s">
        <v>629</v>
      </c>
      <c r="E449" s="192" t="s">
        <v>50</v>
      </c>
      <c r="F449" s="192" t="s">
        <v>40</v>
      </c>
      <c r="G449" s="192" t="s">
        <v>51</v>
      </c>
      <c r="H449" s="192" t="s">
        <v>42</v>
      </c>
      <c r="I449" s="192" t="s">
        <v>630</v>
      </c>
      <c r="J449" s="195" t="s">
        <v>2104</v>
      </c>
      <c r="K449" s="192" t="s">
        <v>54</v>
      </c>
      <c r="L449" s="192" t="s">
        <v>55</v>
      </c>
      <c r="M449" s="146" t="s">
        <v>5</v>
      </c>
      <c r="N449" s="192" t="s">
        <v>631</v>
      </c>
      <c r="O449" s="192"/>
      <c r="P449" s="192"/>
      <c r="Q449" s="145">
        <v>46082</v>
      </c>
      <c r="R449" s="145">
        <v>46083</v>
      </c>
      <c r="S449" s="192"/>
    </row>
    <row r="450" spans="1:19" ht="191.4" customHeight="1" x14ac:dyDescent="0.25">
      <c r="A450" s="197" t="str">
        <f t="shared" si="11"/>
        <v>INC20260302449</v>
      </c>
      <c r="B450" s="199">
        <v>46083.3256944444</v>
      </c>
      <c r="C450" s="192" t="s">
        <v>37</v>
      </c>
      <c r="D450" s="194" t="s">
        <v>38</v>
      </c>
      <c r="E450" s="192" t="s">
        <v>39</v>
      </c>
      <c r="F450" s="192" t="s">
        <v>40</v>
      </c>
      <c r="G450" s="192" t="s">
        <v>41</v>
      </c>
      <c r="H450" s="192" t="s">
        <v>42</v>
      </c>
      <c r="I450" s="192" t="s">
        <v>43</v>
      </c>
      <c r="J450" s="195" t="s">
        <v>2105</v>
      </c>
      <c r="K450" s="192" t="s">
        <v>44</v>
      </c>
      <c r="L450" s="192" t="s">
        <v>45</v>
      </c>
      <c r="M450" s="143" t="s">
        <v>5</v>
      </c>
      <c r="N450" s="198" t="s">
        <v>632</v>
      </c>
      <c r="O450" s="192"/>
      <c r="P450" s="144" t="s">
        <v>47</v>
      </c>
      <c r="Q450" s="145">
        <v>45718</v>
      </c>
      <c r="R450" s="145">
        <v>46083</v>
      </c>
      <c r="S450" s="192"/>
    </row>
    <row r="451" spans="1:19" ht="149.4" customHeight="1" x14ac:dyDescent="0.25">
      <c r="A451" s="197" t="str">
        <f t="shared" si="11"/>
        <v>INC20260227450</v>
      </c>
      <c r="B451" s="193">
        <v>46080.511805555601</v>
      </c>
      <c r="C451" s="192" t="s">
        <v>77</v>
      </c>
      <c r="D451" s="194" t="s">
        <v>78</v>
      </c>
      <c r="E451" s="192" t="s">
        <v>125</v>
      </c>
      <c r="F451" s="192" t="s">
        <v>40</v>
      </c>
      <c r="G451" s="192" t="s">
        <v>41</v>
      </c>
      <c r="H451" s="192" t="s">
        <v>79</v>
      </c>
      <c r="I451" s="192" t="s">
        <v>84</v>
      </c>
      <c r="J451" s="121" t="s">
        <v>2106</v>
      </c>
      <c r="K451" s="192" t="s">
        <v>44</v>
      </c>
      <c r="L451" s="192" t="s">
        <v>81</v>
      </c>
      <c r="M451" s="146" t="s">
        <v>5</v>
      </c>
      <c r="N451" s="192" t="s">
        <v>633</v>
      </c>
      <c r="O451" s="192" t="s">
        <v>86</v>
      </c>
      <c r="P451" s="192" t="s">
        <v>87</v>
      </c>
      <c r="Q451" s="196">
        <v>46080.520138888904</v>
      </c>
      <c r="R451" s="145">
        <v>46083</v>
      </c>
      <c r="S451" s="192"/>
    </row>
    <row r="452" spans="1:19" ht="152.4" customHeight="1" x14ac:dyDescent="0.25">
      <c r="A452" s="197" t="str">
        <f t="shared" si="11"/>
        <v>INC20260227451</v>
      </c>
      <c r="B452" s="193">
        <v>46080.469444444403</v>
      </c>
      <c r="C452" s="192" t="s">
        <v>77</v>
      </c>
      <c r="D452" s="194" t="s">
        <v>78</v>
      </c>
      <c r="E452" s="192" t="s">
        <v>58</v>
      </c>
      <c r="F452" s="192" t="s">
        <v>40</v>
      </c>
      <c r="G452" s="192" t="s">
        <v>60</v>
      </c>
      <c r="H452" s="192" t="s">
        <v>79</v>
      </c>
      <c r="I452" s="192" t="s">
        <v>80</v>
      </c>
      <c r="J452" s="121" t="s">
        <v>2107</v>
      </c>
      <c r="K452" s="192" t="s">
        <v>63</v>
      </c>
      <c r="L452" s="192" t="s">
        <v>81</v>
      </c>
      <c r="M452" s="146" t="s">
        <v>5</v>
      </c>
      <c r="N452" s="192" t="s">
        <v>634</v>
      </c>
      <c r="O452" s="197" t="s">
        <v>83</v>
      </c>
      <c r="P452" s="197" t="s">
        <v>1366</v>
      </c>
      <c r="Q452" s="145">
        <v>46080</v>
      </c>
      <c r="R452" s="145">
        <v>46083</v>
      </c>
      <c r="S452" s="192"/>
    </row>
    <row r="453" spans="1:19" ht="167.4" customHeight="1" x14ac:dyDescent="0.25">
      <c r="A453" s="197" t="str">
        <f t="shared" si="11"/>
        <v>INC20260302452</v>
      </c>
      <c r="B453" s="199">
        <v>46083.495138888902</v>
      </c>
      <c r="C453" s="192" t="s">
        <v>37</v>
      </c>
      <c r="D453" s="194" t="s">
        <v>129</v>
      </c>
      <c r="E453" s="192" t="s">
        <v>50</v>
      </c>
      <c r="F453" s="192" t="s">
        <v>40</v>
      </c>
      <c r="G453" s="192" t="s">
        <v>51</v>
      </c>
      <c r="H453" s="192" t="s">
        <v>92</v>
      </c>
      <c r="I453" s="192" t="s">
        <v>93</v>
      </c>
      <c r="J453" s="195" t="s">
        <v>2108</v>
      </c>
      <c r="K453" s="192" t="s">
        <v>54</v>
      </c>
      <c r="L453" s="192" t="s">
        <v>55</v>
      </c>
      <c r="M453" s="146" t="s">
        <v>5</v>
      </c>
      <c r="N453" s="192" t="s">
        <v>635</v>
      </c>
      <c r="O453" s="192" t="s">
        <v>95</v>
      </c>
      <c r="P453" s="192" t="s">
        <v>96</v>
      </c>
      <c r="Q453" s="145">
        <v>46086</v>
      </c>
      <c r="R453" s="145">
        <v>46083</v>
      </c>
      <c r="S453" s="192"/>
    </row>
    <row r="454" spans="1:19" ht="140.4" customHeight="1" x14ac:dyDescent="0.25">
      <c r="A454" s="197" t="str">
        <f t="shared" si="11"/>
        <v>INC20260302453</v>
      </c>
      <c r="B454" s="199">
        <v>46083.536805555603</v>
      </c>
      <c r="C454" s="192" t="s">
        <v>37</v>
      </c>
      <c r="D454" s="194" t="s">
        <v>57</v>
      </c>
      <c r="E454" s="192" t="s">
        <v>397</v>
      </c>
      <c r="F454" s="192" t="s">
        <v>59</v>
      </c>
      <c r="G454" s="192" t="s">
        <v>60</v>
      </c>
      <c r="H454" s="192" t="s">
        <v>61</v>
      </c>
      <c r="I454" s="192" t="s">
        <v>62</v>
      </c>
      <c r="J454" s="121" t="s">
        <v>2109</v>
      </c>
      <c r="K454" s="192" t="s">
        <v>63</v>
      </c>
      <c r="L454" s="192" t="s">
        <v>64</v>
      </c>
      <c r="M454" s="143" t="s">
        <v>5</v>
      </c>
      <c r="N454" s="192" t="s">
        <v>636</v>
      </c>
      <c r="O454" s="192" t="s">
        <v>66</v>
      </c>
      <c r="P454" s="192" t="s">
        <v>67</v>
      </c>
      <c r="Q454" s="145"/>
      <c r="R454" s="145">
        <v>46083</v>
      </c>
      <c r="S454" s="192"/>
    </row>
    <row r="455" spans="1:19" ht="159.6" customHeight="1" x14ac:dyDescent="0.25">
      <c r="A455" s="197" t="str">
        <f t="shared" si="11"/>
        <v>INC20260227454</v>
      </c>
      <c r="B455" s="193">
        <v>46080.636111111096</v>
      </c>
      <c r="C455" s="192" t="s">
        <v>77</v>
      </c>
      <c r="D455" s="194" t="s">
        <v>78</v>
      </c>
      <c r="E455" s="192" t="s">
        <v>637</v>
      </c>
      <c r="F455" s="192" t="s">
        <v>40</v>
      </c>
      <c r="G455" s="192" t="s">
        <v>41</v>
      </c>
      <c r="H455" s="192" t="s">
        <v>79</v>
      </c>
      <c r="I455" s="192" t="s">
        <v>84</v>
      </c>
      <c r="J455" s="121" t="s">
        <v>2110</v>
      </c>
      <c r="K455" s="192" t="s">
        <v>63</v>
      </c>
      <c r="L455" s="192" t="s">
        <v>81</v>
      </c>
      <c r="M455" s="146" t="s">
        <v>5</v>
      </c>
      <c r="N455" s="192" t="s">
        <v>638</v>
      </c>
      <c r="O455" s="192" t="s">
        <v>86</v>
      </c>
      <c r="P455" s="192" t="s">
        <v>87</v>
      </c>
      <c r="Q455" s="196">
        <v>46080.639583333301</v>
      </c>
      <c r="R455" s="145">
        <v>46083</v>
      </c>
      <c r="S455" s="192"/>
    </row>
    <row r="456" spans="1:19" ht="168.6" customHeight="1" x14ac:dyDescent="0.25">
      <c r="A456" s="197" t="str">
        <f t="shared" si="11"/>
        <v>INC20260227455</v>
      </c>
      <c r="B456" s="193">
        <v>46080.978472222203</v>
      </c>
      <c r="C456" s="192" t="s">
        <v>77</v>
      </c>
      <c r="D456" s="194" t="s">
        <v>78</v>
      </c>
      <c r="E456" s="192" t="s">
        <v>58</v>
      </c>
      <c r="F456" s="192" t="s">
        <v>40</v>
      </c>
      <c r="G456" s="192" t="s">
        <v>41</v>
      </c>
      <c r="H456" s="192" t="s">
        <v>79</v>
      </c>
      <c r="I456" s="192" t="s">
        <v>84</v>
      </c>
      <c r="J456" s="121" t="s">
        <v>2111</v>
      </c>
      <c r="K456" s="192" t="s">
        <v>63</v>
      </c>
      <c r="L456" s="192" t="s">
        <v>81</v>
      </c>
      <c r="M456" s="146" t="s">
        <v>5</v>
      </c>
      <c r="N456" s="192" t="s">
        <v>639</v>
      </c>
      <c r="O456" s="192" t="s">
        <v>86</v>
      </c>
      <c r="P456" s="192" t="s">
        <v>87</v>
      </c>
      <c r="Q456" s="196">
        <v>46080.005555555603</v>
      </c>
      <c r="R456" s="145">
        <v>46083</v>
      </c>
      <c r="S456" s="192"/>
    </row>
    <row r="457" spans="1:19" ht="165" customHeight="1" x14ac:dyDescent="0.25">
      <c r="A457" s="197" t="str">
        <f t="shared" si="11"/>
        <v>INC20260228456</v>
      </c>
      <c r="B457" s="193">
        <v>46081.372916666704</v>
      </c>
      <c r="C457" s="192" t="s">
        <v>77</v>
      </c>
      <c r="D457" s="194" t="s">
        <v>78</v>
      </c>
      <c r="E457" s="192" t="s">
        <v>58</v>
      </c>
      <c r="F457" s="192" t="s">
        <v>40</v>
      </c>
      <c r="G457" s="192" t="s">
        <v>60</v>
      </c>
      <c r="H457" s="192" t="s">
        <v>79</v>
      </c>
      <c r="I457" s="192" t="s">
        <v>80</v>
      </c>
      <c r="J457" s="121" t="s">
        <v>2112</v>
      </c>
      <c r="K457" s="192" t="s">
        <v>110</v>
      </c>
      <c r="L457" s="192" t="s">
        <v>81</v>
      </c>
      <c r="M457" s="146" t="s">
        <v>5</v>
      </c>
      <c r="N457" s="192" t="s">
        <v>640</v>
      </c>
      <c r="O457" s="197" t="s">
        <v>83</v>
      </c>
      <c r="P457" s="197" t="s">
        <v>1366</v>
      </c>
      <c r="Q457" s="145">
        <v>46083</v>
      </c>
      <c r="R457" s="145">
        <v>46083</v>
      </c>
      <c r="S457" s="192"/>
    </row>
    <row r="458" spans="1:19" ht="178.8" customHeight="1" x14ac:dyDescent="0.25">
      <c r="A458" s="197" t="str">
        <f t="shared" si="11"/>
        <v>INC20260228457</v>
      </c>
      <c r="B458" s="193">
        <v>46081.645833333299</v>
      </c>
      <c r="C458" s="192" t="s">
        <v>77</v>
      </c>
      <c r="D458" s="194" t="s">
        <v>78</v>
      </c>
      <c r="E458" s="192" t="s">
        <v>58</v>
      </c>
      <c r="F458" s="192" t="s">
        <v>40</v>
      </c>
      <c r="G458" s="192" t="s">
        <v>41</v>
      </c>
      <c r="H458" s="192" t="s">
        <v>79</v>
      </c>
      <c r="I458" s="192" t="s">
        <v>84</v>
      </c>
      <c r="J458" s="121" t="s">
        <v>2113</v>
      </c>
      <c r="K458" s="192" t="s">
        <v>63</v>
      </c>
      <c r="L458" s="192" t="s">
        <v>81</v>
      </c>
      <c r="M458" s="146" t="s">
        <v>5</v>
      </c>
      <c r="N458" s="192" t="s">
        <v>641</v>
      </c>
      <c r="O458" s="192" t="s">
        <v>86</v>
      </c>
      <c r="P458" s="192" t="s">
        <v>87</v>
      </c>
      <c r="Q458" s="196">
        <v>46081.647916666698</v>
      </c>
      <c r="R458" s="145">
        <v>46083</v>
      </c>
      <c r="S458" s="192"/>
    </row>
    <row r="459" spans="1:19" ht="186.6" customHeight="1" x14ac:dyDescent="0.25">
      <c r="A459" s="197" t="str">
        <f t="shared" si="11"/>
        <v>INC20260228458</v>
      </c>
      <c r="B459" s="193">
        <v>46081.627083333296</v>
      </c>
      <c r="C459" s="192" t="s">
        <v>77</v>
      </c>
      <c r="D459" s="194" t="s">
        <v>78</v>
      </c>
      <c r="E459" s="192" t="s">
        <v>58</v>
      </c>
      <c r="F459" s="192" t="s">
        <v>40</v>
      </c>
      <c r="G459" s="192" t="s">
        <v>60</v>
      </c>
      <c r="H459" s="192" t="s">
        <v>79</v>
      </c>
      <c r="I459" s="192" t="s">
        <v>80</v>
      </c>
      <c r="J459" s="121" t="s">
        <v>2114</v>
      </c>
      <c r="K459" s="192" t="s">
        <v>110</v>
      </c>
      <c r="L459" s="192" t="s">
        <v>81</v>
      </c>
      <c r="M459" s="146" t="s">
        <v>5</v>
      </c>
      <c r="N459" s="192" t="s">
        <v>642</v>
      </c>
      <c r="O459" s="197" t="s">
        <v>83</v>
      </c>
      <c r="P459" s="197" t="s">
        <v>1366</v>
      </c>
      <c r="Q459" s="196">
        <v>46081.916666666701</v>
      </c>
      <c r="R459" s="145">
        <v>46083</v>
      </c>
      <c r="S459" s="192"/>
    </row>
    <row r="460" spans="1:19" ht="156.6" customHeight="1" x14ac:dyDescent="0.25">
      <c r="A460" s="197" t="str">
        <f t="shared" si="11"/>
        <v>INC20260228459</v>
      </c>
      <c r="B460" s="193">
        <v>46081.695833333302</v>
      </c>
      <c r="C460" s="192" t="s">
        <v>77</v>
      </c>
      <c r="D460" s="194" t="s">
        <v>78</v>
      </c>
      <c r="E460" s="192" t="s">
        <v>50</v>
      </c>
      <c r="F460" s="192" t="s">
        <v>40</v>
      </c>
      <c r="G460" s="192" t="s">
        <v>51</v>
      </c>
      <c r="H460" s="192" t="s">
        <v>42</v>
      </c>
      <c r="I460" s="192" t="s">
        <v>630</v>
      </c>
      <c r="J460" s="195" t="s">
        <v>2115</v>
      </c>
      <c r="K460" s="192" t="s">
        <v>54</v>
      </c>
      <c r="L460" s="192" t="s">
        <v>55</v>
      </c>
      <c r="M460" s="146" t="s">
        <v>5</v>
      </c>
      <c r="N460" s="192" t="s">
        <v>643</v>
      </c>
      <c r="O460" s="192"/>
      <c r="P460" s="192"/>
      <c r="Q460" s="196">
        <v>46081.735416666699</v>
      </c>
      <c r="R460" s="145">
        <v>46083</v>
      </c>
      <c r="S460" s="192"/>
    </row>
    <row r="461" spans="1:19" ht="157.19999999999999" customHeight="1" x14ac:dyDescent="0.25">
      <c r="A461" s="197" t="str">
        <f t="shared" si="11"/>
        <v>INC20260301460</v>
      </c>
      <c r="B461" s="193">
        <v>46082.2722222222</v>
      </c>
      <c r="C461" s="192" t="s">
        <v>77</v>
      </c>
      <c r="D461" s="194" t="s">
        <v>78</v>
      </c>
      <c r="E461" s="192" t="s">
        <v>397</v>
      </c>
      <c r="F461" s="192" t="s">
        <v>40</v>
      </c>
      <c r="G461" s="192" t="s">
        <v>41</v>
      </c>
      <c r="H461" s="192" t="s">
        <v>79</v>
      </c>
      <c r="I461" s="192" t="s">
        <v>84</v>
      </c>
      <c r="J461" s="121" t="s">
        <v>2116</v>
      </c>
      <c r="K461" s="192" t="s">
        <v>110</v>
      </c>
      <c r="L461" s="192" t="s">
        <v>81</v>
      </c>
      <c r="M461" s="146" t="s">
        <v>5</v>
      </c>
      <c r="N461" s="192" t="s">
        <v>644</v>
      </c>
      <c r="O461" s="192" t="s">
        <v>86</v>
      </c>
      <c r="P461" s="192" t="s">
        <v>87</v>
      </c>
      <c r="Q461" s="145">
        <v>46083</v>
      </c>
      <c r="R461" s="145">
        <v>46083</v>
      </c>
      <c r="S461" s="192"/>
    </row>
    <row r="462" spans="1:19" ht="157.19999999999999" customHeight="1" x14ac:dyDescent="0.25">
      <c r="A462" s="197" t="str">
        <f t="shared" si="11"/>
        <v>INC20260301461</v>
      </c>
      <c r="B462" s="193">
        <v>46082.839583333298</v>
      </c>
      <c r="C462" s="192" t="s">
        <v>77</v>
      </c>
      <c r="D462" s="194" t="s">
        <v>78</v>
      </c>
      <c r="E462" s="192" t="s">
        <v>116</v>
      </c>
      <c r="F462" s="192" t="s">
        <v>40</v>
      </c>
      <c r="G462" s="192" t="s">
        <v>41</v>
      </c>
      <c r="H462" s="192" t="s">
        <v>79</v>
      </c>
      <c r="I462" s="192" t="s">
        <v>84</v>
      </c>
      <c r="J462" s="121" t="s">
        <v>2117</v>
      </c>
      <c r="K462" s="192" t="s">
        <v>110</v>
      </c>
      <c r="L462" s="192" t="s">
        <v>81</v>
      </c>
      <c r="M462" s="146" t="s">
        <v>5</v>
      </c>
      <c r="N462" s="192" t="s">
        <v>645</v>
      </c>
      <c r="O462" s="192" t="s">
        <v>86</v>
      </c>
      <c r="P462" s="192" t="s">
        <v>87</v>
      </c>
      <c r="Q462" s="196">
        <v>46082.851388888899</v>
      </c>
      <c r="R462" s="145">
        <v>46083</v>
      </c>
      <c r="S462" s="192"/>
    </row>
    <row r="463" spans="1:19" ht="160.80000000000001" customHeight="1" x14ac:dyDescent="0.25">
      <c r="A463" s="197" t="str">
        <f t="shared" si="11"/>
        <v>INC20260301462</v>
      </c>
      <c r="B463" s="193">
        <v>46082.909722222197</v>
      </c>
      <c r="C463" s="192" t="s">
        <v>77</v>
      </c>
      <c r="D463" s="194" t="s">
        <v>78</v>
      </c>
      <c r="E463" s="192" t="s">
        <v>116</v>
      </c>
      <c r="F463" s="192" t="s">
        <v>40</v>
      </c>
      <c r="G463" s="192" t="s">
        <v>41</v>
      </c>
      <c r="H463" s="192" t="s">
        <v>79</v>
      </c>
      <c r="I463" s="192" t="s">
        <v>84</v>
      </c>
      <c r="J463" s="121" t="s">
        <v>2118</v>
      </c>
      <c r="K463" s="192" t="s">
        <v>151</v>
      </c>
      <c r="L463" s="192" t="s">
        <v>81</v>
      </c>
      <c r="M463" s="146" t="s">
        <v>5</v>
      </c>
      <c r="N463" s="192" t="s">
        <v>646</v>
      </c>
      <c r="O463" s="192" t="s">
        <v>86</v>
      </c>
      <c r="P463" s="192" t="s">
        <v>87</v>
      </c>
      <c r="Q463" s="145">
        <v>46083</v>
      </c>
      <c r="R463" s="145">
        <v>46083</v>
      </c>
      <c r="S463" s="192"/>
    </row>
    <row r="464" spans="1:19" ht="171.6" customHeight="1" x14ac:dyDescent="0.25">
      <c r="A464" s="197" t="str">
        <f t="shared" si="11"/>
        <v>INC20260302463</v>
      </c>
      <c r="B464" s="199">
        <v>46083.617361111101</v>
      </c>
      <c r="C464" s="192" t="s">
        <v>37</v>
      </c>
      <c r="D464" s="194" t="s">
        <v>57</v>
      </c>
      <c r="E464" s="192" t="s">
        <v>74</v>
      </c>
      <c r="F464" s="192" t="s">
        <v>59</v>
      </c>
      <c r="G464" s="192" t="s">
        <v>60</v>
      </c>
      <c r="H464" s="192" t="s">
        <v>61</v>
      </c>
      <c r="I464" s="192" t="s">
        <v>62</v>
      </c>
      <c r="J464" s="121" t="s">
        <v>2119</v>
      </c>
      <c r="K464" s="192" t="s">
        <v>63</v>
      </c>
      <c r="L464" s="192" t="s">
        <v>64</v>
      </c>
      <c r="M464" s="143" t="s">
        <v>5</v>
      </c>
      <c r="N464" s="192" t="s">
        <v>647</v>
      </c>
      <c r="O464" s="192" t="s">
        <v>66</v>
      </c>
      <c r="P464" s="192" t="s">
        <v>67</v>
      </c>
      <c r="Q464" s="145">
        <v>46084</v>
      </c>
      <c r="R464" s="145">
        <v>46083</v>
      </c>
      <c r="S464" s="192"/>
    </row>
    <row r="465" spans="1:19" ht="169.2" customHeight="1" x14ac:dyDescent="0.25">
      <c r="A465" s="197" t="str">
        <f t="shared" si="11"/>
        <v>INC20260302464</v>
      </c>
      <c r="B465" s="199">
        <v>46083.649305555598</v>
      </c>
      <c r="C465" s="192" t="s">
        <v>37</v>
      </c>
      <c r="D465" s="194" t="s">
        <v>49</v>
      </c>
      <c r="E465" s="192" t="s">
        <v>50</v>
      </c>
      <c r="F465" s="192" t="s">
        <v>40</v>
      </c>
      <c r="G465" s="192" t="s">
        <v>51</v>
      </c>
      <c r="H465" s="192" t="s">
        <v>92</v>
      </c>
      <c r="I465" s="192" t="s">
        <v>93</v>
      </c>
      <c r="J465" s="195" t="s">
        <v>2120</v>
      </c>
      <c r="K465" s="192" t="s">
        <v>54</v>
      </c>
      <c r="L465" s="192" t="s">
        <v>55</v>
      </c>
      <c r="M465" s="146" t="s">
        <v>5</v>
      </c>
      <c r="N465" s="192" t="s">
        <v>635</v>
      </c>
      <c r="O465" s="192" t="s">
        <v>95</v>
      </c>
      <c r="P465" s="192" t="s">
        <v>96</v>
      </c>
      <c r="Q465" s="145">
        <v>46086</v>
      </c>
      <c r="R465" s="145">
        <v>46083</v>
      </c>
      <c r="S465" s="192"/>
    </row>
    <row r="466" spans="1:19" ht="183.6" customHeight="1" x14ac:dyDescent="0.25">
      <c r="A466" s="197" t="str">
        <f t="shared" si="11"/>
        <v>INC20260302465</v>
      </c>
      <c r="B466" s="199">
        <v>46083.694444444402</v>
      </c>
      <c r="C466" s="192" t="s">
        <v>37</v>
      </c>
      <c r="D466" s="194" t="s">
        <v>57</v>
      </c>
      <c r="E466" s="192" t="s">
        <v>74</v>
      </c>
      <c r="F466" s="192" t="s">
        <v>59</v>
      </c>
      <c r="G466" s="192" t="s">
        <v>60</v>
      </c>
      <c r="H466" s="192" t="s">
        <v>61</v>
      </c>
      <c r="I466" s="192" t="s">
        <v>62</v>
      </c>
      <c r="J466" s="121" t="s">
        <v>2119</v>
      </c>
      <c r="K466" s="192" t="s">
        <v>63</v>
      </c>
      <c r="L466" s="192" t="s">
        <v>64</v>
      </c>
      <c r="M466" s="143" t="s">
        <v>5</v>
      </c>
      <c r="N466" s="192" t="s">
        <v>636</v>
      </c>
      <c r="O466" s="192" t="s">
        <v>66</v>
      </c>
      <c r="P466" s="192" t="s">
        <v>67</v>
      </c>
      <c r="Q466" s="145"/>
      <c r="R466" s="145">
        <v>46083</v>
      </c>
      <c r="S466" s="192"/>
    </row>
    <row r="467" spans="1:19" ht="178.8" customHeight="1" x14ac:dyDescent="0.25">
      <c r="A467" s="197" t="str">
        <f t="shared" si="11"/>
        <v>INC20260303466</v>
      </c>
      <c r="B467" s="199">
        <v>46084.375</v>
      </c>
      <c r="C467" s="192" t="s">
        <v>37</v>
      </c>
      <c r="D467" s="194" t="s">
        <v>38</v>
      </c>
      <c r="E467" s="192" t="s">
        <v>39</v>
      </c>
      <c r="F467" s="192" t="s">
        <v>40</v>
      </c>
      <c r="G467" s="192" t="s">
        <v>41</v>
      </c>
      <c r="H467" s="192" t="s">
        <v>42</v>
      </c>
      <c r="I467" s="192" t="s">
        <v>43</v>
      </c>
      <c r="J467" s="195" t="s">
        <v>2121</v>
      </c>
      <c r="K467" s="192" t="s">
        <v>44</v>
      </c>
      <c r="L467" s="192" t="s">
        <v>45</v>
      </c>
      <c r="M467" s="143" t="s">
        <v>5</v>
      </c>
      <c r="N467" s="198" t="s">
        <v>648</v>
      </c>
      <c r="O467" s="192"/>
      <c r="P467" s="144" t="s">
        <v>47</v>
      </c>
      <c r="Q467" s="145">
        <v>46086</v>
      </c>
      <c r="R467" s="145">
        <v>46084</v>
      </c>
      <c r="S467" s="192"/>
    </row>
    <row r="468" spans="1:19" ht="187.2" customHeight="1" x14ac:dyDescent="0.25">
      <c r="A468" s="197" t="str">
        <f t="shared" si="11"/>
        <v>INC20260303467</v>
      </c>
      <c r="B468" s="199">
        <v>46084.377777777801</v>
      </c>
      <c r="C468" s="192" t="s">
        <v>37</v>
      </c>
      <c r="D468" s="194" t="s">
        <v>1694</v>
      </c>
      <c r="E468" s="192" t="s">
        <v>50</v>
      </c>
      <c r="F468" s="192" t="s">
        <v>40</v>
      </c>
      <c r="G468" s="192" t="s">
        <v>51</v>
      </c>
      <c r="H468" s="192" t="s">
        <v>92</v>
      </c>
      <c r="I468" s="192" t="s">
        <v>403</v>
      </c>
      <c r="J468" s="195" t="s">
        <v>2122</v>
      </c>
      <c r="K468" s="192" t="s">
        <v>54</v>
      </c>
      <c r="L468" s="192" t="s">
        <v>55</v>
      </c>
      <c r="M468" s="146" t="s">
        <v>5</v>
      </c>
      <c r="N468" s="192" t="s">
        <v>649</v>
      </c>
      <c r="O468" s="192"/>
      <c r="P468" s="192"/>
      <c r="Q468" s="145">
        <v>46084</v>
      </c>
      <c r="R468" s="145">
        <v>46084</v>
      </c>
      <c r="S468" s="192"/>
    </row>
    <row r="469" spans="1:19" ht="169.2" customHeight="1" x14ac:dyDescent="0.25">
      <c r="A469" s="197" t="str">
        <f t="shared" si="11"/>
        <v>INC20260303468</v>
      </c>
      <c r="B469" s="193">
        <v>46084.243750000001</v>
      </c>
      <c r="C469" s="192" t="s">
        <v>77</v>
      </c>
      <c r="D469" s="194" t="s">
        <v>78</v>
      </c>
      <c r="E469" s="192" t="s">
        <v>58</v>
      </c>
      <c r="F469" s="192" t="s">
        <v>40</v>
      </c>
      <c r="G469" s="192" t="s">
        <v>60</v>
      </c>
      <c r="H469" s="192" t="s">
        <v>79</v>
      </c>
      <c r="I469" s="192" t="s">
        <v>84</v>
      </c>
      <c r="J469" s="121" t="s">
        <v>2123</v>
      </c>
      <c r="K469" s="192" t="s">
        <v>63</v>
      </c>
      <c r="L469" s="192" t="s">
        <v>81</v>
      </c>
      <c r="M469" s="146" t="s">
        <v>5</v>
      </c>
      <c r="N469" s="192" t="s">
        <v>650</v>
      </c>
      <c r="O469" s="192" t="s">
        <v>86</v>
      </c>
      <c r="P469" s="192" t="s">
        <v>87</v>
      </c>
      <c r="Q469" s="196">
        <v>46084.270833333299</v>
      </c>
      <c r="R469" s="145">
        <v>46084</v>
      </c>
      <c r="S469" s="192"/>
    </row>
    <row r="470" spans="1:19" ht="156.6" customHeight="1" x14ac:dyDescent="0.25">
      <c r="A470" s="197" t="str">
        <f t="shared" si="11"/>
        <v>INC20260303469</v>
      </c>
      <c r="B470" s="199">
        <v>46084.551388888904</v>
      </c>
      <c r="C470" s="192" t="s">
        <v>37</v>
      </c>
      <c r="D470" s="194" t="s">
        <v>262</v>
      </c>
      <c r="E470" s="192" t="s">
        <v>69</v>
      </c>
      <c r="F470" s="192" t="s">
        <v>59</v>
      </c>
      <c r="G470" s="192" t="s">
        <v>60</v>
      </c>
      <c r="H470" s="192" t="s">
        <v>61</v>
      </c>
      <c r="I470" s="192" t="s">
        <v>62</v>
      </c>
      <c r="J470" s="121" t="s">
        <v>2124</v>
      </c>
      <c r="K470" s="192" t="s">
        <v>63</v>
      </c>
      <c r="L470" s="192" t="s">
        <v>64</v>
      </c>
      <c r="M470" s="143" t="s">
        <v>5</v>
      </c>
      <c r="N470" s="192" t="s">
        <v>651</v>
      </c>
      <c r="O470" s="192" t="s">
        <v>66</v>
      </c>
      <c r="P470" s="192" t="s">
        <v>67</v>
      </c>
      <c r="Q470" s="145"/>
      <c r="R470" s="145">
        <v>46084</v>
      </c>
      <c r="S470" s="192"/>
    </row>
    <row r="471" spans="1:19" ht="137.4" customHeight="1" x14ac:dyDescent="0.25">
      <c r="A471" s="197" t="str">
        <f t="shared" si="11"/>
        <v>INC20260303470</v>
      </c>
      <c r="B471" s="199">
        <v>46084.595833333296</v>
      </c>
      <c r="C471" s="192" t="s">
        <v>37</v>
      </c>
      <c r="D471" s="194" t="s">
        <v>57</v>
      </c>
      <c r="E471" s="192" t="s">
        <v>74</v>
      </c>
      <c r="F471" s="192" t="s">
        <v>59</v>
      </c>
      <c r="G471" s="192" t="s">
        <v>60</v>
      </c>
      <c r="H471" s="192" t="s">
        <v>61</v>
      </c>
      <c r="I471" s="192" t="s">
        <v>62</v>
      </c>
      <c r="J471" s="121" t="s">
        <v>2125</v>
      </c>
      <c r="K471" s="192" t="s">
        <v>63</v>
      </c>
      <c r="L471" s="192" t="s">
        <v>64</v>
      </c>
      <c r="M471" s="143" t="s">
        <v>5</v>
      </c>
      <c r="N471" s="192" t="s">
        <v>636</v>
      </c>
      <c r="O471" s="192" t="s">
        <v>66</v>
      </c>
      <c r="P471" s="192" t="s">
        <v>67</v>
      </c>
      <c r="Q471" s="145"/>
      <c r="R471" s="145">
        <v>46084</v>
      </c>
      <c r="S471" s="192"/>
    </row>
    <row r="472" spans="1:19" ht="174.6" customHeight="1" x14ac:dyDescent="0.25">
      <c r="A472" s="197" t="str">
        <f t="shared" si="11"/>
        <v>INC20260303471</v>
      </c>
      <c r="B472" s="199">
        <v>46084.616666666698</v>
      </c>
      <c r="C472" s="192" t="s">
        <v>37</v>
      </c>
      <c r="D472" s="194" t="s">
        <v>129</v>
      </c>
      <c r="E472" s="192" t="s">
        <v>50</v>
      </c>
      <c r="F472" s="192" t="s">
        <v>40</v>
      </c>
      <c r="G472" s="192" t="s">
        <v>51</v>
      </c>
      <c r="H472" s="192" t="s">
        <v>92</v>
      </c>
      <c r="I472" s="192" t="s">
        <v>93</v>
      </c>
      <c r="J472" s="195" t="s">
        <v>2126</v>
      </c>
      <c r="K472" s="192" t="s">
        <v>54</v>
      </c>
      <c r="L472" s="192" t="s">
        <v>55</v>
      </c>
      <c r="M472" s="146" t="s">
        <v>5</v>
      </c>
      <c r="N472" s="192" t="s">
        <v>635</v>
      </c>
      <c r="O472" s="192" t="s">
        <v>95</v>
      </c>
      <c r="P472" s="192" t="s">
        <v>96</v>
      </c>
      <c r="Q472" s="145">
        <v>46086</v>
      </c>
      <c r="R472" s="145">
        <v>46084</v>
      </c>
      <c r="S472" s="192"/>
    </row>
    <row r="473" spans="1:19" ht="145.19999999999999" customHeight="1" x14ac:dyDescent="0.25">
      <c r="A473" s="197" t="str">
        <f t="shared" si="11"/>
        <v>INC20260303472</v>
      </c>
      <c r="B473" s="199">
        <v>46084.710416666698</v>
      </c>
      <c r="C473" s="192" t="s">
        <v>37</v>
      </c>
      <c r="D473" s="194" t="s">
        <v>57</v>
      </c>
      <c r="E473" s="192" t="s">
        <v>69</v>
      </c>
      <c r="F473" s="192" t="s">
        <v>40</v>
      </c>
      <c r="G473" s="192" t="s">
        <v>60</v>
      </c>
      <c r="H473" s="192" t="s">
        <v>79</v>
      </c>
      <c r="I473" s="192" t="s">
        <v>84</v>
      </c>
      <c r="J473" s="121" t="s">
        <v>2127</v>
      </c>
      <c r="K473" s="192" t="s">
        <v>63</v>
      </c>
      <c r="L473" s="192" t="s">
        <v>81</v>
      </c>
      <c r="M473" s="146" t="s">
        <v>5</v>
      </c>
      <c r="N473" s="192" t="s">
        <v>652</v>
      </c>
      <c r="O473" s="192" t="s">
        <v>86</v>
      </c>
      <c r="P473" s="192" t="s">
        <v>87</v>
      </c>
      <c r="Q473" s="145">
        <v>46084</v>
      </c>
      <c r="R473" s="145">
        <v>46085</v>
      </c>
      <c r="S473" s="192"/>
    </row>
    <row r="474" spans="1:19" ht="151.19999999999999" customHeight="1" x14ac:dyDescent="0.25">
      <c r="A474" s="197" t="str">
        <f t="shared" si="11"/>
        <v>INC20260304473</v>
      </c>
      <c r="B474" s="199">
        <v>46085.323611111096</v>
      </c>
      <c r="C474" s="192" t="s">
        <v>37</v>
      </c>
      <c r="D474" s="194" t="s">
        <v>38</v>
      </c>
      <c r="E474" s="192" t="s">
        <v>39</v>
      </c>
      <c r="F474" s="192" t="s">
        <v>40</v>
      </c>
      <c r="G474" s="192" t="s">
        <v>41</v>
      </c>
      <c r="H474" s="192" t="s">
        <v>42</v>
      </c>
      <c r="I474" s="192" t="s">
        <v>43</v>
      </c>
      <c r="J474" s="195" t="s">
        <v>2128</v>
      </c>
      <c r="K474" s="192" t="s">
        <v>44</v>
      </c>
      <c r="L474" s="192" t="s">
        <v>45</v>
      </c>
      <c r="M474" s="143" t="s">
        <v>5</v>
      </c>
      <c r="N474" s="198" t="s">
        <v>653</v>
      </c>
      <c r="O474" s="192"/>
      <c r="P474" s="144" t="s">
        <v>47</v>
      </c>
      <c r="Q474" s="145">
        <v>46086</v>
      </c>
      <c r="R474" s="145">
        <v>46085</v>
      </c>
      <c r="S474" s="192"/>
    </row>
    <row r="475" spans="1:19" ht="167.4" customHeight="1" x14ac:dyDescent="0.25">
      <c r="A475" s="197" t="str">
        <f t="shared" si="11"/>
        <v>INC20260303474</v>
      </c>
      <c r="B475" s="193">
        <v>46084.4194444444</v>
      </c>
      <c r="C475" s="192" t="s">
        <v>77</v>
      </c>
      <c r="D475" s="194" t="s">
        <v>78</v>
      </c>
      <c r="E475" s="192" t="s">
        <v>486</v>
      </c>
      <c r="F475" s="192" t="s">
        <v>40</v>
      </c>
      <c r="G475" s="192" t="s">
        <v>41</v>
      </c>
      <c r="H475" s="192" t="s">
        <v>79</v>
      </c>
      <c r="I475" s="192" t="s">
        <v>80</v>
      </c>
      <c r="J475" s="121" t="s">
        <v>2129</v>
      </c>
      <c r="K475" s="192" t="s">
        <v>44</v>
      </c>
      <c r="L475" s="192" t="s">
        <v>81</v>
      </c>
      <c r="M475" s="146" t="s">
        <v>5</v>
      </c>
      <c r="N475" s="192" t="s">
        <v>654</v>
      </c>
      <c r="O475" s="197" t="s">
        <v>83</v>
      </c>
      <c r="P475" s="197" t="s">
        <v>1366</v>
      </c>
      <c r="Q475" s="196">
        <v>46084.4284722222</v>
      </c>
      <c r="R475" s="145">
        <v>46085</v>
      </c>
      <c r="S475" s="192"/>
    </row>
    <row r="476" spans="1:19" ht="180.6" customHeight="1" x14ac:dyDescent="0.25">
      <c r="A476" s="197" t="str">
        <f t="shared" si="11"/>
        <v>INC20260303475</v>
      </c>
      <c r="B476" s="193">
        <v>46084.475694444402</v>
      </c>
      <c r="C476" s="192" t="s">
        <v>77</v>
      </c>
      <c r="D476" s="194" t="s">
        <v>78</v>
      </c>
      <c r="E476" s="192" t="s">
        <v>69</v>
      </c>
      <c r="F476" s="192" t="s">
        <v>40</v>
      </c>
      <c r="G476" s="192" t="s">
        <v>60</v>
      </c>
      <c r="H476" s="192" t="s">
        <v>79</v>
      </c>
      <c r="I476" s="192" t="s">
        <v>84</v>
      </c>
      <c r="J476" s="121" t="s">
        <v>2130</v>
      </c>
      <c r="K476" s="192" t="s">
        <v>151</v>
      </c>
      <c r="L476" s="192" t="s">
        <v>81</v>
      </c>
      <c r="M476" s="146" t="s">
        <v>5</v>
      </c>
      <c r="N476" s="192" t="s">
        <v>655</v>
      </c>
      <c r="O476" s="192" t="s">
        <v>86</v>
      </c>
      <c r="P476" s="192" t="s">
        <v>87</v>
      </c>
      <c r="Q476" s="196">
        <v>46084.479166666701</v>
      </c>
      <c r="R476" s="145">
        <v>46085</v>
      </c>
      <c r="S476" s="192"/>
    </row>
    <row r="477" spans="1:19" ht="189.6" customHeight="1" x14ac:dyDescent="0.25">
      <c r="A477" s="197" t="str">
        <f t="shared" si="11"/>
        <v>INC20260303476</v>
      </c>
      <c r="B477" s="193">
        <v>46084.506944444402</v>
      </c>
      <c r="C477" s="192" t="s">
        <v>77</v>
      </c>
      <c r="D477" s="194" t="s">
        <v>78</v>
      </c>
      <c r="E477" s="192" t="s">
        <v>69</v>
      </c>
      <c r="F477" s="192" t="s">
        <v>40</v>
      </c>
      <c r="G477" s="192" t="s">
        <v>60</v>
      </c>
      <c r="H477" s="192" t="s">
        <v>79</v>
      </c>
      <c r="I477" s="192" t="s">
        <v>84</v>
      </c>
      <c r="J477" s="121" t="s">
        <v>2131</v>
      </c>
      <c r="K477" s="192" t="s">
        <v>151</v>
      </c>
      <c r="L477" s="192" t="s">
        <v>81</v>
      </c>
      <c r="M477" s="146" t="s">
        <v>5</v>
      </c>
      <c r="N477" s="192" t="s">
        <v>656</v>
      </c>
      <c r="O477" s="192" t="s">
        <v>86</v>
      </c>
      <c r="P477" s="192" t="s">
        <v>87</v>
      </c>
      <c r="Q477" s="196">
        <v>46084.511111111096</v>
      </c>
      <c r="R477" s="145">
        <v>46085</v>
      </c>
      <c r="S477" s="192"/>
    </row>
    <row r="478" spans="1:19" ht="172.8" customHeight="1" x14ac:dyDescent="0.25">
      <c r="A478" s="197" t="str">
        <f t="shared" si="11"/>
        <v>INC20260303477</v>
      </c>
      <c r="B478" s="193">
        <v>46084.498611111099</v>
      </c>
      <c r="C478" s="192" t="s">
        <v>77</v>
      </c>
      <c r="D478" s="194" t="s">
        <v>78</v>
      </c>
      <c r="E478" s="192" t="s">
        <v>486</v>
      </c>
      <c r="F478" s="192" t="s">
        <v>40</v>
      </c>
      <c r="G478" s="192" t="s">
        <v>60</v>
      </c>
      <c r="H478" s="192" t="s">
        <v>79</v>
      </c>
      <c r="I478" s="192" t="s">
        <v>80</v>
      </c>
      <c r="J478" s="121" t="s">
        <v>2132</v>
      </c>
      <c r="K478" s="192" t="s">
        <v>110</v>
      </c>
      <c r="L478" s="192" t="s">
        <v>81</v>
      </c>
      <c r="M478" s="146" t="s">
        <v>5</v>
      </c>
      <c r="N478" s="192" t="s">
        <v>657</v>
      </c>
      <c r="O478" s="197" t="s">
        <v>83</v>
      </c>
      <c r="P478" s="197" t="s">
        <v>1366</v>
      </c>
      <c r="Q478" s="145">
        <v>46085</v>
      </c>
      <c r="R478" s="145">
        <v>46085</v>
      </c>
      <c r="S478" s="192"/>
    </row>
    <row r="479" spans="1:19" ht="188.4" customHeight="1" x14ac:dyDescent="0.25">
      <c r="A479" s="197" t="str">
        <f t="shared" si="11"/>
        <v>INC20260303478</v>
      </c>
      <c r="B479" s="193">
        <v>46084.810416666704</v>
      </c>
      <c r="C479" s="192" t="s">
        <v>77</v>
      </c>
      <c r="D479" s="194" t="s">
        <v>78</v>
      </c>
      <c r="E479" s="192" t="s">
        <v>116</v>
      </c>
      <c r="F479" s="192" t="s">
        <v>40</v>
      </c>
      <c r="G479" s="192" t="s">
        <v>60</v>
      </c>
      <c r="H479" s="192" t="s">
        <v>79</v>
      </c>
      <c r="I479" s="192" t="s">
        <v>84</v>
      </c>
      <c r="J479" s="121" t="s">
        <v>2133</v>
      </c>
      <c r="K479" s="192" t="s">
        <v>63</v>
      </c>
      <c r="L479" s="192" t="s">
        <v>81</v>
      </c>
      <c r="M479" s="146" t="s">
        <v>5</v>
      </c>
      <c r="N479" s="192" t="s">
        <v>658</v>
      </c>
      <c r="O479" s="192" t="s">
        <v>86</v>
      </c>
      <c r="P479" s="192" t="s">
        <v>87</v>
      </c>
      <c r="Q479" s="196">
        <v>46084.822222222203</v>
      </c>
      <c r="R479" s="145">
        <v>46085</v>
      </c>
      <c r="S479" s="192"/>
    </row>
    <row r="480" spans="1:19" ht="184.8" customHeight="1" x14ac:dyDescent="0.25">
      <c r="A480" s="197" t="str">
        <f t="shared" si="11"/>
        <v>INC20260303479</v>
      </c>
      <c r="B480" s="193">
        <v>46084.811111111099</v>
      </c>
      <c r="C480" s="192" t="s">
        <v>77</v>
      </c>
      <c r="D480" s="194" t="s">
        <v>78</v>
      </c>
      <c r="E480" s="192" t="s">
        <v>58</v>
      </c>
      <c r="F480" s="192" t="s">
        <v>40</v>
      </c>
      <c r="G480" s="192" t="s">
        <v>60</v>
      </c>
      <c r="H480" s="192" t="s">
        <v>79</v>
      </c>
      <c r="I480" s="192" t="s">
        <v>80</v>
      </c>
      <c r="J480" s="121" t="s">
        <v>2134</v>
      </c>
      <c r="K480" s="192" t="s">
        <v>63</v>
      </c>
      <c r="L480" s="192" t="s">
        <v>81</v>
      </c>
      <c r="M480" s="146" t="s">
        <v>5</v>
      </c>
      <c r="N480" s="192" t="s">
        <v>659</v>
      </c>
      <c r="O480" s="197" t="s">
        <v>83</v>
      </c>
      <c r="P480" s="197" t="s">
        <v>1366</v>
      </c>
      <c r="Q480" s="145">
        <v>46057</v>
      </c>
      <c r="R480" s="145">
        <v>46085</v>
      </c>
      <c r="S480" s="192"/>
    </row>
    <row r="481" spans="1:19" ht="167.4" customHeight="1" x14ac:dyDescent="0.25">
      <c r="A481" s="197" t="str">
        <f t="shared" si="11"/>
        <v>INC20260304480</v>
      </c>
      <c r="B481" s="193">
        <v>46085.15625</v>
      </c>
      <c r="C481" s="192" t="s">
        <v>77</v>
      </c>
      <c r="D481" s="194" t="s">
        <v>78</v>
      </c>
      <c r="E481" s="192" t="s">
        <v>116</v>
      </c>
      <c r="F481" s="192" t="s">
        <v>40</v>
      </c>
      <c r="G481" s="192" t="s">
        <v>60</v>
      </c>
      <c r="H481" s="192" t="s">
        <v>79</v>
      </c>
      <c r="I481" s="192" t="s">
        <v>84</v>
      </c>
      <c r="J481" s="121" t="s">
        <v>2135</v>
      </c>
      <c r="K481" s="192" t="s">
        <v>63</v>
      </c>
      <c r="L481" s="192" t="s">
        <v>81</v>
      </c>
      <c r="M481" s="146" t="s">
        <v>5</v>
      </c>
      <c r="N481" s="192" t="s">
        <v>660</v>
      </c>
      <c r="O481" s="192" t="s">
        <v>86</v>
      </c>
      <c r="P481" s="192" t="s">
        <v>87</v>
      </c>
      <c r="Q481" s="196">
        <v>46085.1875</v>
      </c>
      <c r="R481" s="145">
        <v>46085</v>
      </c>
      <c r="S481" s="192"/>
    </row>
    <row r="482" spans="1:19" ht="181.2" customHeight="1" x14ac:dyDescent="0.25">
      <c r="A482" s="197" t="str">
        <f t="shared" si="11"/>
        <v>INC20260304481</v>
      </c>
      <c r="B482" s="193">
        <v>46085.289583333302</v>
      </c>
      <c r="C482" s="192" t="s">
        <v>77</v>
      </c>
      <c r="D482" s="194" t="s">
        <v>78</v>
      </c>
      <c r="E482" s="192" t="s">
        <v>69</v>
      </c>
      <c r="F482" s="192" t="s">
        <v>40</v>
      </c>
      <c r="G482" s="192" t="s">
        <v>60</v>
      </c>
      <c r="H482" s="192" t="s">
        <v>79</v>
      </c>
      <c r="I482" s="192" t="s">
        <v>84</v>
      </c>
      <c r="J482" s="121" t="s">
        <v>2136</v>
      </c>
      <c r="K482" s="192" t="s">
        <v>63</v>
      </c>
      <c r="L482" s="192" t="s">
        <v>81</v>
      </c>
      <c r="M482" s="146" t="s">
        <v>5</v>
      </c>
      <c r="N482" s="192" t="s">
        <v>661</v>
      </c>
      <c r="O482" s="192" t="s">
        <v>86</v>
      </c>
      <c r="P482" s="192" t="s">
        <v>87</v>
      </c>
      <c r="Q482" s="196">
        <v>46085.320138888899</v>
      </c>
      <c r="R482" s="145">
        <v>46085</v>
      </c>
      <c r="S482" s="192"/>
    </row>
    <row r="483" spans="1:19" ht="162.6" customHeight="1" x14ac:dyDescent="0.25">
      <c r="A483" s="197" t="str">
        <f t="shared" ref="A483:A491" si="12">"INC"&amp;TEXT(B483,"yyyymmdd")&amp;TEXT(ROW(A483)-1,"000")</f>
        <v>INC20260304482</v>
      </c>
      <c r="B483" s="199">
        <v>46085.514583333301</v>
      </c>
      <c r="C483" s="192" t="s">
        <v>37</v>
      </c>
      <c r="D483" s="194" t="s">
        <v>57</v>
      </c>
      <c r="E483" s="192" t="s">
        <v>69</v>
      </c>
      <c r="F483" s="192" t="s">
        <v>40</v>
      </c>
      <c r="G483" s="192" t="s">
        <v>60</v>
      </c>
      <c r="H483" s="192" t="s">
        <v>79</v>
      </c>
      <c r="I483" s="192" t="s">
        <v>84</v>
      </c>
      <c r="J483" s="121" t="s">
        <v>2137</v>
      </c>
      <c r="K483" s="192" t="s">
        <v>63</v>
      </c>
      <c r="L483" s="192" t="s">
        <v>81</v>
      </c>
      <c r="M483" s="146" t="s">
        <v>5</v>
      </c>
      <c r="N483" s="192" t="s">
        <v>652</v>
      </c>
      <c r="O483" s="192" t="s">
        <v>86</v>
      </c>
      <c r="P483" s="192" t="s">
        <v>87</v>
      </c>
      <c r="Q483" s="145"/>
      <c r="R483" s="145">
        <v>46087</v>
      </c>
      <c r="S483" s="192"/>
    </row>
    <row r="484" spans="1:19" ht="162.6" customHeight="1" x14ac:dyDescent="0.25">
      <c r="A484" s="197" t="str">
        <f t="shared" si="12"/>
        <v>INC20260304483</v>
      </c>
      <c r="B484" s="199">
        <v>46085.625</v>
      </c>
      <c r="C484" s="192" t="s">
        <v>37</v>
      </c>
      <c r="D484" s="194" t="s">
        <v>49</v>
      </c>
      <c r="E484" s="192" t="s">
        <v>50</v>
      </c>
      <c r="F484" s="192" t="s">
        <v>40</v>
      </c>
      <c r="G484" s="192" t="s">
        <v>51</v>
      </c>
      <c r="H484" s="192" t="s">
        <v>92</v>
      </c>
      <c r="I484" s="192" t="s">
        <v>93</v>
      </c>
      <c r="J484" s="195" t="s">
        <v>2138</v>
      </c>
      <c r="K484" s="192" t="s">
        <v>54</v>
      </c>
      <c r="L484" s="192" t="s">
        <v>55</v>
      </c>
      <c r="M484" s="146" t="s">
        <v>5</v>
      </c>
      <c r="N484" s="192" t="s">
        <v>662</v>
      </c>
      <c r="O484" s="192" t="s">
        <v>95</v>
      </c>
      <c r="P484" s="192" t="s">
        <v>96</v>
      </c>
      <c r="Q484" s="145"/>
      <c r="R484" s="145">
        <v>46087</v>
      </c>
      <c r="S484" s="192"/>
    </row>
    <row r="485" spans="1:19" ht="194.4" customHeight="1" x14ac:dyDescent="0.25">
      <c r="A485" s="197" t="str">
        <f t="shared" si="12"/>
        <v>INC20260305484</v>
      </c>
      <c r="B485" s="199">
        <v>46086.370833333298</v>
      </c>
      <c r="C485" s="192" t="s">
        <v>37</v>
      </c>
      <c r="D485" s="194" t="s">
        <v>38</v>
      </c>
      <c r="E485" s="192" t="s">
        <v>39</v>
      </c>
      <c r="F485" s="192" t="s">
        <v>40</v>
      </c>
      <c r="G485" s="192" t="s">
        <v>41</v>
      </c>
      <c r="H485" s="192" t="s">
        <v>42</v>
      </c>
      <c r="I485" s="192" t="s">
        <v>43</v>
      </c>
      <c r="J485" s="195" t="s">
        <v>2139</v>
      </c>
      <c r="K485" s="192" t="s">
        <v>44</v>
      </c>
      <c r="L485" s="192" t="s">
        <v>45</v>
      </c>
      <c r="M485" s="143" t="s">
        <v>5</v>
      </c>
      <c r="N485" s="198" t="s">
        <v>663</v>
      </c>
      <c r="O485" s="192"/>
      <c r="P485" s="144" t="s">
        <v>47</v>
      </c>
      <c r="Q485" s="145">
        <v>46087</v>
      </c>
      <c r="R485" s="145">
        <v>46087</v>
      </c>
      <c r="S485" s="192"/>
    </row>
    <row r="486" spans="1:19" ht="176.4" customHeight="1" x14ac:dyDescent="0.25">
      <c r="A486" s="197" t="str">
        <f t="shared" si="12"/>
        <v>INC20260304485</v>
      </c>
      <c r="B486" s="193">
        <v>46085.444444444402</v>
      </c>
      <c r="C486" s="192" t="s">
        <v>77</v>
      </c>
      <c r="D486" s="194" t="s">
        <v>78</v>
      </c>
      <c r="E486" s="192" t="s">
        <v>116</v>
      </c>
      <c r="F486" s="192" t="s">
        <v>40</v>
      </c>
      <c r="G486" s="192" t="s">
        <v>60</v>
      </c>
      <c r="H486" s="192" t="s">
        <v>79</v>
      </c>
      <c r="I486" s="192" t="s">
        <v>84</v>
      </c>
      <c r="J486" s="121" t="s">
        <v>2140</v>
      </c>
      <c r="K486" s="192" t="s">
        <v>63</v>
      </c>
      <c r="L486" s="192" t="s">
        <v>81</v>
      </c>
      <c r="M486" s="146" t="s">
        <v>5</v>
      </c>
      <c r="N486" s="192" t="s">
        <v>664</v>
      </c>
      <c r="O486" s="192" t="s">
        <v>86</v>
      </c>
      <c r="P486" s="192" t="s">
        <v>87</v>
      </c>
      <c r="Q486" s="145">
        <v>46086</v>
      </c>
      <c r="R486" s="145">
        <v>46087</v>
      </c>
      <c r="S486" s="192"/>
    </row>
    <row r="487" spans="1:19" ht="171" customHeight="1" x14ac:dyDescent="0.25">
      <c r="A487" s="197" t="str">
        <f t="shared" si="12"/>
        <v>INC20260304486</v>
      </c>
      <c r="B487" s="193">
        <v>46085.495833333298</v>
      </c>
      <c r="C487" s="192" t="s">
        <v>77</v>
      </c>
      <c r="D487" s="194" t="s">
        <v>78</v>
      </c>
      <c r="E487" s="192" t="s">
        <v>116</v>
      </c>
      <c r="F487" s="192" t="s">
        <v>40</v>
      </c>
      <c r="G487" s="192" t="s">
        <v>60</v>
      </c>
      <c r="H487" s="192" t="s">
        <v>79</v>
      </c>
      <c r="I487" s="192" t="s">
        <v>84</v>
      </c>
      <c r="J487" s="121" t="s">
        <v>2141</v>
      </c>
      <c r="K487" s="192" t="s">
        <v>151</v>
      </c>
      <c r="L487" s="192" t="s">
        <v>81</v>
      </c>
      <c r="M487" s="146" t="s">
        <v>5</v>
      </c>
      <c r="N487" s="192" t="s">
        <v>665</v>
      </c>
      <c r="O487" s="192" t="s">
        <v>86</v>
      </c>
      <c r="P487" s="192" t="s">
        <v>87</v>
      </c>
      <c r="Q487" s="145">
        <v>414981</v>
      </c>
      <c r="R487" s="145">
        <v>46087</v>
      </c>
      <c r="S487" s="192"/>
    </row>
    <row r="488" spans="1:19" ht="171" customHeight="1" x14ac:dyDescent="0.25">
      <c r="A488" s="197" t="str">
        <f t="shared" si="12"/>
        <v>INC20260305487</v>
      </c>
      <c r="B488" s="199">
        <v>46086.633333333302</v>
      </c>
      <c r="C488" s="192" t="s">
        <v>37</v>
      </c>
      <c r="D488" s="194" t="s">
        <v>57</v>
      </c>
      <c r="E488" s="192" t="s">
        <v>69</v>
      </c>
      <c r="F488" s="192" t="s">
        <v>59</v>
      </c>
      <c r="G488" s="192" t="s">
        <v>60</v>
      </c>
      <c r="H488" s="192" t="s">
        <v>61</v>
      </c>
      <c r="I488" s="192" t="s">
        <v>62</v>
      </c>
      <c r="J488" s="121" t="s">
        <v>2142</v>
      </c>
      <c r="K488" s="192" t="s">
        <v>63</v>
      </c>
      <c r="L488" s="192" t="s">
        <v>81</v>
      </c>
      <c r="M488" s="146" t="s">
        <v>5</v>
      </c>
      <c r="N488" s="192" t="s">
        <v>666</v>
      </c>
      <c r="O488" s="192" t="s">
        <v>66</v>
      </c>
      <c r="P488" s="192" t="s">
        <v>67</v>
      </c>
      <c r="Q488" s="145"/>
      <c r="R488" s="145">
        <v>46087</v>
      </c>
      <c r="S488" s="192"/>
    </row>
    <row r="489" spans="1:19" ht="159.6" customHeight="1" x14ac:dyDescent="0.25">
      <c r="A489" s="197" t="str">
        <f t="shared" si="12"/>
        <v>INC20260305488</v>
      </c>
      <c r="B489" s="199">
        <v>46086.646527777797</v>
      </c>
      <c r="C489" s="192" t="s">
        <v>37</v>
      </c>
      <c r="D489" s="194" t="s">
        <v>49</v>
      </c>
      <c r="E489" s="192" t="s">
        <v>50</v>
      </c>
      <c r="F489" s="192" t="s">
        <v>40</v>
      </c>
      <c r="G489" s="192" t="s">
        <v>51</v>
      </c>
      <c r="H489" s="192" t="s">
        <v>92</v>
      </c>
      <c r="I489" s="192" t="s">
        <v>93</v>
      </c>
      <c r="J489" s="195" t="s">
        <v>2143</v>
      </c>
      <c r="K489" s="192" t="s">
        <v>54</v>
      </c>
      <c r="L489" s="192" t="s">
        <v>55</v>
      </c>
      <c r="M489" s="146" t="s">
        <v>5</v>
      </c>
      <c r="N489" s="192" t="s">
        <v>667</v>
      </c>
      <c r="O489" s="192" t="s">
        <v>95</v>
      </c>
      <c r="P489" s="192" t="s">
        <v>96</v>
      </c>
      <c r="Q489" s="145">
        <v>46091</v>
      </c>
      <c r="R489" s="145">
        <v>46087</v>
      </c>
      <c r="S489" s="192"/>
    </row>
    <row r="490" spans="1:19" ht="171.6" customHeight="1" x14ac:dyDescent="0.25">
      <c r="A490" s="197" t="str">
        <f t="shared" si="12"/>
        <v>INC20260302489</v>
      </c>
      <c r="B490" s="199">
        <v>46083.632638888899</v>
      </c>
      <c r="C490" s="192" t="s">
        <v>37</v>
      </c>
      <c r="D490" s="194" t="s">
        <v>49</v>
      </c>
      <c r="E490" s="192" t="s">
        <v>50</v>
      </c>
      <c r="F490" s="192" t="s">
        <v>40</v>
      </c>
      <c r="G490" s="192" t="s">
        <v>51</v>
      </c>
      <c r="H490" s="192" t="s">
        <v>92</v>
      </c>
      <c r="I490" s="192" t="s">
        <v>93</v>
      </c>
      <c r="J490" s="195" t="s">
        <v>2144</v>
      </c>
      <c r="K490" s="192" t="s">
        <v>54</v>
      </c>
      <c r="L490" s="192" t="s">
        <v>55</v>
      </c>
      <c r="M490" s="146" t="s">
        <v>5</v>
      </c>
      <c r="N490" s="192" t="s">
        <v>668</v>
      </c>
      <c r="O490" s="192" t="s">
        <v>95</v>
      </c>
      <c r="P490" s="192" t="s">
        <v>96</v>
      </c>
      <c r="Q490" s="145">
        <v>46086</v>
      </c>
      <c r="R490" s="145">
        <v>46087</v>
      </c>
      <c r="S490" s="192"/>
    </row>
    <row r="491" spans="1:19" ht="203.4" customHeight="1" x14ac:dyDescent="0.25">
      <c r="A491" s="197" t="str">
        <f t="shared" si="12"/>
        <v>INC20260306490</v>
      </c>
      <c r="B491" s="199">
        <v>46087.425694444399</v>
      </c>
      <c r="C491" s="192" t="s">
        <v>37</v>
      </c>
      <c r="D491" s="194" t="s">
        <v>38</v>
      </c>
      <c r="E491" s="192" t="s">
        <v>39</v>
      </c>
      <c r="F491" s="192" t="s">
        <v>40</v>
      </c>
      <c r="G491" s="192" t="s">
        <v>41</v>
      </c>
      <c r="H491" s="192" t="s">
        <v>42</v>
      </c>
      <c r="I491" s="192" t="s">
        <v>43</v>
      </c>
      <c r="J491" s="195" t="s">
        <v>2145</v>
      </c>
      <c r="K491" s="192" t="s">
        <v>44</v>
      </c>
      <c r="L491" s="192" t="s">
        <v>45</v>
      </c>
      <c r="M491" s="143" t="s">
        <v>5</v>
      </c>
      <c r="N491" s="198" t="s">
        <v>669</v>
      </c>
      <c r="O491" s="192"/>
      <c r="P491" s="144" t="s">
        <v>47</v>
      </c>
      <c r="Q491" s="145"/>
      <c r="R491" s="145">
        <v>46087</v>
      </c>
      <c r="S491" s="192"/>
    </row>
    <row r="492" spans="1:19" ht="185.4" customHeight="1" x14ac:dyDescent="0.25">
      <c r="A492" s="197" t="str">
        <f t="shared" ref="A492:A523" si="13">"INC"&amp;TEXT(B492,"yyyymmdd")&amp;TEXT(ROW(A492)-1,"000")</f>
        <v>INC20260304491</v>
      </c>
      <c r="B492" s="193">
        <v>46085.964583333298</v>
      </c>
      <c r="C492" s="192" t="s">
        <v>77</v>
      </c>
      <c r="D492" s="194" t="s">
        <v>78</v>
      </c>
      <c r="E492" s="192" t="s">
        <v>69</v>
      </c>
      <c r="F492" s="192" t="s">
        <v>40</v>
      </c>
      <c r="G492" s="192" t="s">
        <v>60</v>
      </c>
      <c r="H492" s="192" t="s">
        <v>79</v>
      </c>
      <c r="I492" s="192" t="s">
        <v>84</v>
      </c>
      <c r="J492" s="121" t="s">
        <v>2146</v>
      </c>
      <c r="K492" s="192" t="s">
        <v>107</v>
      </c>
      <c r="L492" s="192" t="s">
        <v>81</v>
      </c>
      <c r="M492" s="146" t="s">
        <v>5</v>
      </c>
      <c r="N492" s="192" t="s">
        <v>670</v>
      </c>
      <c r="O492" s="192" t="s">
        <v>86</v>
      </c>
      <c r="P492" s="192" t="s">
        <v>87</v>
      </c>
      <c r="Q492" s="196">
        <v>46085.970833333296</v>
      </c>
      <c r="R492" s="145">
        <v>46087</v>
      </c>
      <c r="S492" s="192"/>
    </row>
    <row r="493" spans="1:19" ht="187.2" customHeight="1" x14ac:dyDescent="0.25">
      <c r="A493" s="197" t="str">
        <f t="shared" si="13"/>
        <v>INC20260305492</v>
      </c>
      <c r="B493" s="193">
        <v>46086.147916666698</v>
      </c>
      <c r="C493" s="192" t="s">
        <v>77</v>
      </c>
      <c r="D493" s="194" t="s">
        <v>78</v>
      </c>
      <c r="E493" s="192" t="s">
        <v>69</v>
      </c>
      <c r="F493" s="192" t="s">
        <v>40</v>
      </c>
      <c r="G493" s="192" t="s">
        <v>60</v>
      </c>
      <c r="H493" s="192" t="s">
        <v>79</v>
      </c>
      <c r="I493" s="192" t="s">
        <v>84</v>
      </c>
      <c r="J493" s="121" t="s">
        <v>2147</v>
      </c>
      <c r="K493" s="192" t="s">
        <v>107</v>
      </c>
      <c r="L493" s="192" t="s">
        <v>81</v>
      </c>
      <c r="M493" s="146" t="s">
        <v>5</v>
      </c>
      <c r="N493" s="192" t="s">
        <v>671</v>
      </c>
      <c r="O493" s="192" t="s">
        <v>86</v>
      </c>
      <c r="P493" s="192" t="s">
        <v>87</v>
      </c>
      <c r="Q493" s="196">
        <v>46085.149305555598</v>
      </c>
      <c r="R493" s="145">
        <v>46087</v>
      </c>
      <c r="S493" s="192"/>
    </row>
    <row r="494" spans="1:19" ht="177.6" customHeight="1" x14ac:dyDescent="0.25">
      <c r="A494" s="197" t="str">
        <f t="shared" si="13"/>
        <v>INC20260305493</v>
      </c>
      <c r="B494" s="193">
        <v>46086.1652777778</v>
      </c>
      <c r="C494" s="192" t="s">
        <v>77</v>
      </c>
      <c r="D494" s="194" t="s">
        <v>78</v>
      </c>
      <c r="E494" s="192" t="s">
        <v>69</v>
      </c>
      <c r="F494" s="192" t="s">
        <v>40</v>
      </c>
      <c r="G494" s="192" t="s">
        <v>60</v>
      </c>
      <c r="H494" s="192" t="s">
        <v>79</v>
      </c>
      <c r="I494" s="192" t="s">
        <v>84</v>
      </c>
      <c r="J494" s="121" t="s">
        <v>2148</v>
      </c>
      <c r="K494" s="192" t="s">
        <v>151</v>
      </c>
      <c r="L494" s="192" t="s">
        <v>81</v>
      </c>
      <c r="M494" s="146" t="s">
        <v>5</v>
      </c>
      <c r="N494" s="192" t="s">
        <v>672</v>
      </c>
      <c r="O494" s="192" t="s">
        <v>86</v>
      </c>
      <c r="P494" s="192" t="s">
        <v>87</v>
      </c>
      <c r="Q494" s="196">
        <v>46086.166666666701</v>
      </c>
      <c r="R494" s="145">
        <v>46087</v>
      </c>
      <c r="S494" s="192"/>
    </row>
    <row r="495" spans="1:19" ht="166.8" customHeight="1" x14ac:dyDescent="0.25">
      <c r="A495" s="197" t="str">
        <f t="shared" si="13"/>
        <v>INC20260305494</v>
      </c>
      <c r="B495" s="193">
        <v>46086.244444444397</v>
      </c>
      <c r="C495" s="192" t="s">
        <v>77</v>
      </c>
      <c r="D495" s="194" t="s">
        <v>78</v>
      </c>
      <c r="E495" s="192" t="s">
        <v>69</v>
      </c>
      <c r="F495" s="192" t="s">
        <v>40</v>
      </c>
      <c r="G495" s="192" t="s">
        <v>60</v>
      </c>
      <c r="H495" s="192" t="s">
        <v>79</v>
      </c>
      <c r="I495" s="192" t="s">
        <v>84</v>
      </c>
      <c r="J495" s="121" t="s">
        <v>2149</v>
      </c>
      <c r="K495" s="192" t="s">
        <v>107</v>
      </c>
      <c r="L495" s="192" t="s">
        <v>81</v>
      </c>
      <c r="M495" s="146" t="s">
        <v>5</v>
      </c>
      <c r="N495" s="192" t="s">
        <v>673</v>
      </c>
      <c r="O495" s="192" t="s">
        <v>86</v>
      </c>
      <c r="P495" s="192" t="s">
        <v>87</v>
      </c>
      <c r="Q495" s="196">
        <v>46086.247222222199</v>
      </c>
      <c r="R495" s="145">
        <v>46087</v>
      </c>
      <c r="S495" s="192"/>
    </row>
    <row r="496" spans="1:19" ht="176.4" customHeight="1" x14ac:dyDescent="0.25">
      <c r="A496" s="197" t="str">
        <f t="shared" si="13"/>
        <v>INC20260305495</v>
      </c>
      <c r="B496" s="193">
        <v>46086.857638888898</v>
      </c>
      <c r="C496" s="192" t="s">
        <v>77</v>
      </c>
      <c r="D496" s="194" t="s">
        <v>78</v>
      </c>
      <c r="E496" s="192" t="s">
        <v>116</v>
      </c>
      <c r="F496" s="192" t="s">
        <v>40</v>
      </c>
      <c r="G496" s="192" t="s">
        <v>60</v>
      </c>
      <c r="H496" s="192" t="s">
        <v>79</v>
      </c>
      <c r="I496" s="192" t="s">
        <v>84</v>
      </c>
      <c r="J496" s="121" t="s">
        <v>2150</v>
      </c>
      <c r="K496" s="192" t="s">
        <v>151</v>
      </c>
      <c r="L496" s="192" t="s">
        <v>81</v>
      </c>
      <c r="M496" s="146" t="s">
        <v>5</v>
      </c>
      <c r="N496" s="192" t="s">
        <v>674</v>
      </c>
      <c r="O496" s="192" t="s">
        <v>86</v>
      </c>
      <c r="P496" s="192" t="s">
        <v>87</v>
      </c>
      <c r="Q496" s="196">
        <v>46086.871527777803</v>
      </c>
      <c r="R496" s="145">
        <v>46087</v>
      </c>
      <c r="S496" s="192"/>
    </row>
    <row r="497" spans="1:19" ht="184.8" customHeight="1" x14ac:dyDescent="0.25">
      <c r="A497" s="197" t="str">
        <f t="shared" si="13"/>
        <v>INC20260306496</v>
      </c>
      <c r="B497" s="193">
        <v>46087.426388888904</v>
      </c>
      <c r="C497" s="192" t="s">
        <v>77</v>
      </c>
      <c r="D497" s="194" t="s">
        <v>78</v>
      </c>
      <c r="E497" s="192" t="s">
        <v>116</v>
      </c>
      <c r="F497" s="192" t="s">
        <v>40</v>
      </c>
      <c r="G497" s="192" t="s">
        <v>60</v>
      </c>
      <c r="H497" s="192" t="s">
        <v>79</v>
      </c>
      <c r="I497" s="192" t="s">
        <v>84</v>
      </c>
      <c r="J497" s="121" t="s">
        <v>2151</v>
      </c>
      <c r="K497" s="192" t="s">
        <v>151</v>
      </c>
      <c r="L497" s="192" t="s">
        <v>81</v>
      </c>
      <c r="M497" s="146" t="s">
        <v>5</v>
      </c>
      <c r="N497" s="192" t="s">
        <v>675</v>
      </c>
      <c r="O497" s="192" t="s">
        <v>86</v>
      </c>
      <c r="P497" s="192" t="s">
        <v>87</v>
      </c>
      <c r="Q497" s="196">
        <v>46086.432638888902</v>
      </c>
      <c r="R497" s="145">
        <v>46087</v>
      </c>
      <c r="S497" s="192"/>
    </row>
    <row r="498" spans="1:19" ht="199.2" customHeight="1" x14ac:dyDescent="0.25">
      <c r="A498" s="197" t="str">
        <f t="shared" si="13"/>
        <v>INC20260305497</v>
      </c>
      <c r="B498" s="199">
        <v>46086.627083333296</v>
      </c>
      <c r="C498" s="192" t="s">
        <v>37</v>
      </c>
      <c r="D498" s="194" t="s">
        <v>49</v>
      </c>
      <c r="E498" s="192" t="s">
        <v>50</v>
      </c>
      <c r="F498" s="192" t="s">
        <v>40</v>
      </c>
      <c r="G498" s="192" t="s">
        <v>51</v>
      </c>
      <c r="H498" s="192" t="s">
        <v>92</v>
      </c>
      <c r="I498" s="192" t="s">
        <v>93</v>
      </c>
      <c r="J498" s="195" t="s">
        <v>2152</v>
      </c>
      <c r="K498" s="192" t="s">
        <v>54</v>
      </c>
      <c r="L498" s="192" t="s">
        <v>55</v>
      </c>
      <c r="M498" s="146" t="s">
        <v>5</v>
      </c>
      <c r="N498" s="192" t="s">
        <v>667</v>
      </c>
      <c r="O498" s="192" t="s">
        <v>95</v>
      </c>
      <c r="P498" s="192" t="s">
        <v>96</v>
      </c>
      <c r="Q498" s="145">
        <v>46091</v>
      </c>
      <c r="R498" s="145">
        <v>46088</v>
      </c>
      <c r="S498" s="192"/>
    </row>
    <row r="499" spans="1:19" ht="170.4" customHeight="1" x14ac:dyDescent="0.25">
      <c r="A499" s="197" t="str">
        <f t="shared" si="13"/>
        <v>INC20260306498</v>
      </c>
      <c r="B499" s="199">
        <v>46087.376388888901</v>
      </c>
      <c r="C499" s="192" t="s">
        <v>37</v>
      </c>
      <c r="D499" s="194" t="s">
        <v>676</v>
      </c>
      <c r="E499" s="192" t="s">
        <v>50</v>
      </c>
      <c r="F499" s="192" t="s">
        <v>40</v>
      </c>
      <c r="G499" s="192" t="s">
        <v>51</v>
      </c>
      <c r="H499" s="192" t="s">
        <v>92</v>
      </c>
      <c r="I499" s="192" t="s">
        <v>403</v>
      </c>
      <c r="J499" s="195" t="s">
        <v>2153</v>
      </c>
      <c r="K499" s="192" t="s">
        <v>54</v>
      </c>
      <c r="L499" s="192" t="s">
        <v>55</v>
      </c>
      <c r="M499" s="146" t="s">
        <v>5</v>
      </c>
      <c r="N499" s="192" t="s">
        <v>677</v>
      </c>
      <c r="O499" s="192"/>
      <c r="P499" s="192"/>
      <c r="Q499" s="145">
        <v>46087</v>
      </c>
      <c r="R499" s="145">
        <v>46088</v>
      </c>
      <c r="S499" s="192"/>
    </row>
    <row r="500" spans="1:19" ht="178.8" customHeight="1" x14ac:dyDescent="0.25">
      <c r="A500" s="197" t="str">
        <f t="shared" si="13"/>
        <v>INC20260306499</v>
      </c>
      <c r="B500" s="199">
        <v>46087.5090277778</v>
      </c>
      <c r="C500" s="192" t="s">
        <v>37</v>
      </c>
      <c r="D500" s="194" t="s">
        <v>57</v>
      </c>
      <c r="E500" s="192" t="s">
        <v>397</v>
      </c>
      <c r="F500" s="192" t="s">
        <v>59</v>
      </c>
      <c r="G500" s="192" t="s">
        <v>60</v>
      </c>
      <c r="H500" s="192" t="s">
        <v>61</v>
      </c>
      <c r="I500" s="192" t="s">
        <v>62</v>
      </c>
      <c r="J500" s="121" t="s">
        <v>2154</v>
      </c>
      <c r="K500" s="192" t="s">
        <v>63</v>
      </c>
      <c r="L500" s="192" t="s">
        <v>81</v>
      </c>
      <c r="M500" s="146" t="s">
        <v>5</v>
      </c>
      <c r="N500" s="192" t="s">
        <v>678</v>
      </c>
      <c r="O500" s="192" t="s">
        <v>66</v>
      </c>
      <c r="P500" s="192" t="s">
        <v>67</v>
      </c>
      <c r="Q500" s="145"/>
      <c r="R500" s="145">
        <v>46088</v>
      </c>
      <c r="S500" s="192"/>
    </row>
    <row r="501" spans="1:19" ht="157.19999999999999" customHeight="1" x14ac:dyDescent="0.25">
      <c r="A501" s="197" t="str">
        <f t="shared" si="13"/>
        <v>INC20260306500</v>
      </c>
      <c r="B501" s="199">
        <v>46087.524305555598</v>
      </c>
      <c r="C501" s="192" t="s">
        <v>37</v>
      </c>
      <c r="D501" s="194" t="s">
        <v>469</v>
      </c>
      <c r="E501" s="192" t="s">
        <v>470</v>
      </c>
      <c r="F501" s="192" t="s">
        <v>40</v>
      </c>
      <c r="G501" s="192" t="s">
        <v>99</v>
      </c>
      <c r="H501" s="192" t="s">
        <v>12</v>
      </c>
      <c r="I501" s="192" t="s">
        <v>471</v>
      </c>
      <c r="J501" s="195" t="s">
        <v>2155</v>
      </c>
      <c r="K501" s="192" t="s">
        <v>472</v>
      </c>
      <c r="L501" s="197" t="s">
        <v>473</v>
      </c>
      <c r="M501" s="146" t="s">
        <v>5</v>
      </c>
      <c r="N501" s="192" t="s">
        <v>679</v>
      </c>
      <c r="O501" s="192"/>
      <c r="P501" s="192"/>
      <c r="Q501" s="145">
        <v>46087</v>
      </c>
      <c r="R501" s="145">
        <v>46088</v>
      </c>
      <c r="S501" s="192"/>
    </row>
    <row r="502" spans="1:19" ht="172.8" customHeight="1" x14ac:dyDescent="0.25">
      <c r="A502" s="197" t="str">
        <f t="shared" si="13"/>
        <v>INC20260306501</v>
      </c>
      <c r="B502" s="199">
        <v>46087.637499999997</v>
      </c>
      <c r="C502" s="192" t="s">
        <v>37</v>
      </c>
      <c r="D502" s="194" t="s">
        <v>57</v>
      </c>
      <c r="E502" s="192" t="s">
        <v>69</v>
      </c>
      <c r="F502" s="192" t="s">
        <v>59</v>
      </c>
      <c r="G502" s="192" t="s">
        <v>60</v>
      </c>
      <c r="H502" s="192" t="s">
        <v>61</v>
      </c>
      <c r="I502" s="192" t="s">
        <v>62</v>
      </c>
      <c r="J502" s="121" t="s">
        <v>2156</v>
      </c>
      <c r="K502" s="192" t="s">
        <v>63</v>
      </c>
      <c r="L502" s="192" t="s">
        <v>81</v>
      </c>
      <c r="M502" s="146" t="s">
        <v>5</v>
      </c>
      <c r="N502" s="192" t="s">
        <v>678</v>
      </c>
      <c r="O502" s="192" t="s">
        <v>66</v>
      </c>
      <c r="P502" s="192" t="s">
        <v>67</v>
      </c>
      <c r="Q502" s="145"/>
      <c r="R502" s="145">
        <v>46088</v>
      </c>
      <c r="S502" s="192"/>
    </row>
    <row r="503" spans="1:19" ht="169.2" customHeight="1" x14ac:dyDescent="0.25">
      <c r="A503" s="197" t="str">
        <f t="shared" si="13"/>
        <v>INC20260306502</v>
      </c>
      <c r="B503" s="199">
        <v>46087.724305555603</v>
      </c>
      <c r="C503" s="192" t="s">
        <v>37</v>
      </c>
      <c r="D503" s="192" t="s">
        <v>286</v>
      </c>
      <c r="E503" s="192" t="s">
        <v>69</v>
      </c>
      <c r="F503" s="192" t="s">
        <v>40</v>
      </c>
      <c r="G503" s="192" t="s">
        <v>41</v>
      </c>
      <c r="H503" s="192" t="s">
        <v>79</v>
      </c>
      <c r="I503" s="192" t="s">
        <v>287</v>
      </c>
      <c r="J503" s="195" t="s">
        <v>2157</v>
      </c>
      <c r="K503" s="192" t="s">
        <v>44</v>
      </c>
      <c r="L503" s="192" t="s">
        <v>81</v>
      </c>
      <c r="M503" s="146" t="s">
        <v>5</v>
      </c>
      <c r="N503" s="192" t="s">
        <v>680</v>
      </c>
      <c r="O503" s="192" t="s">
        <v>86</v>
      </c>
      <c r="P503" s="192" t="s">
        <v>290</v>
      </c>
      <c r="Q503" s="145">
        <v>46087</v>
      </c>
      <c r="R503" s="145">
        <v>46088</v>
      </c>
      <c r="S503" s="192"/>
    </row>
    <row r="504" spans="1:19" ht="187.2" customHeight="1" x14ac:dyDescent="0.25">
      <c r="A504" s="197" t="str">
        <f t="shared" si="13"/>
        <v>INC20260306503</v>
      </c>
      <c r="B504" s="185">
        <v>46087.431250000001</v>
      </c>
      <c r="C504" s="192" t="s">
        <v>37</v>
      </c>
      <c r="D504" s="194" t="s">
        <v>38</v>
      </c>
      <c r="E504" s="192" t="s">
        <v>39</v>
      </c>
      <c r="F504" s="192" t="s">
        <v>40</v>
      </c>
      <c r="G504" s="192" t="s">
        <v>41</v>
      </c>
      <c r="H504" s="192" t="s">
        <v>42</v>
      </c>
      <c r="I504" s="192" t="s">
        <v>43</v>
      </c>
      <c r="J504" s="195" t="s">
        <v>2158</v>
      </c>
      <c r="K504" s="192" t="s">
        <v>44</v>
      </c>
      <c r="L504" s="192" t="s">
        <v>45</v>
      </c>
      <c r="M504" s="143" t="s">
        <v>5</v>
      </c>
      <c r="N504" s="198" t="s">
        <v>681</v>
      </c>
      <c r="O504" s="192"/>
      <c r="P504" s="144" t="s">
        <v>47</v>
      </c>
      <c r="Q504" s="145">
        <v>46087</v>
      </c>
      <c r="R504" s="145">
        <v>46088</v>
      </c>
      <c r="S504" s="192"/>
    </row>
    <row r="505" spans="1:19" ht="270.60000000000002" customHeight="1" x14ac:dyDescent="0.25">
      <c r="A505" s="197" t="str">
        <f t="shared" si="13"/>
        <v>INC20260307504</v>
      </c>
      <c r="B505" s="199">
        <v>46088.436805555597</v>
      </c>
      <c r="C505" s="192" t="s">
        <v>37</v>
      </c>
      <c r="D505" s="194" t="s">
        <v>682</v>
      </c>
      <c r="E505" s="192" t="s">
        <v>116</v>
      </c>
      <c r="F505" s="192" t="s">
        <v>40</v>
      </c>
      <c r="G505" s="192" t="s">
        <v>41</v>
      </c>
      <c r="H505" s="192" t="s">
        <v>42</v>
      </c>
      <c r="I505" s="192" t="s">
        <v>43</v>
      </c>
      <c r="J505" s="195" t="s">
        <v>2159</v>
      </c>
      <c r="K505" s="192" t="s">
        <v>44</v>
      </c>
      <c r="L505" s="192" t="s">
        <v>45</v>
      </c>
      <c r="M505" s="143" t="s">
        <v>5</v>
      </c>
      <c r="N505" s="192" t="s">
        <v>683</v>
      </c>
      <c r="O505" s="192"/>
      <c r="P505" s="192"/>
      <c r="Q505" s="145">
        <v>46089</v>
      </c>
      <c r="R505" s="145">
        <v>46088</v>
      </c>
      <c r="S505" s="192"/>
    </row>
    <row r="506" spans="1:19" ht="199.2" customHeight="1" x14ac:dyDescent="0.25">
      <c r="A506" s="197" t="str">
        <f t="shared" si="13"/>
        <v>INC20260309505</v>
      </c>
      <c r="B506" s="199">
        <v>46090.332638888904</v>
      </c>
      <c r="C506" s="192" t="s">
        <v>37</v>
      </c>
      <c r="D506" s="194" t="s">
        <v>38</v>
      </c>
      <c r="E506" s="192" t="s">
        <v>39</v>
      </c>
      <c r="F506" s="192" t="s">
        <v>40</v>
      </c>
      <c r="G506" s="192" t="s">
        <v>41</v>
      </c>
      <c r="H506" s="192" t="s">
        <v>42</v>
      </c>
      <c r="I506" s="192" t="s">
        <v>43</v>
      </c>
      <c r="J506" s="195" t="s">
        <v>2160</v>
      </c>
      <c r="K506" s="192" t="s">
        <v>44</v>
      </c>
      <c r="L506" s="192" t="s">
        <v>45</v>
      </c>
      <c r="M506" s="143" t="s">
        <v>5</v>
      </c>
      <c r="N506" s="198" t="s">
        <v>684</v>
      </c>
      <c r="O506" s="192"/>
      <c r="P506" s="144" t="s">
        <v>47</v>
      </c>
      <c r="Q506" s="145">
        <v>46090</v>
      </c>
      <c r="R506" s="145">
        <v>46088</v>
      </c>
      <c r="S506" s="192"/>
    </row>
    <row r="507" spans="1:19" ht="232.05" customHeight="1" x14ac:dyDescent="0.25">
      <c r="A507" s="197" t="str">
        <f t="shared" si="13"/>
        <v>INC20260309506</v>
      </c>
      <c r="B507" s="199">
        <v>46090.702777777798</v>
      </c>
      <c r="C507" s="192" t="s">
        <v>37</v>
      </c>
      <c r="D507" s="192" t="s">
        <v>286</v>
      </c>
      <c r="E507" s="192" t="s">
        <v>685</v>
      </c>
      <c r="F507" s="192" t="s">
        <v>40</v>
      </c>
      <c r="G507" s="192" t="s">
        <v>41</v>
      </c>
      <c r="H507" s="192" t="s">
        <v>79</v>
      </c>
      <c r="I507" s="192" t="s">
        <v>287</v>
      </c>
      <c r="J507" s="195" t="s">
        <v>2161</v>
      </c>
      <c r="K507" s="192" t="s">
        <v>44</v>
      </c>
      <c r="L507" s="192" t="s">
        <v>81</v>
      </c>
      <c r="M507" s="146" t="s">
        <v>5</v>
      </c>
      <c r="N507" s="192" t="s">
        <v>680</v>
      </c>
      <c r="O507" s="192" t="s">
        <v>86</v>
      </c>
      <c r="P507" s="192" t="s">
        <v>290</v>
      </c>
      <c r="Q507" s="145"/>
      <c r="R507" s="145">
        <v>46088</v>
      </c>
      <c r="S507" s="192"/>
    </row>
    <row r="508" spans="1:19" ht="120" customHeight="1" x14ac:dyDescent="0.25">
      <c r="A508" s="197" t="str">
        <f t="shared" si="13"/>
        <v>INC20260309507</v>
      </c>
      <c r="B508" s="199">
        <v>46090.746527777803</v>
      </c>
      <c r="C508" s="192" t="s">
        <v>37</v>
      </c>
      <c r="D508" s="194" t="s">
        <v>686</v>
      </c>
      <c r="E508" s="192" t="s">
        <v>50</v>
      </c>
      <c r="F508" s="192" t="s">
        <v>40</v>
      </c>
      <c r="G508" s="192" t="s">
        <v>51</v>
      </c>
      <c r="H508" s="192" t="s">
        <v>92</v>
      </c>
      <c r="I508" s="192" t="s">
        <v>403</v>
      </c>
      <c r="J508" s="195" t="s">
        <v>2162</v>
      </c>
      <c r="K508" s="192" t="s">
        <v>54</v>
      </c>
      <c r="L508" s="192" t="s">
        <v>55</v>
      </c>
      <c r="M508" s="146" t="s">
        <v>5</v>
      </c>
      <c r="N508" s="192" t="s">
        <v>687</v>
      </c>
      <c r="O508" s="192"/>
      <c r="P508" s="192"/>
      <c r="Q508" s="145">
        <v>46090</v>
      </c>
      <c r="R508" s="145">
        <v>46095</v>
      </c>
      <c r="S508" s="192"/>
    </row>
    <row r="509" spans="1:19" ht="138" customHeight="1" x14ac:dyDescent="0.25">
      <c r="A509" s="197" t="str">
        <f t="shared" si="13"/>
        <v>INC20260309508</v>
      </c>
      <c r="B509" s="199">
        <v>46090.829861111102</v>
      </c>
      <c r="C509" s="192" t="s">
        <v>37</v>
      </c>
      <c r="D509" s="194" t="s">
        <v>688</v>
      </c>
      <c r="E509" s="192" t="s">
        <v>50</v>
      </c>
      <c r="F509" s="192" t="s">
        <v>40</v>
      </c>
      <c r="G509" s="192" t="s">
        <v>51</v>
      </c>
      <c r="H509" s="192" t="s">
        <v>92</v>
      </c>
      <c r="I509" s="192" t="s">
        <v>403</v>
      </c>
      <c r="J509" s="195" t="s">
        <v>2163</v>
      </c>
      <c r="K509" s="192" t="s">
        <v>54</v>
      </c>
      <c r="L509" s="192" t="s">
        <v>55</v>
      </c>
      <c r="M509" s="146" t="s">
        <v>5</v>
      </c>
      <c r="N509" s="192" t="s">
        <v>689</v>
      </c>
      <c r="O509" s="192"/>
      <c r="P509" s="192"/>
      <c r="Q509" s="145">
        <v>46090</v>
      </c>
      <c r="R509" s="145">
        <v>46095</v>
      </c>
      <c r="S509" s="192"/>
    </row>
    <row r="510" spans="1:19" ht="163.95" customHeight="1" x14ac:dyDescent="0.25">
      <c r="A510" s="197" t="str">
        <f t="shared" si="13"/>
        <v>INC20260310509</v>
      </c>
      <c r="B510" s="199">
        <v>46091.323611111096</v>
      </c>
      <c r="C510" s="192" t="s">
        <v>37</v>
      </c>
      <c r="D510" s="194" t="s">
        <v>38</v>
      </c>
      <c r="E510" s="192" t="s">
        <v>39</v>
      </c>
      <c r="F510" s="192" t="s">
        <v>40</v>
      </c>
      <c r="G510" s="192" t="s">
        <v>41</v>
      </c>
      <c r="H510" s="192" t="s">
        <v>42</v>
      </c>
      <c r="I510" s="192" t="s">
        <v>43</v>
      </c>
      <c r="J510" s="195" t="s">
        <v>2164</v>
      </c>
      <c r="K510" s="192" t="s">
        <v>44</v>
      </c>
      <c r="L510" s="192" t="s">
        <v>45</v>
      </c>
      <c r="M510" s="143" t="s">
        <v>5</v>
      </c>
      <c r="N510" s="198" t="s">
        <v>690</v>
      </c>
      <c r="O510" s="192"/>
      <c r="P510" s="144" t="s">
        <v>47</v>
      </c>
      <c r="Q510" s="145">
        <v>46092</v>
      </c>
      <c r="R510" s="145">
        <v>46095</v>
      </c>
      <c r="S510" s="192"/>
    </row>
    <row r="511" spans="1:19" ht="187.05" customHeight="1" x14ac:dyDescent="0.25">
      <c r="A511" s="197" t="str">
        <f t="shared" si="13"/>
        <v>INC20260310510</v>
      </c>
      <c r="B511" s="199">
        <v>46091.394444444399</v>
      </c>
      <c r="C511" s="192" t="s">
        <v>37</v>
      </c>
      <c r="D511" s="194" t="s">
        <v>691</v>
      </c>
      <c r="E511" s="192" t="s">
        <v>134</v>
      </c>
      <c r="F511" s="192" t="s">
        <v>59</v>
      </c>
      <c r="G511" s="192" t="s">
        <v>60</v>
      </c>
      <c r="H511" s="192" t="s">
        <v>61</v>
      </c>
      <c r="I511" s="192" t="s">
        <v>62</v>
      </c>
      <c r="J511" s="121" t="s">
        <v>2165</v>
      </c>
      <c r="K511" s="192" t="s">
        <v>63</v>
      </c>
      <c r="L511" s="192" t="s">
        <v>81</v>
      </c>
      <c r="M511" s="146" t="s">
        <v>5</v>
      </c>
      <c r="N511" s="192" t="s">
        <v>692</v>
      </c>
      <c r="O511" s="192" t="s">
        <v>66</v>
      </c>
      <c r="P511" s="192" t="s">
        <v>67</v>
      </c>
      <c r="Q511" s="145"/>
      <c r="R511" s="145">
        <v>46095</v>
      </c>
      <c r="S511" s="192"/>
    </row>
    <row r="512" spans="1:19" ht="178.05" customHeight="1" x14ac:dyDescent="0.25">
      <c r="A512" s="197" t="str">
        <f t="shared" si="13"/>
        <v>INC20260310511</v>
      </c>
      <c r="B512" s="199">
        <v>46091.534722222197</v>
      </c>
      <c r="C512" s="192" t="s">
        <v>37</v>
      </c>
      <c r="D512" s="194" t="s">
        <v>693</v>
      </c>
      <c r="E512" s="192" t="s">
        <v>50</v>
      </c>
      <c r="F512" s="192" t="s">
        <v>40</v>
      </c>
      <c r="G512" s="192" t="s">
        <v>51</v>
      </c>
      <c r="H512" s="192" t="s">
        <v>92</v>
      </c>
      <c r="I512" s="192" t="s">
        <v>403</v>
      </c>
      <c r="J512" s="195" t="s">
        <v>2166</v>
      </c>
      <c r="K512" s="192" t="s">
        <v>54</v>
      </c>
      <c r="L512" s="192" t="s">
        <v>55</v>
      </c>
      <c r="M512" s="146" t="s">
        <v>5</v>
      </c>
      <c r="N512" s="192" t="s">
        <v>694</v>
      </c>
      <c r="O512" s="192"/>
      <c r="P512" s="192"/>
      <c r="Q512" s="145">
        <v>46093</v>
      </c>
      <c r="R512" s="145">
        <v>46095</v>
      </c>
      <c r="S512" s="192"/>
    </row>
    <row r="513" spans="1:19" ht="162" customHeight="1" x14ac:dyDescent="0.25">
      <c r="A513" s="197" t="str">
        <f t="shared" si="13"/>
        <v>INC20260310512</v>
      </c>
      <c r="B513" s="199">
        <v>46091.7097222222</v>
      </c>
      <c r="C513" s="192" t="s">
        <v>37</v>
      </c>
      <c r="D513" s="194" t="s">
        <v>57</v>
      </c>
      <c r="E513" s="192" t="s">
        <v>74</v>
      </c>
      <c r="F513" s="192" t="s">
        <v>59</v>
      </c>
      <c r="G513" s="192" t="s">
        <v>60</v>
      </c>
      <c r="H513" s="192" t="s">
        <v>61</v>
      </c>
      <c r="I513" s="192" t="s">
        <v>62</v>
      </c>
      <c r="J513" s="121" t="s">
        <v>2167</v>
      </c>
      <c r="K513" s="192" t="s">
        <v>63</v>
      </c>
      <c r="L513" s="192" t="s">
        <v>81</v>
      </c>
      <c r="M513" s="146" t="s">
        <v>5</v>
      </c>
      <c r="N513" s="192" t="s">
        <v>695</v>
      </c>
      <c r="O513" s="192" t="s">
        <v>66</v>
      </c>
      <c r="P513" s="192" t="s">
        <v>67</v>
      </c>
      <c r="Q513" s="145"/>
      <c r="R513" s="145">
        <v>46095</v>
      </c>
      <c r="S513" s="192"/>
    </row>
    <row r="514" spans="1:19" ht="180" customHeight="1" x14ac:dyDescent="0.25">
      <c r="A514" s="197" t="str">
        <f t="shared" si="13"/>
        <v>INC20260310513</v>
      </c>
      <c r="B514" s="199">
        <v>46091.730555555601</v>
      </c>
      <c r="C514" s="192" t="s">
        <v>37</v>
      </c>
      <c r="D514" s="194" t="s">
        <v>57</v>
      </c>
      <c r="E514" s="192" t="s">
        <v>696</v>
      </c>
      <c r="F514" s="192" t="s">
        <v>40</v>
      </c>
      <c r="G514" s="192" t="s">
        <v>60</v>
      </c>
      <c r="H514" s="192" t="s">
        <v>79</v>
      </c>
      <c r="I514" s="192" t="s">
        <v>84</v>
      </c>
      <c r="J514" s="121" t="s">
        <v>2168</v>
      </c>
      <c r="K514" s="192" t="s">
        <v>63</v>
      </c>
      <c r="L514" s="192" t="s">
        <v>81</v>
      </c>
      <c r="M514" s="146" t="s">
        <v>5</v>
      </c>
      <c r="N514" s="192" t="s">
        <v>697</v>
      </c>
      <c r="O514" s="192" t="s">
        <v>86</v>
      </c>
      <c r="P514" s="192" t="s">
        <v>87</v>
      </c>
      <c r="Q514" s="145">
        <v>46093</v>
      </c>
      <c r="R514" s="145">
        <v>46095</v>
      </c>
      <c r="S514" s="192"/>
    </row>
    <row r="515" spans="1:19" ht="172.95" customHeight="1" x14ac:dyDescent="0.25">
      <c r="A515" s="197" t="str">
        <f t="shared" si="13"/>
        <v>INC20260310514</v>
      </c>
      <c r="B515" s="199">
        <v>46091.730555555601</v>
      </c>
      <c r="C515" s="192" t="s">
        <v>37</v>
      </c>
      <c r="D515" s="194" t="s">
        <v>57</v>
      </c>
      <c r="E515" s="192" t="s">
        <v>696</v>
      </c>
      <c r="F515" s="192" t="s">
        <v>59</v>
      </c>
      <c r="G515" s="192" t="s">
        <v>60</v>
      </c>
      <c r="H515" s="192" t="s">
        <v>61</v>
      </c>
      <c r="I515" s="192" t="s">
        <v>62</v>
      </c>
      <c r="J515" s="121" t="s">
        <v>2169</v>
      </c>
      <c r="K515" s="192" t="s">
        <v>63</v>
      </c>
      <c r="L515" s="192" t="s">
        <v>81</v>
      </c>
      <c r="M515" s="146" t="s">
        <v>5</v>
      </c>
      <c r="N515" s="192" t="s">
        <v>695</v>
      </c>
      <c r="O515" s="192" t="s">
        <v>66</v>
      </c>
      <c r="P515" s="192" t="s">
        <v>67</v>
      </c>
      <c r="Q515" s="145"/>
      <c r="R515" s="145">
        <v>46095</v>
      </c>
      <c r="S515" s="192"/>
    </row>
    <row r="516" spans="1:19" ht="190.05" customHeight="1" x14ac:dyDescent="0.25">
      <c r="A516" s="197" t="str">
        <f t="shared" si="13"/>
        <v>INC20260310515</v>
      </c>
      <c r="B516" s="199">
        <v>46091.616666666698</v>
      </c>
      <c r="C516" s="192" t="s">
        <v>37</v>
      </c>
      <c r="D516" s="194" t="s">
        <v>49</v>
      </c>
      <c r="E516" s="192" t="s">
        <v>50</v>
      </c>
      <c r="F516" s="192" t="s">
        <v>40</v>
      </c>
      <c r="G516" s="192" t="s">
        <v>51</v>
      </c>
      <c r="H516" s="192" t="s">
        <v>92</v>
      </c>
      <c r="I516" s="192" t="s">
        <v>93</v>
      </c>
      <c r="J516" s="195" t="s">
        <v>2170</v>
      </c>
      <c r="K516" s="192" t="s">
        <v>54</v>
      </c>
      <c r="L516" s="192" t="s">
        <v>55</v>
      </c>
      <c r="M516" s="146" t="s">
        <v>5</v>
      </c>
      <c r="N516" s="192" t="s">
        <v>698</v>
      </c>
      <c r="O516" s="192" t="s">
        <v>95</v>
      </c>
      <c r="P516" s="192" t="s">
        <v>96</v>
      </c>
      <c r="Q516" s="145">
        <v>46098</v>
      </c>
      <c r="R516" s="145">
        <v>46095</v>
      </c>
      <c r="S516" s="192"/>
    </row>
    <row r="517" spans="1:19" ht="171" customHeight="1" x14ac:dyDescent="0.25">
      <c r="A517" s="197" t="str">
        <f t="shared" si="13"/>
        <v>INC20260306516</v>
      </c>
      <c r="B517" s="193">
        <v>46087.647916666698</v>
      </c>
      <c r="C517" s="192" t="s">
        <v>77</v>
      </c>
      <c r="D517" s="194" t="s">
        <v>78</v>
      </c>
      <c r="E517" s="192" t="s">
        <v>58</v>
      </c>
      <c r="F517" s="192" t="s">
        <v>40</v>
      </c>
      <c r="G517" s="192" t="s">
        <v>60</v>
      </c>
      <c r="H517" s="192" t="s">
        <v>79</v>
      </c>
      <c r="I517" s="192" t="s">
        <v>84</v>
      </c>
      <c r="J517" s="121" t="s">
        <v>2171</v>
      </c>
      <c r="K517" s="192" t="s">
        <v>63</v>
      </c>
      <c r="L517" s="192" t="s">
        <v>81</v>
      </c>
      <c r="M517" s="146" t="s">
        <v>5</v>
      </c>
      <c r="N517" s="192" t="s">
        <v>699</v>
      </c>
      <c r="O517" s="192" t="s">
        <v>86</v>
      </c>
      <c r="P517" s="192" t="s">
        <v>87</v>
      </c>
      <c r="Q517" s="196">
        <v>46087.655555555597</v>
      </c>
      <c r="R517" s="145">
        <v>46095</v>
      </c>
      <c r="S517" s="192"/>
    </row>
    <row r="518" spans="1:19" ht="172.05" customHeight="1" x14ac:dyDescent="0.25">
      <c r="A518" s="197" t="str">
        <f t="shared" si="13"/>
        <v>INC20260308517</v>
      </c>
      <c r="B518" s="193">
        <v>46089.589583333298</v>
      </c>
      <c r="C518" s="192" t="s">
        <v>77</v>
      </c>
      <c r="D518" s="194" t="s">
        <v>78</v>
      </c>
      <c r="E518" s="192" t="s">
        <v>134</v>
      </c>
      <c r="F518" s="192" t="s">
        <v>40</v>
      </c>
      <c r="G518" s="192" t="s">
        <v>60</v>
      </c>
      <c r="H518" s="192" t="s">
        <v>79</v>
      </c>
      <c r="I518" s="192" t="s">
        <v>84</v>
      </c>
      <c r="J518" s="121" t="s">
        <v>2172</v>
      </c>
      <c r="K518" s="192" t="s">
        <v>63</v>
      </c>
      <c r="L518" s="192" t="s">
        <v>81</v>
      </c>
      <c r="M518" s="146" t="s">
        <v>5</v>
      </c>
      <c r="N518" s="192" t="s">
        <v>700</v>
      </c>
      <c r="O518" s="192" t="s">
        <v>86</v>
      </c>
      <c r="P518" s="192" t="s">
        <v>87</v>
      </c>
      <c r="Q518" s="196">
        <v>46086.616666666698</v>
      </c>
      <c r="R518" s="145">
        <v>46095</v>
      </c>
      <c r="S518" s="192"/>
    </row>
    <row r="519" spans="1:19" ht="186" customHeight="1" x14ac:dyDescent="0.25">
      <c r="A519" s="197" t="str">
        <f t="shared" si="13"/>
        <v>INC20260308518</v>
      </c>
      <c r="B519" s="193">
        <v>46089.7631944444</v>
      </c>
      <c r="C519" s="192" t="s">
        <v>77</v>
      </c>
      <c r="D519" s="194" t="s">
        <v>78</v>
      </c>
      <c r="E519" s="192" t="s">
        <v>701</v>
      </c>
      <c r="F519" s="192" t="s">
        <v>40</v>
      </c>
      <c r="G519" s="192" t="s">
        <v>60</v>
      </c>
      <c r="H519" s="192" t="s">
        <v>79</v>
      </c>
      <c r="I519" s="192" t="s">
        <v>84</v>
      </c>
      <c r="J519" s="121" t="s">
        <v>2173</v>
      </c>
      <c r="K519" s="192" t="s">
        <v>702</v>
      </c>
      <c r="L519" s="192" t="s">
        <v>81</v>
      </c>
      <c r="M519" s="146" t="s">
        <v>5</v>
      </c>
      <c r="N519" s="192" t="s">
        <v>703</v>
      </c>
      <c r="O519" s="192" t="s">
        <v>86</v>
      </c>
      <c r="P519" s="192" t="s">
        <v>87</v>
      </c>
      <c r="Q519" s="196">
        <v>46089.776388888902</v>
      </c>
      <c r="R519" s="145">
        <v>46095</v>
      </c>
      <c r="S519" s="192"/>
    </row>
    <row r="520" spans="1:19" ht="180" customHeight="1" x14ac:dyDescent="0.25">
      <c r="A520" s="197" t="str">
        <f t="shared" si="13"/>
        <v>INC20260308519</v>
      </c>
      <c r="B520" s="193">
        <v>46089.728472222203</v>
      </c>
      <c r="C520" s="192" t="s">
        <v>77</v>
      </c>
      <c r="D520" s="194" t="s">
        <v>78</v>
      </c>
      <c r="E520" s="192" t="s">
        <v>704</v>
      </c>
      <c r="F520" s="192" t="s">
        <v>40</v>
      </c>
      <c r="G520" s="192" t="s">
        <v>41</v>
      </c>
      <c r="H520" s="192" t="s">
        <v>79</v>
      </c>
      <c r="I520" s="192" t="s">
        <v>84</v>
      </c>
      <c r="J520" s="121" t="s">
        <v>2174</v>
      </c>
      <c r="K520" s="192" t="s">
        <v>705</v>
      </c>
      <c r="L520" s="192" t="s">
        <v>81</v>
      </c>
      <c r="M520" s="146" t="s">
        <v>5</v>
      </c>
      <c r="N520" s="192" t="s">
        <v>706</v>
      </c>
      <c r="O520" s="192"/>
      <c r="P520" s="192"/>
      <c r="Q520" s="196">
        <v>46089.786805555603</v>
      </c>
      <c r="R520" s="145">
        <v>46095</v>
      </c>
      <c r="S520" s="192"/>
    </row>
    <row r="521" spans="1:19" ht="186" customHeight="1" x14ac:dyDescent="0.25">
      <c r="A521" s="197" t="str">
        <f t="shared" si="13"/>
        <v>INC20260308520</v>
      </c>
      <c r="B521" s="193">
        <v>46089.908333333296</v>
      </c>
      <c r="C521" s="192" t="s">
        <v>77</v>
      </c>
      <c r="D521" s="194" t="s">
        <v>78</v>
      </c>
      <c r="E521" s="192" t="s">
        <v>704</v>
      </c>
      <c r="F521" s="192" t="s">
        <v>40</v>
      </c>
      <c r="G521" s="192" t="s">
        <v>41</v>
      </c>
      <c r="H521" s="192" t="s">
        <v>79</v>
      </c>
      <c r="I521" s="192" t="s">
        <v>84</v>
      </c>
      <c r="J521" s="121" t="s">
        <v>2175</v>
      </c>
      <c r="K521" s="192" t="s">
        <v>705</v>
      </c>
      <c r="L521" s="192" t="s">
        <v>81</v>
      </c>
      <c r="M521" s="146" t="s">
        <v>5</v>
      </c>
      <c r="N521" s="192" t="s">
        <v>707</v>
      </c>
      <c r="O521" s="192"/>
      <c r="P521" s="192"/>
      <c r="Q521" s="196">
        <v>46089.925000000003</v>
      </c>
      <c r="R521" s="145">
        <v>46095</v>
      </c>
      <c r="S521" s="192"/>
    </row>
    <row r="522" spans="1:19" ht="186" customHeight="1" x14ac:dyDescent="0.25">
      <c r="A522" s="197" t="str">
        <f t="shared" si="13"/>
        <v>INC20260309521</v>
      </c>
      <c r="B522" s="193">
        <v>46090.034722222197</v>
      </c>
      <c r="C522" s="192" t="s">
        <v>77</v>
      </c>
      <c r="D522" s="194" t="s">
        <v>78</v>
      </c>
      <c r="E522" s="192" t="s">
        <v>74</v>
      </c>
      <c r="F522" s="192" t="s">
        <v>40</v>
      </c>
      <c r="G522" s="192" t="s">
        <v>60</v>
      </c>
      <c r="H522" s="192" t="s">
        <v>79</v>
      </c>
      <c r="I522" s="192" t="s">
        <v>84</v>
      </c>
      <c r="J522" s="121" t="s">
        <v>2176</v>
      </c>
      <c r="K522" s="192" t="s">
        <v>63</v>
      </c>
      <c r="L522" s="192" t="s">
        <v>81</v>
      </c>
      <c r="M522" s="146" t="s">
        <v>5</v>
      </c>
      <c r="N522" s="192" t="s">
        <v>708</v>
      </c>
      <c r="O522" s="192" t="s">
        <v>86</v>
      </c>
      <c r="P522" s="192" t="s">
        <v>87</v>
      </c>
      <c r="Q522" s="196">
        <v>46090.418749999997</v>
      </c>
      <c r="R522" s="145">
        <v>46095</v>
      </c>
      <c r="S522" s="192"/>
    </row>
    <row r="523" spans="1:19" ht="190.95" customHeight="1" x14ac:dyDescent="0.25">
      <c r="A523" s="197" t="str">
        <f t="shared" si="13"/>
        <v>INC20260309522</v>
      </c>
      <c r="B523" s="193">
        <v>46090.292361111096</v>
      </c>
      <c r="C523" s="192" t="s">
        <v>77</v>
      </c>
      <c r="D523" s="194" t="s">
        <v>78</v>
      </c>
      <c r="E523" s="192" t="s">
        <v>116</v>
      </c>
      <c r="F523" s="192" t="s">
        <v>40</v>
      </c>
      <c r="G523" s="192" t="s">
        <v>60</v>
      </c>
      <c r="H523" s="192" t="s">
        <v>79</v>
      </c>
      <c r="I523" s="192" t="s">
        <v>84</v>
      </c>
      <c r="J523" s="121" t="s">
        <v>2177</v>
      </c>
      <c r="K523" s="192" t="s">
        <v>63</v>
      </c>
      <c r="L523" s="192" t="s">
        <v>81</v>
      </c>
      <c r="M523" s="146" t="s">
        <v>5</v>
      </c>
      <c r="N523" s="192" t="s">
        <v>709</v>
      </c>
      <c r="O523" s="192" t="s">
        <v>86</v>
      </c>
      <c r="P523" s="192" t="s">
        <v>87</v>
      </c>
      <c r="Q523" s="196">
        <v>46090.409722222197</v>
      </c>
      <c r="R523" s="145">
        <v>46095</v>
      </c>
      <c r="S523" s="192"/>
    </row>
    <row r="524" spans="1:19" ht="202.95" customHeight="1" x14ac:dyDescent="0.25">
      <c r="A524" s="197" t="str">
        <f t="shared" ref="A524:A587" si="14">"INC"&amp;TEXT(B524,"yyyymmdd")&amp;TEXT(ROW(A524)-1,"000")</f>
        <v>INC20260309523</v>
      </c>
      <c r="B524" s="193">
        <v>46090.396527777797</v>
      </c>
      <c r="C524" s="192" t="s">
        <v>77</v>
      </c>
      <c r="D524" s="194" t="s">
        <v>78</v>
      </c>
      <c r="E524" s="192" t="s">
        <v>116</v>
      </c>
      <c r="F524" s="192" t="s">
        <v>40</v>
      </c>
      <c r="G524" s="192" t="s">
        <v>60</v>
      </c>
      <c r="H524" s="192" t="s">
        <v>79</v>
      </c>
      <c r="I524" s="192" t="s">
        <v>84</v>
      </c>
      <c r="J524" s="121" t="s">
        <v>2178</v>
      </c>
      <c r="K524" s="192" t="s">
        <v>63</v>
      </c>
      <c r="L524" s="192" t="s">
        <v>81</v>
      </c>
      <c r="M524" s="146" t="s">
        <v>5</v>
      </c>
      <c r="N524" s="192" t="s">
        <v>710</v>
      </c>
      <c r="O524" s="192" t="s">
        <v>86</v>
      </c>
      <c r="P524" s="192" t="s">
        <v>87</v>
      </c>
      <c r="Q524" s="145">
        <v>46090</v>
      </c>
      <c r="R524" s="145">
        <v>46095</v>
      </c>
      <c r="S524" s="192"/>
    </row>
    <row r="525" spans="1:19" ht="174" customHeight="1" x14ac:dyDescent="0.25">
      <c r="A525" s="197" t="str">
        <f t="shared" si="14"/>
        <v>INC20260309524</v>
      </c>
      <c r="B525" s="193">
        <v>46090.401388888902</v>
      </c>
      <c r="C525" s="192" t="s">
        <v>77</v>
      </c>
      <c r="D525" s="194" t="s">
        <v>78</v>
      </c>
      <c r="E525" s="192" t="s">
        <v>116</v>
      </c>
      <c r="F525" s="192" t="s">
        <v>40</v>
      </c>
      <c r="G525" s="192" t="s">
        <v>60</v>
      </c>
      <c r="H525" s="192" t="s">
        <v>79</v>
      </c>
      <c r="I525" s="192" t="s">
        <v>84</v>
      </c>
      <c r="J525" s="121" t="s">
        <v>2179</v>
      </c>
      <c r="K525" s="192" t="s">
        <v>63</v>
      </c>
      <c r="L525" s="192" t="s">
        <v>81</v>
      </c>
      <c r="M525" s="146" t="s">
        <v>5</v>
      </c>
      <c r="N525" s="192" t="s">
        <v>711</v>
      </c>
      <c r="O525" s="192" t="s">
        <v>86</v>
      </c>
      <c r="P525" s="192" t="s">
        <v>87</v>
      </c>
      <c r="Q525" s="145">
        <v>46090</v>
      </c>
      <c r="R525" s="145">
        <v>46095</v>
      </c>
      <c r="S525" s="192"/>
    </row>
    <row r="526" spans="1:19" ht="201" customHeight="1" x14ac:dyDescent="0.25">
      <c r="A526" s="197" t="str">
        <f t="shared" si="14"/>
        <v>INC20260309525</v>
      </c>
      <c r="B526" s="193">
        <v>46090.675000000003</v>
      </c>
      <c r="C526" s="192" t="s">
        <v>77</v>
      </c>
      <c r="D526" s="194" t="s">
        <v>78</v>
      </c>
      <c r="E526" s="192" t="s">
        <v>712</v>
      </c>
      <c r="F526" s="192" t="s">
        <v>40</v>
      </c>
      <c r="G526" s="192" t="s">
        <v>60</v>
      </c>
      <c r="H526" s="192" t="s">
        <v>79</v>
      </c>
      <c r="I526" s="192" t="s">
        <v>84</v>
      </c>
      <c r="J526" s="121" t="s">
        <v>2180</v>
      </c>
      <c r="K526" s="192" t="s">
        <v>63</v>
      </c>
      <c r="L526" s="192" t="s">
        <v>81</v>
      </c>
      <c r="M526" s="146" t="s">
        <v>5</v>
      </c>
      <c r="N526" s="192" t="s">
        <v>713</v>
      </c>
      <c r="O526" s="192" t="s">
        <v>86</v>
      </c>
      <c r="P526" s="192" t="s">
        <v>87</v>
      </c>
      <c r="Q526" s="145">
        <v>46090</v>
      </c>
      <c r="R526" s="145">
        <v>46095</v>
      </c>
      <c r="S526" s="192"/>
    </row>
    <row r="527" spans="1:19" ht="196.95" customHeight="1" x14ac:dyDescent="0.25">
      <c r="A527" s="197" t="str">
        <f t="shared" si="14"/>
        <v>INC20260309526</v>
      </c>
      <c r="B527" s="193">
        <v>46090.868750000001</v>
      </c>
      <c r="C527" s="192" t="s">
        <v>77</v>
      </c>
      <c r="D527" s="194" t="s">
        <v>78</v>
      </c>
      <c r="E527" s="192" t="s">
        <v>69</v>
      </c>
      <c r="F527" s="192" t="s">
        <v>40</v>
      </c>
      <c r="G527" s="192" t="s">
        <v>60</v>
      </c>
      <c r="H527" s="192" t="s">
        <v>79</v>
      </c>
      <c r="I527" s="192" t="s">
        <v>84</v>
      </c>
      <c r="J527" s="121" t="s">
        <v>2181</v>
      </c>
      <c r="K527" s="192" t="s">
        <v>63</v>
      </c>
      <c r="L527" s="192" t="s">
        <v>81</v>
      </c>
      <c r="M527" s="146" t="s">
        <v>5</v>
      </c>
      <c r="N527" s="192" t="s">
        <v>714</v>
      </c>
      <c r="O527" s="192" t="s">
        <v>86</v>
      </c>
      <c r="P527" s="192" t="s">
        <v>87</v>
      </c>
      <c r="Q527" s="145">
        <v>46090</v>
      </c>
      <c r="R527" s="145">
        <v>46095</v>
      </c>
      <c r="S527" s="192"/>
    </row>
    <row r="528" spans="1:19" ht="199.95" customHeight="1" x14ac:dyDescent="0.25">
      <c r="A528" s="197" t="str">
        <f t="shared" si="14"/>
        <v>INC20260309527</v>
      </c>
      <c r="B528" s="193">
        <v>46090.872916666704</v>
      </c>
      <c r="C528" s="192" t="s">
        <v>77</v>
      </c>
      <c r="D528" s="194" t="s">
        <v>78</v>
      </c>
      <c r="E528" s="192" t="s">
        <v>58</v>
      </c>
      <c r="F528" s="192" t="s">
        <v>40</v>
      </c>
      <c r="G528" s="192" t="s">
        <v>60</v>
      </c>
      <c r="H528" s="192" t="s">
        <v>79</v>
      </c>
      <c r="I528" s="192" t="s">
        <v>84</v>
      </c>
      <c r="J528" s="121" t="s">
        <v>2182</v>
      </c>
      <c r="K528" s="192" t="s">
        <v>63</v>
      </c>
      <c r="L528" s="192" t="s">
        <v>81</v>
      </c>
      <c r="M528" s="146" t="s">
        <v>5</v>
      </c>
      <c r="N528" s="192" t="s">
        <v>715</v>
      </c>
      <c r="O528" s="192" t="s">
        <v>86</v>
      </c>
      <c r="P528" s="192" t="s">
        <v>87</v>
      </c>
      <c r="Q528" s="145">
        <v>46090</v>
      </c>
      <c r="R528" s="145">
        <v>46095</v>
      </c>
      <c r="S528" s="192"/>
    </row>
    <row r="529" spans="1:19" ht="180" customHeight="1" x14ac:dyDescent="0.25">
      <c r="A529" s="197" t="str">
        <f t="shared" si="14"/>
        <v>INC20260309528</v>
      </c>
      <c r="B529" s="193">
        <v>46090.915972222203</v>
      </c>
      <c r="C529" s="192" t="s">
        <v>77</v>
      </c>
      <c r="D529" s="194" t="s">
        <v>78</v>
      </c>
      <c r="E529" s="192" t="s">
        <v>69</v>
      </c>
      <c r="F529" s="192" t="s">
        <v>40</v>
      </c>
      <c r="G529" s="192" t="s">
        <v>60</v>
      </c>
      <c r="H529" s="192" t="s">
        <v>79</v>
      </c>
      <c r="I529" s="192" t="s">
        <v>84</v>
      </c>
      <c r="J529" s="121" t="s">
        <v>2183</v>
      </c>
      <c r="K529" s="192" t="s">
        <v>63</v>
      </c>
      <c r="L529" s="192" t="s">
        <v>81</v>
      </c>
      <c r="M529" s="146" t="s">
        <v>5</v>
      </c>
      <c r="N529" s="192" t="s">
        <v>716</v>
      </c>
      <c r="O529" s="192" t="s">
        <v>86</v>
      </c>
      <c r="P529" s="192" t="s">
        <v>87</v>
      </c>
      <c r="Q529" s="145">
        <v>46090</v>
      </c>
      <c r="R529" s="145">
        <v>46095</v>
      </c>
      <c r="S529" s="192"/>
    </row>
    <row r="530" spans="1:19" ht="211.95" customHeight="1" x14ac:dyDescent="0.25">
      <c r="A530" s="197" t="str">
        <f t="shared" si="14"/>
        <v>INC20260309529</v>
      </c>
      <c r="B530" s="193">
        <v>46090.9506944444</v>
      </c>
      <c r="C530" s="192" t="s">
        <v>77</v>
      </c>
      <c r="D530" s="194" t="s">
        <v>78</v>
      </c>
      <c r="E530" s="192" t="s">
        <v>69</v>
      </c>
      <c r="F530" s="192" t="s">
        <v>40</v>
      </c>
      <c r="G530" s="192" t="s">
        <v>60</v>
      </c>
      <c r="H530" s="192" t="s">
        <v>79</v>
      </c>
      <c r="I530" s="192" t="s">
        <v>84</v>
      </c>
      <c r="J530" s="121" t="s">
        <v>2184</v>
      </c>
      <c r="K530" s="192" t="s">
        <v>63</v>
      </c>
      <c r="L530" s="192" t="s">
        <v>81</v>
      </c>
      <c r="M530" s="146" t="s">
        <v>5</v>
      </c>
      <c r="N530" s="192" t="s">
        <v>717</v>
      </c>
      <c r="O530" s="192" t="s">
        <v>86</v>
      </c>
      <c r="P530" s="192" t="s">
        <v>87</v>
      </c>
      <c r="Q530" s="145">
        <v>46090</v>
      </c>
      <c r="R530" s="145">
        <v>46095</v>
      </c>
      <c r="S530" s="192"/>
    </row>
    <row r="531" spans="1:19" ht="202.05" customHeight="1" x14ac:dyDescent="0.25">
      <c r="A531" s="197" t="str">
        <f t="shared" si="14"/>
        <v>INC20260310530</v>
      </c>
      <c r="B531" s="193">
        <v>46091.152777777803</v>
      </c>
      <c r="C531" s="192" t="s">
        <v>77</v>
      </c>
      <c r="D531" s="194" t="s">
        <v>78</v>
      </c>
      <c r="E531" s="192" t="s">
        <v>225</v>
      </c>
      <c r="F531" s="192" t="s">
        <v>40</v>
      </c>
      <c r="G531" s="192" t="s">
        <v>60</v>
      </c>
      <c r="H531" s="192" t="s">
        <v>79</v>
      </c>
      <c r="I531" s="192" t="s">
        <v>80</v>
      </c>
      <c r="J531" s="121" t="s">
        <v>1710</v>
      </c>
      <c r="K531" s="192" t="s">
        <v>63</v>
      </c>
      <c r="L531" s="192" t="s">
        <v>81</v>
      </c>
      <c r="M531" s="146" t="s">
        <v>5</v>
      </c>
      <c r="N531" s="192" t="s">
        <v>718</v>
      </c>
      <c r="O531" s="197" t="s">
        <v>83</v>
      </c>
      <c r="P531" s="197" t="s">
        <v>1366</v>
      </c>
      <c r="Q531" s="145">
        <v>46091</v>
      </c>
      <c r="R531" s="145">
        <v>46095</v>
      </c>
      <c r="S531" s="192"/>
    </row>
    <row r="532" spans="1:19" ht="223.95" customHeight="1" x14ac:dyDescent="0.25">
      <c r="A532" s="197" t="str">
        <f t="shared" si="14"/>
        <v>INC20260310531</v>
      </c>
      <c r="B532" s="193">
        <v>46091.2993055556</v>
      </c>
      <c r="C532" s="192" t="s">
        <v>77</v>
      </c>
      <c r="D532" s="194" t="s">
        <v>78</v>
      </c>
      <c r="E532" s="192" t="s">
        <v>116</v>
      </c>
      <c r="F532" s="192" t="s">
        <v>40</v>
      </c>
      <c r="G532" s="192" t="s">
        <v>60</v>
      </c>
      <c r="H532" s="192" t="s">
        <v>79</v>
      </c>
      <c r="I532" s="192" t="s">
        <v>84</v>
      </c>
      <c r="J532" s="121" t="s">
        <v>2185</v>
      </c>
      <c r="K532" s="192" t="s">
        <v>63</v>
      </c>
      <c r="L532" s="192" t="s">
        <v>81</v>
      </c>
      <c r="M532" s="146" t="s">
        <v>5</v>
      </c>
      <c r="N532" s="192" t="s">
        <v>719</v>
      </c>
      <c r="O532" s="192" t="s">
        <v>86</v>
      </c>
      <c r="P532" s="192" t="s">
        <v>87</v>
      </c>
      <c r="Q532" s="145">
        <v>46091</v>
      </c>
      <c r="R532" s="145">
        <v>46095</v>
      </c>
      <c r="S532" s="192"/>
    </row>
    <row r="533" spans="1:19" ht="199.05" customHeight="1" x14ac:dyDescent="0.25">
      <c r="A533" s="197" t="str">
        <f t="shared" si="14"/>
        <v>INC20260310532</v>
      </c>
      <c r="B533" s="193">
        <v>46091.469444444403</v>
      </c>
      <c r="C533" s="192" t="s">
        <v>77</v>
      </c>
      <c r="D533" s="194" t="s">
        <v>78</v>
      </c>
      <c r="E533" s="192" t="s">
        <v>69</v>
      </c>
      <c r="F533" s="192" t="s">
        <v>40</v>
      </c>
      <c r="G533" s="192" t="s">
        <v>60</v>
      </c>
      <c r="H533" s="192" t="s">
        <v>79</v>
      </c>
      <c r="I533" s="192" t="s">
        <v>84</v>
      </c>
      <c r="J533" s="121" t="s">
        <v>2186</v>
      </c>
      <c r="K533" s="192" t="s">
        <v>63</v>
      </c>
      <c r="L533" s="192" t="s">
        <v>81</v>
      </c>
      <c r="M533" s="146" t="s">
        <v>5</v>
      </c>
      <c r="N533" s="192" t="s">
        <v>720</v>
      </c>
      <c r="O533" s="192" t="s">
        <v>86</v>
      </c>
      <c r="P533" s="192" t="s">
        <v>87</v>
      </c>
      <c r="Q533" s="145">
        <v>46091</v>
      </c>
      <c r="R533" s="145">
        <v>46095</v>
      </c>
      <c r="S533" s="192"/>
    </row>
    <row r="534" spans="1:19" ht="208.05" customHeight="1" x14ac:dyDescent="0.25">
      <c r="A534" s="197" t="str">
        <f t="shared" si="14"/>
        <v>INC20260310533</v>
      </c>
      <c r="B534" s="193">
        <v>46091.565277777801</v>
      </c>
      <c r="C534" s="192" t="s">
        <v>77</v>
      </c>
      <c r="D534" s="194" t="s">
        <v>78</v>
      </c>
      <c r="E534" s="192" t="s">
        <v>69</v>
      </c>
      <c r="F534" s="192" t="s">
        <v>40</v>
      </c>
      <c r="G534" s="192" t="s">
        <v>60</v>
      </c>
      <c r="H534" s="192" t="s">
        <v>79</v>
      </c>
      <c r="I534" s="192" t="s">
        <v>84</v>
      </c>
      <c r="J534" s="121" t="s">
        <v>2187</v>
      </c>
      <c r="K534" s="192" t="s">
        <v>63</v>
      </c>
      <c r="L534" s="192" t="s">
        <v>81</v>
      </c>
      <c r="M534" s="146" t="s">
        <v>5</v>
      </c>
      <c r="N534" s="192" t="s">
        <v>721</v>
      </c>
      <c r="O534" s="192" t="s">
        <v>86</v>
      </c>
      <c r="P534" s="192" t="s">
        <v>87</v>
      </c>
      <c r="Q534" s="145">
        <v>46091</v>
      </c>
      <c r="R534" s="145">
        <v>46095</v>
      </c>
      <c r="S534" s="192"/>
    </row>
    <row r="535" spans="1:19" ht="202.95" customHeight="1" x14ac:dyDescent="0.25">
      <c r="A535" s="197" t="str">
        <f t="shared" si="14"/>
        <v>INC20260310534</v>
      </c>
      <c r="B535" s="193">
        <v>46091.757638888899</v>
      </c>
      <c r="C535" s="192" t="s">
        <v>77</v>
      </c>
      <c r="D535" s="194" t="s">
        <v>78</v>
      </c>
      <c r="E535" s="192" t="s">
        <v>58</v>
      </c>
      <c r="F535" s="192" t="s">
        <v>40</v>
      </c>
      <c r="G535" s="192" t="s">
        <v>60</v>
      </c>
      <c r="H535" s="192" t="s">
        <v>79</v>
      </c>
      <c r="I535" s="192" t="s">
        <v>84</v>
      </c>
      <c r="J535" s="121" t="s">
        <v>2188</v>
      </c>
      <c r="K535" s="192" t="s">
        <v>63</v>
      </c>
      <c r="L535" s="192" t="s">
        <v>81</v>
      </c>
      <c r="M535" s="146" t="s">
        <v>5</v>
      </c>
      <c r="N535" s="192" t="s">
        <v>722</v>
      </c>
      <c r="O535" s="192" t="s">
        <v>86</v>
      </c>
      <c r="P535" s="192" t="s">
        <v>87</v>
      </c>
      <c r="Q535" s="145">
        <v>46091</v>
      </c>
      <c r="R535" s="145">
        <v>46095</v>
      </c>
      <c r="S535" s="192"/>
    </row>
    <row r="536" spans="1:19" ht="199.05" customHeight="1" x14ac:dyDescent="0.25">
      <c r="A536" s="197" t="str">
        <f t="shared" si="14"/>
        <v>INC20260310535</v>
      </c>
      <c r="B536" s="193">
        <v>46091.681944444397</v>
      </c>
      <c r="C536" s="192" t="s">
        <v>77</v>
      </c>
      <c r="D536" s="194" t="s">
        <v>78</v>
      </c>
      <c r="E536" s="192" t="s">
        <v>58</v>
      </c>
      <c r="F536" s="192" t="s">
        <v>40</v>
      </c>
      <c r="G536" s="192" t="s">
        <v>60</v>
      </c>
      <c r="H536" s="192" t="s">
        <v>79</v>
      </c>
      <c r="I536" s="192" t="s">
        <v>84</v>
      </c>
      <c r="J536" s="121" t="s">
        <v>2189</v>
      </c>
      <c r="K536" s="192" t="s">
        <v>723</v>
      </c>
      <c r="L536" s="192" t="s">
        <v>81</v>
      </c>
      <c r="M536" s="146" t="s">
        <v>5</v>
      </c>
      <c r="N536" s="192" t="s">
        <v>724</v>
      </c>
      <c r="O536" s="192" t="s">
        <v>86</v>
      </c>
      <c r="P536" s="192" t="s">
        <v>87</v>
      </c>
      <c r="Q536" s="145">
        <v>46091</v>
      </c>
      <c r="R536" s="145">
        <v>46095</v>
      </c>
      <c r="S536" s="192"/>
    </row>
    <row r="537" spans="1:19" ht="184.05" customHeight="1" x14ac:dyDescent="0.25">
      <c r="A537" s="197" t="str">
        <f t="shared" si="14"/>
        <v>INC20260310536</v>
      </c>
      <c r="B537" s="193">
        <v>46091.725694444402</v>
      </c>
      <c r="C537" s="192" t="s">
        <v>77</v>
      </c>
      <c r="D537" s="194" t="s">
        <v>78</v>
      </c>
      <c r="E537" s="192" t="s">
        <v>116</v>
      </c>
      <c r="F537" s="192" t="s">
        <v>40</v>
      </c>
      <c r="G537" s="192" t="s">
        <v>60</v>
      </c>
      <c r="H537" s="192" t="s">
        <v>79</v>
      </c>
      <c r="I537" s="192" t="s">
        <v>84</v>
      </c>
      <c r="J537" s="121" t="s">
        <v>2190</v>
      </c>
      <c r="K537" s="192" t="s">
        <v>723</v>
      </c>
      <c r="L537" s="192" t="s">
        <v>81</v>
      </c>
      <c r="M537" s="146" t="s">
        <v>5</v>
      </c>
      <c r="N537" s="192" t="s">
        <v>725</v>
      </c>
      <c r="O537" s="192" t="s">
        <v>86</v>
      </c>
      <c r="P537" s="192" t="s">
        <v>87</v>
      </c>
      <c r="Q537" s="145">
        <v>46091</v>
      </c>
      <c r="R537" s="145">
        <v>46095</v>
      </c>
      <c r="S537" s="192"/>
    </row>
    <row r="538" spans="1:19" ht="204" customHeight="1" x14ac:dyDescent="0.25">
      <c r="A538" s="197" t="str">
        <f t="shared" si="14"/>
        <v>INC20260311537</v>
      </c>
      <c r="B538" s="193">
        <v>46092.373611111099</v>
      </c>
      <c r="C538" s="192" t="s">
        <v>77</v>
      </c>
      <c r="D538" s="194" t="s">
        <v>78</v>
      </c>
      <c r="E538" s="192" t="s">
        <v>116</v>
      </c>
      <c r="F538" s="192" t="s">
        <v>40</v>
      </c>
      <c r="G538" s="192" t="s">
        <v>60</v>
      </c>
      <c r="H538" s="192" t="s">
        <v>79</v>
      </c>
      <c r="I538" s="192" t="s">
        <v>80</v>
      </c>
      <c r="J538" s="121" t="s">
        <v>2191</v>
      </c>
      <c r="K538" s="192" t="s">
        <v>63</v>
      </c>
      <c r="L538" s="192" t="s">
        <v>81</v>
      </c>
      <c r="M538" s="146" t="s">
        <v>5</v>
      </c>
      <c r="N538" s="192" t="s">
        <v>726</v>
      </c>
      <c r="O538" s="197" t="s">
        <v>83</v>
      </c>
      <c r="P538" s="197" t="s">
        <v>1366</v>
      </c>
      <c r="Q538" s="145">
        <v>46092</v>
      </c>
      <c r="R538" s="145">
        <v>46095</v>
      </c>
      <c r="S538" s="192"/>
    </row>
    <row r="539" spans="1:19" ht="208.95" customHeight="1" x14ac:dyDescent="0.25">
      <c r="A539" s="197" t="str">
        <f t="shared" si="14"/>
        <v>INC20260311538</v>
      </c>
      <c r="B539" s="199">
        <v>46092.399305555598</v>
      </c>
      <c r="C539" s="192" t="s">
        <v>37</v>
      </c>
      <c r="D539" s="194" t="s">
        <v>38</v>
      </c>
      <c r="E539" s="192" t="s">
        <v>39</v>
      </c>
      <c r="F539" s="192" t="s">
        <v>40</v>
      </c>
      <c r="G539" s="192" t="s">
        <v>41</v>
      </c>
      <c r="H539" s="192" t="s">
        <v>42</v>
      </c>
      <c r="I539" s="192" t="s">
        <v>43</v>
      </c>
      <c r="J539" s="195" t="s">
        <v>2192</v>
      </c>
      <c r="K539" s="192" t="s">
        <v>44</v>
      </c>
      <c r="L539" s="192" t="s">
        <v>45</v>
      </c>
      <c r="M539" s="143" t="s">
        <v>5</v>
      </c>
      <c r="N539" s="198" t="s">
        <v>727</v>
      </c>
      <c r="O539" s="192"/>
      <c r="P539" s="144" t="s">
        <v>47</v>
      </c>
      <c r="Q539" s="145">
        <v>46092</v>
      </c>
      <c r="R539" s="145">
        <v>46095</v>
      </c>
      <c r="S539" s="192"/>
    </row>
    <row r="540" spans="1:19" ht="210" customHeight="1" x14ac:dyDescent="0.25">
      <c r="A540" s="197" t="str">
        <f t="shared" si="14"/>
        <v>INC20260311539</v>
      </c>
      <c r="B540" s="199">
        <v>46092.6381944444</v>
      </c>
      <c r="C540" s="192" t="s">
        <v>37</v>
      </c>
      <c r="D540" s="194" t="s">
        <v>57</v>
      </c>
      <c r="E540" s="192" t="s">
        <v>696</v>
      </c>
      <c r="F540" s="192" t="s">
        <v>59</v>
      </c>
      <c r="G540" s="192" t="s">
        <v>60</v>
      </c>
      <c r="H540" s="192" t="s">
        <v>61</v>
      </c>
      <c r="I540" s="192" t="s">
        <v>62</v>
      </c>
      <c r="J540" s="121" t="s">
        <v>2193</v>
      </c>
      <c r="K540" s="192" t="s">
        <v>63</v>
      </c>
      <c r="L540" s="192" t="s">
        <v>81</v>
      </c>
      <c r="M540" s="146" t="s">
        <v>5</v>
      </c>
      <c r="N540" s="192" t="s">
        <v>695</v>
      </c>
      <c r="O540" s="192" t="s">
        <v>66</v>
      </c>
      <c r="P540" s="192" t="s">
        <v>67</v>
      </c>
      <c r="Q540" s="145"/>
      <c r="R540" s="145">
        <v>46095</v>
      </c>
      <c r="S540" s="192"/>
    </row>
    <row r="541" spans="1:19" ht="180" customHeight="1" x14ac:dyDescent="0.25">
      <c r="A541" s="197" t="str">
        <f t="shared" si="14"/>
        <v>INC20260312540</v>
      </c>
      <c r="B541" s="199">
        <v>46093.317361111098</v>
      </c>
      <c r="C541" s="192" t="s">
        <v>37</v>
      </c>
      <c r="D541" s="194" t="s">
        <v>38</v>
      </c>
      <c r="E541" s="192" t="s">
        <v>39</v>
      </c>
      <c r="F541" s="192" t="s">
        <v>40</v>
      </c>
      <c r="G541" s="192" t="s">
        <v>41</v>
      </c>
      <c r="H541" s="192" t="s">
        <v>42</v>
      </c>
      <c r="I541" s="192" t="s">
        <v>43</v>
      </c>
      <c r="J541" s="195" t="s">
        <v>2194</v>
      </c>
      <c r="K541" s="192" t="s">
        <v>44</v>
      </c>
      <c r="L541" s="192" t="s">
        <v>45</v>
      </c>
      <c r="M541" s="143" t="s">
        <v>5</v>
      </c>
      <c r="N541" s="198" t="s">
        <v>728</v>
      </c>
      <c r="O541" s="192"/>
      <c r="P541" s="144" t="s">
        <v>47</v>
      </c>
      <c r="Q541" s="145">
        <v>46094</v>
      </c>
      <c r="R541" s="145">
        <v>46095</v>
      </c>
      <c r="S541" s="192"/>
    </row>
    <row r="542" spans="1:19" ht="189" customHeight="1" x14ac:dyDescent="0.25">
      <c r="A542" s="197" t="str">
        <f t="shared" si="14"/>
        <v>INC20260312541</v>
      </c>
      <c r="B542" s="199">
        <v>46093.3305555556</v>
      </c>
      <c r="C542" s="192" t="s">
        <v>37</v>
      </c>
      <c r="D542" s="194" t="s">
        <v>729</v>
      </c>
      <c r="E542" s="192" t="s">
        <v>50</v>
      </c>
      <c r="F542" s="192" t="s">
        <v>40</v>
      </c>
      <c r="G542" s="192" t="s">
        <v>51</v>
      </c>
      <c r="H542" s="192" t="s">
        <v>92</v>
      </c>
      <c r="I542" s="192" t="s">
        <v>403</v>
      </c>
      <c r="J542" s="195" t="s">
        <v>2195</v>
      </c>
      <c r="K542" s="192" t="s">
        <v>54</v>
      </c>
      <c r="L542" s="192" t="s">
        <v>55</v>
      </c>
      <c r="M542" s="146" t="s">
        <v>5</v>
      </c>
      <c r="N542" s="192" t="s">
        <v>730</v>
      </c>
      <c r="O542" s="192"/>
      <c r="P542" s="192"/>
      <c r="Q542" s="145">
        <v>46093</v>
      </c>
      <c r="R542" s="145">
        <v>46095</v>
      </c>
      <c r="S542" s="192"/>
    </row>
    <row r="543" spans="1:19" ht="174" customHeight="1" x14ac:dyDescent="0.25">
      <c r="A543" s="197" t="str">
        <f t="shared" si="14"/>
        <v>INC20260312542</v>
      </c>
      <c r="B543" s="199">
        <v>46093.365277777797</v>
      </c>
      <c r="C543" s="192" t="s">
        <v>37</v>
      </c>
      <c r="D543" s="194" t="s">
        <v>57</v>
      </c>
      <c r="E543" s="192" t="s">
        <v>69</v>
      </c>
      <c r="F543" s="192" t="s">
        <v>59</v>
      </c>
      <c r="G543" s="192" t="s">
        <v>60</v>
      </c>
      <c r="H543" s="192" t="s">
        <v>61</v>
      </c>
      <c r="I543" s="192" t="s">
        <v>62</v>
      </c>
      <c r="J543" s="121" t="s">
        <v>2196</v>
      </c>
      <c r="K543" s="192" t="s">
        <v>63</v>
      </c>
      <c r="L543" s="192" t="s">
        <v>81</v>
      </c>
      <c r="M543" s="146" t="s">
        <v>5</v>
      </c>
      <c r="N543" s="192" t="s">
        <v>731</v>
      </c>
      <c r="O543" s="192" t="s">
        <v>66</v>
      </c>
      <c r="P543" s="192" t="s">
        <v>67</v>
      </c>
      <c r="Q543" s="145"/>
      <c r="R543" s="145">
        <v>46095</v>
      </c>
      <c r="S543" s="192"/>
    </row>
    <row r="544" spans="1:19" ht="178.05" customHeight="1" x14ac:dyDescent="0.25">
      <c r="A544" s="197" t="str">
        <f t="shared" si="14"/>
        <v>INC20260312543</v>
      </c>
      <c r="B544" s="199">
        <v>46093.459027777797</v>
      </c>
      <c r="C544" s="192" t="s">
        <v>37</v>
      </c>
      <c r="D544" s="194" t="s">
        <v>129</v>
      </c>
      <c r="E544" s="192" t="s">
        <v>50</v>
      </c>
      <c r="F544" s="192" t="s">
        <v>40</v>
      </c>
      <c r="G544" s="192" t="s">
        <v>51</v>
      </c>
      <c r="H544" s="192" t="s">
        <v>92</v>
      </c>
      <c r="I544" s="192" t="s">
        <v>93</v>
      </c>
      <c r="J544" s="195" t="s">
        <v>2197</v>
      </c>
      <c r="K544" s="192" t="s">
        <v>54</v>
      </c>
      <c r="L544" s="192" t="s">
        <v>55</v>
      </c>
      <c r="M544" s="146" t="s">
        <v>5</v>
      </c>
      <c r="N544" s="192" t="s">
        <v>732</v>
      </c>
      <c r="O544" s="192" t="s">
        <v>95</v>
      </c>
      <c r="P544" s="192" t="s">
        <v>96</v>
      </c>
      <c r="Q544" s="145">
        <v>46094</v>
      </c>
      <c r="R544" s="145">
        <v>46095</v>
      </c>
      <c r="S544" s="192"/>
    </row>
    <row r="545" spans="1:19" ht="160.94999999999999" customHeight="1" x14ac:dyDescent="0.25">
      <c r="A545" s="197" t="str">
        <f t="shared" si="14"/>
        <v>INC20260308544</v>
      </c>
      <c r="B545" s="199">
        <v>46089.927083333299</v>
      </c>
      <c r="C545" s="192" t="s">
        <v>77</v>
      </c>
      <c r="D545" s="194" t="s">
        <v>78</v>
      </c>
      <c r="E545" s="192" t="s">
        <v>74</v>
      </c>
      <c r="F545" s="192" t="s">
        <v>40</v>
      </c>
      <c r="G545" s="192" t="s">
        <v>60</v>
      </c>
      <c r="H545" s="192" t="s">
        <v>79</v>
      </c>
      <c r="I545" s="192" t="s">
        <v>80</v>
      </c>
      <c r="J545" s="121" t="s">
        <v>2198</v>
      </c>
      <c r="K545" s="192" t="s">
        <v>63</v>
      </c>
      <c r="L545" s="192" t="s">
        <v>81</v>
      </c>
      <c r="M545" s="146" t="s">
        <v>5</v>
      </c>
      <c r="N545" s="192" t="s">
        <v>733</v>
      </c>
      <c r="O545" s="197" t="s">
        <v>83</v>
      </c>
      <c r="P545" s="197" t="s">
        <v>1366</v>
      </c>
      <c r="Q545" s="145">
        <v>46092</v>
      </c>
      <c r="R545" s="145">
        <v>46095</v>
      </c>
      <c r="S545" s="192"/>
    </row>
    <row r="546" spans="1:19" ht="174" customHeight="1" x14ac:dyDescent="0.25">
      <c r="A546" s="197" t="str">
        <f t="shared" si="14"/>
        <v>INC20260309545</v>
      </c>
      <c r="B546" s="199">
        <v>46090.101388888899</v>
      </c>
      <c r="C546" s="192" t="s">
        <v>77</v>
      </c>
      <c r="D546" s="194" t="s">
        <v>78</v>
      </c>
      <c r="E546" s="192" t="s">
        <v>58</v>
      </c>
      <c r="F546" s="192" t="s">
        <v>40</v>
      </c>
      <c r="G546" s="192" t="s">
        <v>60</v>
      </c>
      <c r="H546" s="192" t="s">
        <v>79</v>
      </c>
      <c r="I546" s="192" t="s">
        <v>80</v>
      </c>
      <c r="J546" s="121" t="s">
        <v>2199</v>
      </c>
      <c r="K546" s="192" t="s">
        <v>63</v>
      </c>
      <c r="L546" s="192" t="s">
        <v>81</v>
      </c>
      <c r="M546" s="146" t="s">
        <v>5</v>
      </c>
      <c r="N546" s="192" t="s">
        <v>734</v>
      </c>
      <c r="O546" s="197" t="s">
        <v>83</v>
      </c>
      <c r="P546" s="197" t="s">
        <v>1366</v>
      </c>
      <c r="Q546" s="145">
        <v>46092</v>
      </c>
      <c r="R546" s="145">
        <v>46095</v>
      </c>
      <c r="S546" s="192"/>
    </row>
    <row r="547" spans="1:19" ht="190.95" customHeight="1" x14ac:dyDescent="0.25">
      <c r="A547" s="197" t="str">
        <f t="shared" si="14"/>
        <v>INC20260309546</v>
      </c>
      <c r="B547" s="199">
        <v>46090.184027777803</v>
      </c>
      <c r="C547" s="192" t="s">
        <v>77</v>
      </c>
      <c r="D547" s="194" t="s">
        <v>78</v>
      </c>
      <c r="E547" s="192" t="s">
        <v>58</v>
      </c>
      <c r="F547" s="192" t="s">
        <v>40</v>
      </c>
      <c r="G547" s="192" t="s">
        <v>60</v>
      </c>
      <c r="H547" s="192" t="s">
        <v>79</v>
      </c>
      <c r="I547" s="192" t="s">
        <v>80</v>
      </c>
      <c r="J547" s="121" t="s">
        <v>2200</v>
      </c>
      <c r="K547" s="192" t="s">
        <v>63</v>
      </c>
      <c r="L547" s="192" t="s">
        <v>81</v>
      </c>
      <c r="M547" s="146" t="s">
        <v>5</v>
      </c>
      <c r="N547" s="192" t="s">
        <v>735</v>
      </c>
      <c r="O547" s="197" t="s">
        <v>83</v>
      </c>
      <c r="P547" s="197" t="s">
        <v>1366</v>
      </c>
      <c r="Q547" s="145">
        <v>46092</v>
      </c>
      <c r="R547" s="145">
        <v>46095</v>
      </c>
      <c r="S547" s="192"/>
    </row>
    <row r="548" spans="1:19" ht="186" customHeight="1" x14ac:dyDescent="0.25">
      <c r="A548" s="197" t="str">
        <f t="shared" si="14"/>
        <v>INC20260309547</v>
      </c>
      <c r="B548" s="199">
        <v>46090.5</v>
      </c>
      <c r="C548" s="192" t="s">
        <v>77</v>
      </c>
      <c r="D548" s="194" t="s">
        <v>78</v>
      </c>
      <c r="E548" s="192" t="s">
        <v>116</v>
      </c>
      <c r="F548" s="192" t="s">
        <v>40</v>
      </c>
      <c r="G548" s="192" t="s">
        <v>60</v>
      </c>
      <c r="H548" s="192" t="s">
        <v>79</v>
      </c>
      <c r="I548" s="192" t="s">
        <v>84</v>
      </c>
      <c r="J548" s="121" t="s">
        <v>2201</v>
      </c>
      <c r="K548" s="192" t="s">
        <v>723</v>
      </c>
      <c r="L548" s="192" t="s">
        <v>81</v>
      </c>
      <c r="M548" s="146" t="s">
        <v>5</v>
      </c>
      <c r="N548" s="192" t="s">
        <v>736</v>
      </c>
      <c r="O548" s="192" t="s">
        <v>86</v>
      </c>
      <c r="P548" s="192" t="s">
        <v>87</v>
      </c>
      <c r="Q548" s="145">
        <v>46091</v>
      </c>
      <c r="R548" s="145">
        <v>46095</v>
      </c>
      <c r="S548" s="192"/>
    </row>
    <row r="549" spans="1:19" ht="169.95" customHeight="1" x14ac:dyDescent="0.25">
      <c r="A549" s="197" t="str">
        <f t="shared" si="14"/>
        <v>INC20260309548</v>
      </c>
      <c r="B549" s="199">
        <v>46090.5625</v>
      </c>
      <c r="C549" s="192" t="s">
        <v>77</v>
      </c>
      <c r="D549" s="194" t="s">
        <v>78</v>
      </c>
      <c r="E549" s="192" t="s">
        <v>116</v>
      </c>
      <c r="F549" s="192" t="s">
        <v>40</v>
      </c>
      <c r="G549" s="192" t="s">
        <v>60</v>
      </c>
      <c r="H549" s="192" t="s">
        <v>79</v>
      </c>
      <c r="I549" s="192" t="s">
        <v>84</v>
      </c>
      <c r="J549" s="121" t="s">
        <v>2202</v>
      </c>
      <c r="K549" s="192" t="s">
        <v>723</v>
      </c>
      <c r="L549" s="192" t="s">
        <v>81</v>
      </c>
      <c r="M549" s="146" t="s">
        <v>5</v>
      </c>
      <c r="N549" s="192" t="s">
        <v>737</v>
      </c>
      <c r="O549" s="192" t="s">
        <v>86</v>
      </c>
      <c r="P549" s="192" t="s">
        <v>87</v>
      </c>
      <c r="Q549" s="145">
        <v>46092</v>
      </c>
      <c r="R549" s="145">
        <v>46095</v>
      </c>
      <c r="S549" s="192"/>
    </row>
    <row r="550" spans="1:19" ht="184.05" customHeight="1" x14ac:dyDescent="0.25">
      <c r="A550" s="197" t="str">
        <f t="shared" si="14"/>
        <v>INC20260311549</v>
      </c>
      <c r="B550" s="193">
        <v>46092.373611111099</v>
      </c>
      <c r="C550" s="192" t="s">
        <v>77</v>
      </c>
      <c r="D550" s="194" t="s">
        <v>78</v>
      </c>
      <c r="E550" s="192" t="s">
        <v>116</v>
      </c>
      <c r="F550" s="192" t="s">
        <v>40</v>
      </c>
      <c r="G550" s="192" t="s">
        <v>60</v>
      </c>
      <c r="H550" s="192" t="s">
        <v>79</v>
      </c>
      <c r="I550" s="192" t="s">
        <v>80</v>
      </c>
      <c r="J550" s="121" t="s">
        <v>2191</v>
      </c>
      <c r="K550" s="192" t="s">
        <v>63</v>
      </c>
      <c r="L550" s="192" t="s">
        <v>81</v>
      </c>
      <c r="M550" s="146" t="s">
        <v>5</v>
      </c>
      <c r="N550" s="192" t="s">
        <v>726</v>
      </c>
      <c r="O550" s="197" t="s">
        <v>83</v>
      </c>
      <c r="P550" s="197" t="s">
        <v>1366</v>
      </c>
      <c r="Q550" s="145">
        <v>46092</v>
      </c>
      <c r="R550" s="145">
        <v>46095</v>
      </c>
      <c r="S550" s="192"/>
    </row>
    <row r="551" spans="1:19" ht="187.95" customHeight="1" x14ac:dyDescent="0.25">
      <c r="A551" s="197" t="str">
        <f t="shared" si="14"/>
        <v>INC20260311550</v>
      </c>
      <c r="B551" s="193">
        <v>46092.386805555601</v>
      </c>
      <c r="C551" s="192" t="s">
        <v>77</v>
      </c>
      <c r="D551" s="194" t="s">
        <v>78</v>
      </c>
      <c r="E551" s="192" t="s">
        <v>74</v>
      </c>
      <c r="F551" s="192" t="s">
        <v>40</v>
      </c>
      <c r="G551" s="192" t="s">
        <v>60</v>
      </c>
      <c r="H551" s="192" t="s">
        <v>79</v>
      </c>
      <c r="I551" s="192" t="s">
        <v>80</v>
      </c>
      <c r="J551" s="121" t="s">
        <v>2203</v>
      </c>
      <c r="K551" s="192" t="s">
        <v>63</v>
      </c>
      <c r="L551" s="192" t="s">
        <v>81</v>
      </c>
      <c r="M551" s="146" t="s">
        <v>5</v>
      </c>
      <c r="N551" s="192" t="s">
        <v>738</v>
      </c>
      <c r="O551" s="197" t="s">
        <v>83</v>
      </c>
      <c r="P551" s="197" t="s">
        <v>1366</v>
      </c>
      <c r="Q551" s="145">
        <v>46092</v>
      </c>
      <c r="R551" s="145">
        <v>46095</v>
      </c>
      <c r="S551" s="192"/>
    </row>
    <row r="552" spans="1:19" ht="196.05" customHeight="1" x14ac:dyDescent="0.25">
      <c r="A552" s="197" t="str">
        <f t="shared" si="14"/>
        <v>INC20260311551</v>
      </c>
      <c r="B552" s="193">
        <v>46092.488888888904</v>
      </c>
      <c r="C552" s="192" t="s">
        <v>77</v>
      </c>
      <c r="D552" s="194" t="s">
        <v>78</v>
      </c>
      <c r="E552" s="192" t="s">
        <v>58</v>
      </c>
      <c r="F552" s="192" t="s">
        <v>40</v>
      </c>
      <c r="G552" s="192" t="s">
        <v>60</v>
      </c>
      <c r="H552" s="192" t="s">
        <v>79</v>
      </c>
      <c r="I552" s="192" t="s">
        <v>80</v>
      </c>
      <c r="J552" s="121" t="s">
        <v>2204</v>
      </c>
      <c r="K552" s="192" t="s">
        <v>63</v>
      </c>
      <c r="L552" s="192" t="s">
        <v>81</v>
      </c>
      <c r="M552" s="146" t="s">
        <v>5</v>
      </c>
      <c r="N552" s="192" t="s">
        <v>739</v>
      </c>
      <c r="O552" s="197" t="s">
        <v>83</v>
      </c>
      <c r="P552" s="197" t="s">
        <v>1366</v>
      </c>
      <c r="Q552" s="145">
        <v>46092</v>
      </c>
      <c r="R552" s="145">
        <v>46095</v>
      </c>
      <c r="S552" s="192"/>
    </row>
    <row r="553" spans="1:19" ht="210" customHeight="1" x14ac:dyDescent="0.25">
      <c r="A553" s="197" t="str">
        <f t="shared" si="14"/>
        <v>INC20260311552</v>
      </c>
      <c r="B553" s="193">
        <v>46092.4777777778</v>
      </c>
      <c r="C553" s="192" t="s">
        <v>77</v>
      </c>
      <c r="D553" s="194" t="s">
        <v>78</v>
      </c>
      <c r="E553" s="192" t="s">
        <v>116</v>
      </c>
      <c r="F553" s="192" t="s">
        <v>40</v>
      </c>
      <c r="G553" s="192" t="s">
        <v>60</v>
      </c>
      <c r="H553" s="192" t="s">
        <v>79</v>
      </c>
      <c r="I553" s="192" t="s">
        <v>80</v>
      </c>
      <c r="J553" s="121" t="s">
        <v>2205</v>
      </c>
      <c r="K553" s="192" t="s">
        <v>107</v>
      </c>
      <c r="L553" s="192" t="s">
        <v>81</v>
      </c>
      <c r="M553" s="146" t="s">
        <v>5</v>
      </c>
      <c r="N553" s="192" t="s">
        <v>740</v>
      </c>
      <c r="O553" s="197" t="s">
        <v>83</v>
      </c>
      <c r="P553" s="197" t="s">
        <v>1366</v>
      </c>
      <c r="Q553" s="145">
        <v>46092</v>
      </c>
      <c r="R553" s="145">
        <v>46095</v>
      </c>
      <c r="S553" s="192"/>
    </row>
    <row r="554" spans="1:19" ht="199.95" customHeight="1" x14ac:dyDescent="0.25">
      <c r="A554" s="197" t="str">
        <f t="shared" si="14"/>
        <v>INC20260312553</v>
      </c>
      <c r="B554" s="193">
        <v>46093.033333333296</v>
      </c>
      <c r="C554" s="192" t="s">
        <v>77</v>
      </c>
      <c r="D554" s="194" t="s">
        <v>78</v>
      </c>
      <c r="E554" s="192" t="s">
        <v>58</v>
      </c>
      <c r="F554" s="192" t="s">
        <v>40</v>
      </c>
      <c r="G554" s="192" t="s">
        <v>60</v>
      </c>
      <c r="H554" s="192" t="s">
        <v>79</v>
      </c>
      <c r="I554" s="192" t="s">
        <v>84</v>
      </c>
      <c r="J554" s="121" t="s">
        <v>2206</v>
      </c>
      <c r="K554" s="192" t="s">
        <v>63</v>
      </c>
      <c r="L554" s="192" t="s">
        <v>81</v>
      </c>
      <c r="M554" s="146" t="s">
        <v>5</v>
      </c>
      <c r="N554" s="192" t="s">
        <v>741</v>
      </c>
      <c r="O554" s="192" t="s">
        <v>86</v>
      </c>
      <c r="P554" s="192" t="s">
        <v>87</v>
      </c>
      <c r="Q554" s="145">
        <v>46093</v>
      </c>
      <c r="R554" s="145">
        <v>46095</v>
      </c>
      <c r="S554" s="192"/>
    </row>
    <row r="555" spans="1:19" ht="199.95" customHeight="1" x14ac:dyDescent="0.25">
      <c r="A555" s="197" t="str">
        <f t="shared" si="14"/>
        <v>INC20260312554</v>
      </c>
      <c r="B555" s="193">
        <v>46093.438888888901</v>
      </c>
      <c r="C555" s="192" t="s">
        <v>77</v>
      </c>
      <c r="D555" s="194" t="s">
        <v>78</v>
      </c>
      <c r="E555" s="192" t="s">
        <v>742</v>
      </c>
      <c r="F555" s="192" t="s">
        <v>40</v>
      </c>
      <c r="G555" s="192" t="s">
        <v>60</v>
      </c>
      <c r="H555" s="192" t="s">
        <v>79</v>
      </c>
      <c r="I555" s="192" t="s">
        <v>84</v>
      </c>
      <c r="J555" s="121" t="s">
        <v>2207</v>
      </c>
      <c r="K555" s="192" t="s">
        <v>151</v>
      </c>
      <c r="L555" s="192" t="s">
        <v>81</v>
      </c>
      <c r="M555" s="146" t="s">
        <v>5</v>
      </c>
      <c r="N555" s="192" t="s">
        <v>743</v>
      </c>
      <c r="O555" s="192" t="s">
        <v>86</v>
      </c>
      <c r="P555" s="192" t="s">
        <v>87</v>
      </c>
      <c r="Q555" s="145">
        <v>45728</v>
      </c>
      <c r="R555" s="145">
        <v>46095</v>
      </c>
      <c r="S555" s="192"/>
    </row>
    <row r="556" spans="1:19" ht="196.95" customHeight="1" x14ac:dyDescent="0.25">
      <c r="A556" s="197" t="str">
        <f t="shared" si="14"/>
        <v>INC20260312555</v>
      </c>
      <c r="B556" s="193">
        <v>46093.443055555603</v>
      </c>
      <c r="C556" s="192" t="s">
        <v>77</v>
      </c>
      <c r="D556" s="194" t="s">
        <v>78</v>
      </c>
      <c r="E556" s="192" t="s">
        <v>712</v>
      </c>
      <c r="F556" s="192" t="s">
        <v>40</v>
      </c>
      <c r="G556" s="192" t="s">
        <v>60</v>
      </c>
      <c r="H556" s="192" t="s">
        <v>79</v>
      </c>
      <c r="I556" s="192" t="s">
        <v>84</v>
      </c>
      <c r="J556" s="121" t="s">
        <v>2208</v>
      </c>
      <c r="K556" s="192" t="s">
        <v>110</v>
      </c>
      <c r="L556" s="192" t="s">
        <v>81</v>
      </c>
      <c r="M556" s="146" t="s">
        <v>5</v>
      </c>
      <c r="N556" s="192" t="s">
        <v>744</v>
      </c>
      <c r="O556" s="192" t="s">
        <v>86</v>
      </c>
      <c r="P556" s="192" t="s">
        <v>87</v>
      </c>
      <c r="Q556" s="145">
        <v>46093</v>
      </c>
      <c r="R556" s="145">
        <v>46095</v>
      </c>
      <c r="S556" s="192"/>
    </row>
    <row r="557" spans="1:19" ht="235.05" customHeight="1" x14ac:dyDescent="0.25">
      <c r="A557" s="197" t="str">
        <f t="shared" si="14"/>
        <v>INC20260312556</v>
      </c>
      <c r="B557" s="193">
        <v>46093.470138888901</v>
      </c>
      <c r="C557" s="192" t="s">
        <v>77</v>
      </c>
      <c r="D557" s="194" t="s">
        <v>78</v>
      </c>
      <c r="E557" s="192" t="s">
        <v>69</v>
      </c>
      <c r="F557" s="192" t="s">
        <v>40</v>
      </c>
      <c r="G557" s="192" t="s">
        <v>60</v>
      </c>
      <c r="H557" s="192" t="s">
        <v>79</v>
      </c>
      <c r="I557" s="192" t="s">
        <v>84</v>
      </c>
      <c r="J557" s="121" t="s">
        <v>2209</v>
      </c>
      <c r="K557" s="192" t="s">
        <v>107</v>
      </c>
      <c r="L557" s="192" t="s">
        <v>81</v>
      </c>
      <c r="M557" s="146" t="s">
        <v>5</v>
      </c>
      <c r="N557" s="192" t="s">
        <v>745</v>
      </c>
      <c r="O557" s="192" t="s">
        <v>86</v>
      </c>
      <c r="P557" s="192" t="s">
        <v>87</v>
      </c>
      <c r="Q557" s="145">
        <v>46093</v>
      </c>
      <c r="R557" s="145">
        <v>46095</v>
      </c>
      <c r="S557" s="192"/>
    </row>
    <row r="558" spans="1:19" ht="189" customHeight="1" x14ac:dyDescent="0.25">
      <c r="A558" s="197" t="str">
        <f t="shared" si="14"/>
        <v>INC20260312557</v>
      </c>
      <c r="B558" s="193">
        <v>46093.474305555603</v>
      </c>
      <c r="C558" s="192" t="s">
        <v>77</v>
      </c>
      <c r="D558" s="194" t="s">
        <v>78</v>
      </c>
      <c r="E558" s="192" t="s">
        <v>58</v>
      </c>
      <c r="F558" s="192" t="s">
        <v>40</v>
      </c>
      <c r="G558" s="192" t="s">
        <v>60</v>
      </c>
      <c r="H558" s="192" t="s">
        <v>79</v>
      </c>
      <c r="I558" s="192" t="s">
        <v>84</v>
      </c>
      <c r="J558" s="121" t="s">
        <v>2210</v>
      </c>
      <c r="K558" s="192" t="s">
        <v>63</v>
      </c>
      <c r="L558" s="192" t="s">
        <v>81</v>
      </c>
      <c r="M558" s="146" t="s">
        <v>5</v>
      </c>
      <c r="N558" s="192" t="s">
        <v>745</v>
      </c>
      <c r="O558" s="192" t="s">
        <v>86</v>
      </c>
      <c r="P558" s="192" t="s">
        <v>87</v>
      </c>
      <c r="Q558" s="145">
        <v>46093</v>
      </c>
      <c r="R558" s="145">
        <v>46095</v>
      </c>
      <c r="S558" s="192"/>
    </row>
    <row r="559" spans="1:19" ht="181.95" customHeight="1" x14ac:dyDescent="0.25">
      <c r="A559" s="197" t="str">
        <f t="shared" si="14"/>
        <v>INC20260309558</v>
      </c>
      <c r="B559" s="199">
        <v>46090.034722222197</v>
      </c>
      <c r="C559" s="192" t="s">
        <v>77</v>
      </c>
      <c r="D559" s="194" t="s">
        <v>78</v>
      </c>
      <c r="E559" s="192" t="s">
        <v>69</v>
      </c>
      <c r="F559" s="192" t="s">
        <v>40</v>
      </c>
      <c r="G559" s="192" t="s">
        <v>60</v>
      </c>
      <c r="H559" s="192" t="s">
        <v>79</v>
      </c>
      <c r="I559" s="192" t="s">
        <v>80</v>
      </c>
      <c r="J559" s="121" t="s">
        <v>2211</v>
      </c>
      <c r="K559" s="192" t="s">
        <v>107</v>
      </c>
      <c r="L559" s="192" t="s">
        <v>81</v>
      </c>
      <c r="M559" s="146" t="s">
        <v>5</v>
      </c>
      <c r="N559" s="192" t="s">
        <v>746</v>
      </c>
      <c r="O559" s="197" t="s">
        <v>83</v>
      </c>
      <c r="P559" s="197" t="s">
        <v>1366</v>
      </c>
      <c r="Q559" s="145">
        <v>46091</v>
      </c>
      <c r="R559" s="145">
        <v>46095</v>
      </c>
      <c r="S559" s="192"/>
    </row>
    <row r="560" spans="1:19" ht="192" customHeight="1" x14ac:dyDescent="0.25">
      <c r="A560" s="197" t="str">
        <f t="shared" si="14"/>
        <v>INC20260309559</v>
      </c>
      <c r="B560" s="199">
        <v>46090.654861111099</v>
      </c>
      <c r="C560" s="192" t="s">
        <v>77</v>
      </c>
      <c r="D560" s="194" t="s">
        <v>78</v>
      </c>
      <c r="E560" s="192" t="s">
        <v>69</v>
      </c>
      <c r="F560" s="192" t="s">
        <v>40</v>
      </c>
      <c r="G560" s="192" t="s">
        <v>60</v>
      </c>
      <c r="H560" s="192" t="s">
        <v>79</v>
      </c>
      <c r="I560" s="192" t="s">
        <v>80</v>
      </c>
      <c r="J560" s="121" t="s">
        <v>2212</v>
      </c>
      <c r="K560" s="192" t="s">
        <v>63</v>
      </c>
      <c r="L560" s="192" t="s">
        <v>81</v>
      </c>
      <c r="M560" s="146" t="s">
        <v>5</v>
      </c>
      <c r="N560" s="192" t="s">
        <v>747</v>
      </c>
      <c r="O560" s="197" t="s">
        <v>83</v>
      </c>
      <c r="P560" s="197" t="s">
        <v>1366</v>
      </c>
      <c r="Q560" s="145">
        <v>46091</v>
      </c>
      <c r="R560" s="145">
        <v>46095</v>
      </c>
      <c r="S560" s="192"/>
    </row>
    <row r="561" spans="1:19" ht="223.95" customHeight="1" x14ac:dyDescent="0.25">
      <c r="A561" s="197" t="str">
        <f t="shared" si="14"/>
        <v>INC20260309560</v>
      </c>
      <c r="B561" s="199">
        <v>46090.670138888898</v>
      </c>
      <c r="C561" s="192" t="s">
        <v>77</v>
      </c>
      <c r="D561" s="194" t="s">
        <v>78</v>
      </c>
      <c r="E561" s="192" t="s">
        <v>69</v>
      </c>
      <c r="F561" s="192" t="s">
        <v>40</v>
      </c>
      <c r="G561" s="192" t="s">
        <v>60</v>
      </c>
      <c r="H561" s="192" t="s">
        <v>79</v>
      </c>
      <c r="I561" s="192" t="s">
        <v>80</v>
      </c>
      <c r="J561" s="121" t="s">
        <v>2213</v>
      </c>
      <c r="K561" s="192" t="s">
        <v>63</v>
      </c>
      <c r="L561" s="192" t="s">
        <v>81</v>
      </c>
      <c r="M561" s="146" t="s">
        <v>5</v>
      </c>
      <c r="N561" s="192" t="s">
        <v>748</v>
      </c>
      <c r="O561" s="197" t="s">
        <v>83</v>
      </c>
      <c r="P561" s="197" t="s">
        <v>1366</v>
      </c>
      <c r="Q561" s="145">
        <v>46091</v>
      </c>
      <c r="R561" s="145">
        <v>46095</v>
      </c>
      <c r="S561" s="192"/>
    </row>
    <row r="562" spans="1:19" ht="222" customHeight="1" x14ac:dyDescent="0.25">
      <c r="A562" s="197" t="str">
        <f t="shared" si="14"/>
        <v>INC20260309561</v>
      </c>
      <c r="B562" s="199">
        <v>46090.6965277778</v>
      </c>
      <c r="C562" s="192" t="s">
        <v>77</v>
      </c>
      <c r="D562" s="194" t="s">
        <v>78</v>
      </c>
      <c r="E562" s="192" t="s">
        <v>58</v>
      </c>
      <c r="F562" s="192" t="s">
        <v>40</v>
      </c>
      <c r="G562" s="192" t="s">
        <v>60</v>
      </c>
      <c r="H562" s="192" t="s">
        <v>79</v>
      </c>
      <c r="I562" s="192" t="s">
        <v>80</v>
      </c>
      <c r="J562" s="121" t="s">
        <v>2214</v>
      </c>
      <c r="K562" s="192" t="s">
        <v>63</v>
      </c>
      <c r="L562" s="192" t="s">
        <v>81</v>
      </c>
      <c r="M562" s="146" t="s">
        <v>5</v>
      </c>
      <c r="N562" s="192" t="s">
        <v>749</v>
      </c>
      <c r="O562" s="197" t="s">
        <v>83</v>
      </c>
      <c r="P562" s="197" t="s">
        <v>1366</v>
      </c>
      <c r="Q562" s="145">
        <v>46091</v>
      </c>
      <c r="R562" s="145">
        <v>46095</v>
      </c>
      <c r="S562" s="192"/>
    </row>
    <row r="563" spans="1:19" ht="205.95" customHeight="1" x14ac:dyDescent="0.25">
      <c r="A563" s="197" t="str">
        <f t="shared" si="14"/>
        <v>INC20260309562</v>
      </c>
      <c r="B563" s="193">
        <v>46090.6965277778</v>
      </c>
      <c r="C563" s="192" t="s">
        <v>77</v>
      </c>
      <c r="D563" s="194" t="s">
        <v>78</v>
      </c>
      <c r="E563" s="192" t="s">
        <v>116</v>
      </c>
      <c r="F563" s="192" t="s">
        <v>40</v>
      </c>
      <c r="G563" s="192" t="s">
        <v>60</v>
      </c>
      <c r="H563" s="192" t="s">
        <v>79</v>
      </c>
      <c r="I563" s="192" t="s">
        <v>80</v>
      </c>
      <c r="J563" s="121" t="s">
        <v>2215</v>
      </c>
      <c r="K563" s="192" t="s">
        <v>63</v>
      </c>
      <c r="L563" s="192" t="s">
        <v>81</v>
      </c>
      <c r="M563" s="146" t="s">
        <v>5</v>
      </c>
      <c r="N563" s="192" t="s">
        <v>750</v>
      </c>
      <c r="O563" s="197" t="s">
        <v>83</v>
      </c>
      <c r="P563" s="197" t="s">
        <v>1366</v>
      </c>
      <c r="Q563" s="145">
        <v>46091</v>
      </c>
      <c r="R563" s="145">
        <v>46095</v>
      </c>
      <c r="S563" s="192"/>
    </row>
    <row r="564" spans="1:19" ht="219" customHeight="1" x14ac:dyDescent="0.25">
      <c r="A564" s="197" t="str">
        <f t="shared" si="14"/>
        <v>INC20260309563</v>
      </c>
      <c r="B564" s="193">
        <v>46090.815277777801</v>
      </c>
      <c r="C564" s="192" t="s">
        <v>77</v>
      </c>
      <c r="D564" s="194" t="s">
        <v>78</v>
      </c>
      <c r="E564" s="192" t="s">
        <v>69</v>
      </c>
      <c r="F564" s="192" t="s">
        <v>40</v>
      </c>
      <c r="G564" s="192" t="s">
        <v>60</v>
      </c>
      <c r="H564" s="192" t="s">
        <v>79</v>
      </c>
      <c r="I564" s="192" t="s">
        <v>84</v>
      </c>
      <c r="J564" s="121" t="s">
        <v>2216</v>
      </c>
      <c r="K564" s="192" t="s">
        <v>63</v>
      </c>
      <c r="L564" s="192" t="s">
        <v>81</v>
      </c>
      <c r="M564" s="146" t="s">
        <v>5</v>
      </c>
      <c r="N564" s="192" t="s">
        <v>751</v>
      </c>
      <c r="O564" s="192" t="s">
        <v>86</v>
      </c>
      <c r="P564" s="192" t="s">
        <v>87</v>
      </c>
      <c r="Q564" s="145">
        <v>46091</v>
      </c>
      <c r="R564" s="145">
        <v>46095</v>
      </c>
      <c r="S564" s="192"/>
    </row>
    <row r="565" spans="1:19" ht="201" customHeight="1" x14ac:dyDescent="0.25">
      <c r="A565" s="197" t="str">
        <f t="shared" si="14"/>
        <v>INC20260309564</v>
      </c>
      <c r="B565" s="193">
        <v>46090.938888888901</v>
      </c>
      <c r="C565" s="192" t="s">
        <v>77</v>
      </c>
      <c r="D565" s="194" t="s">
        <v>78</v>
      </c>
      <c r="E565" s="192" t="s">
        <v>116</v>
      </c>
      <c r="F565" s="192" t="s">
        <v>40</v>
      </c>
      <c r="G565" s="192" t="s">
        <v>60</v>
      </c>
      <c r="H565" s="192" t="s">
        <v>79</v>
      </c>
      <c r="I565" s="192" t="s">
        <v>80</v>
      </c>
      <c r="J565" s="121" t="s">
        <v>2217</v>
      </c>
      <c r="K565" s="192" t="s">
        <v>63</v>
      </c>
      <c r="L565" s="192" t="s">
        <v>81</v>
      </c>
      <c r="M565" s="146" t="s">
        <v>5</v>
      </c>
      <c r="N565" s="192" t="s">
        <v>752</v>
      </c>
      <c r="O565" s="197" t="s">
        <v>83</v>
      </c>
      <c r="P565" s="197" t="s">
        <v>1366</v>
      </c>
      <c r="Q565" s="145">
        <v>46091</v>
      </c>
      <c r="R565" s="145">
        <v>46095</v>
      </c>
      <c r="S565" s="192"/>
    </row>
    <row r="566" spans="1:19" ht="184.95" customHeight="1" x14ac:dyDescent="0.25">
      <c r="A566" s="197" t="str">
        <f t="shared" si="14"/>
        <v>INC20260309565</v>
      </c>
      <c r="B566" s="193">
        <v>46090.2590277778</v>
      </c>
      <c r="C566" s="192" t="s">
        <v>77</v>
      </c>
      <c r="D566" s="194" t="s">
        <v>78</v>
      </c>
      <c r="E566" s="192" t="s">
        <v>74</v>
      </c>
      <c r="F566" s="192" t="s">
        <v>40</v>
      </c>
      <c r="G566" s="192" t="s">
        <v>60</v>
      </c>
      <c r="H566" s="192" t="s">
        <v>79</v>
      </c>
      <c r="I566" s="192" t="s">
        <v>80</v>
      </c>
      <c r="J566" s="121" t="s">
        <v>2218</v>
      </c>
      <c r="K566" s="192" t="s">
        <v>63</v>
      </c>
      <c r="L566" s="192" t="s">
        <v>81</v>
      </c>
      <c r="M566" s="146" t="s">
        <v>5</v>
      </c>
      <c r="N566" s="192" t="s">
        <v>753</v>
      </c>
      <c r="O566" s="197" t="s">
        <v>83</v>
      </c>
      <c r="P566" s="197" t="s">
        <v>1366</v>
      </c>
      <c r="Q566" s="145">
        <v>46091</v>
      </c>
      <c r="R566" s="145">
        <v>46095</v>
      </c>
      <c r="S566" s="192"/>
    </row>
    <row r="567" spans="1:19" ht="178.95" customHeight="1" x14ac:dyDescent="0.25">
      <c r="A567" s="197" t="str">
        <f t="shared" si="14"/>
        <v>INC20260312566</v>
      </c>
      <c r="B567" s="199">
        <v>46093.704861111102</v>
      </c>
      <c r="C567" s="192" t="s">
        <v>37</v>
      </c>
      <c r="D567" s="194" t="s">
        <v>754</v>
      </c>
      <c r="E567" s="192" t="s">
        <v>50</v>
      </c>
      <c r="F567" s="192" t="s">
        <v>40</v>
      </c>
      <c r="G567" s="192" t="s">
        <v>51</v>
      </c>
      <c r="H567" s="192" t="s">
        <v>92</v>
      </c>
      <c r="I567" s="192" t="s">
        <v>403</v>
      </c>
      <c r="J567" s="195" t="s">
        <v>2166</v>
      </c>
      <c r="K567" s="192" t="s">
        <v>54</v>
      </c>
      <c r="L567" s="192" t="s">
        <v>55</v>
      </c>
      <c r="M567" s="146" t="s">
        <v>5</v>
      </c>
      <c r="N567" s="192" t="s">
        <v>755</v>
      </c>
      <c r="O567" s="192"/>
      <c r="P567" s="192"/>
      <c r="Q567" s="145">
        <v>46093</v>
      </c>
      <c r="R567" s="145">
        <v>46095</v>
      </c>
      <c r="S567" s="192"/>
    </row>
    <row r="568" spans="1:19" ht="205.95" customHeight="1" x14ac:dyDescent="0.25">
      <c r="A568" s="197" t="str">
        <f t="shared" si="14"/>
        <v>INC20260312567</v>
      </c>
      <c r="B568" s="199">
        <v>46093.706944444399</v>
      </c>
      <c r="C568" s="192" t="s">
        <v>37</v>
      </c>
      <c r="D568" s="194" t="s">
        <v>57</v>
      </c>
      <c r="E568" s="192" t="s">
        <v>116</v>
      </c>
      <c r="F568" s="192" t="s">
        <v>40</v>
      </c>
      <c r="G568" s="192" t="s">
        <v>60</v>
      </c>
      <c r="H568" s="192" t="s">
        <v>79</v>
      </c>
      <c r="I568" s="192" t="s">
        <v>84</v>
      </c>
      <c r="J568" s="121" t="s">
        <v>2219</v>
      </c>
      <c r="K568" s="192" t="s">
        <v>63</v>
      </c>
      <c r="L568" s="192" t="s">
        <v>81</v>
      </c>
      <c r="M568" s="146" t="s">
        <v>5</v>
      </c>
      <c r="N568" s="192" t="s">
        <v>756</v>
      </c>
      <c r="O568" s="192" t="s">
        <v>66</v>
      </c>
      <c r="P568" s="192" t="s">
        <v>67</v>
      </c>
      <c r="Q568" s="145">
        <v>46098</v>
      </c>
      <c r="R568" s="145">
        <v>46098</v>
      </c>
      <c r="S568" s="192"/>
    </row>
    <row r="569" spans="1:19" ht="193.95" customHeight="1" x14ac:dyDescent="0.25">
      <c r="A569" s="197" t="str">
        <f t="shared" si="14"/>
        <v>INC20260313568</v>
      </c>
      <c r="B569" s="199">
        <v>46094.323611111096</v>
      </c>
      <c r="C569" s="192" t="s">
        <v>37</v>
      </c>
      <c r="D569" s="194" t="s">
        <v>38</v>
      </c>
      <c r="E569" s="192" t="s">
        <v>39</v>
      </c>
      <c r="F569" s="192" t="s">
        <v>40</v>
      </c>
      <c r="G569" s="192" t="s">
        <v>41</v>
      </c>
      <c r="H569" s="192" t="s">
        <v>42</v>
      </c>
      <c r="I569" s="192" t="s">
        <v>43</v>
      </c>
      <c r="J569" s="195" t="s">
        <v>2220</v>
      </c>
      <c r="K569" s="192" t="s">
        <v>44</v>
      </c>
      <c r="L569" s="192" t="s">
        <v>45</v>
      </c>
      <c r="M569" s="143" t="s">
        <v>5</v>
      </c>
      <c r="N569" s="198" t="s">
        <v>757</v>
      </c>
      <c r="O569" s="192"/>
      <c r="P569" s="144" t="s">
        <v>47</v>
      </c>
      <c r="Q569" s="145">
        <v>46094</v>
      </c>
      <c r="R569" s="145">
        <v>46098</v>
      </c>
      <c r="S569" s="192"/>
    </row>
    <row r="570" spans="1:19" ht="180" customHeight="1" x14ac:dyDescent="0.25">
      <c r="A570" s="197" t="str">
        <f t="shared" si="14"/>
        <v>INC20260313569</v>
      </c>
      <c r="B570" s="199">
        <v>46094.438888888901</v>
      </c>
      <c r="C570" s="192" t="s">
        <v>37</v>
      </c>
      <c r="D570" s="194" t="s">
        <v>129</v>
      </c>
      <c r="E570" s="192" t="s">
        <v>50</v>
      </c>
      <c r="F570" s="192" t="s">
        <v>40</v>
      </c>
      <c r="G570" s="192" t="s">
        <v>51</v>
      </c>
      <c r="H570" s="192" t="s">
        <v>92</v>
      </c>
      <c r="I570" s="192" t="s">
        <v>93</v>
      </c>
      <c r="J570" s="195" t="s">
        <v>2221</v>
      </c>
      <c r="K570" s="192" t="s">
        <v>54</v>
      </c>
      <c r="L570" s="192" t="s">
        <v>55</v>
      </c>
      <c r="M570" s="146" t="s">
        <v>5</v>
      </c>
      <c r="N570" s="192" t="s">
        <v>758</v>
      </c>
      <c r="O570" s="192" t="s">
        <v>95</v>
      </c>
      <c r="P570" s="192" t="s">
        <v>96</v>
      </c>
      <c r="Q570" s="145">
        <v>46098</v>
      </c>
      <c r="R570" s="145">
        <v>46098</v>
      </c>
      <c r="S570" s="192"/>
    </row>
    <row r="571" spans="1:19" ht="172.95" customHeight="1" x14ac:dyDescent="0.25">
      <c r="A571" s="197" t="str">
        <f t="shared" si="14"/>
        <v>INC20260311570</v>
      </c>
      <c r="B571" s="193">
        <v>46092.324305555601</v>
      </c>
      <c r="C571" s="192" t="s">
        <v>77</v>
      </c>
      <c r="D571" s="194" t="s">
        <v>78</v>
      </c>
      <c r="E571" s="192" t="s">
        <v>74</v>
      </c>
      <c r="F571" s="192" t="s">
        <v>40</v>
      </c>
      <c r="G571" s="192" t="s">
        <v>60</v>
      </c>
      <c r="H571" s="192" t="s">
        <v>79</v>
      </c>
      <c r="I571" s="192" t="s">
        <v>80</v>
      </c>
      <c r="J571" s="121" t="s">
        <v>2222</v>
      </c>
      <c r="K571" s="192" t="s">
        <v>63</v>
      </c>
      <c r="L571" s="192" t="s">
        <v>81</v>
      </c>
      <c r="M571" s="146" t="s">
        <v>5</v>
      </c>
      <c r="N571" s="192" t="s">
        <v>759</v>
      </c>
      <c r="O571" s="197" t="s">
        <v>83</v>
      </c>
      <c r="P571" s="197" t="s">
        <v>1366</v>
      </c>
      <c r="Q571" s="145">
        <v>46092</v>
      </c>
      <c r="R571" s="145">
        <v>46098</v>
      </c>
      <c r="S571" s="192"/>
    </row>
    <row r="572" spans="1:19" ht="175.95" customHeight="1" x14ac:dyDescent="0.25">
      <c r="A572" s="197" t="str">
        <f t="shared" si="14"/>
        <v>INC20260311571</v>
      </c>
      <c r="B572" s="193">
        <v>46092.373611111099</v>
      </c>
      <c r="C572" s="192" t="s">
        <v>77</v>
      </c>
      <c r="D572" s="194" t="s">
        <v>78</v>
      </c>
      <c r="E572" s="192" t="s">
        <v>116</v>
      </c>
      <c r="F572" s="192" t="s">
        <v>40</v>
      </c>
      <c r="G572" s="192" t="s">
        <v>60</v>
      </c>
      <c r="H572" s="192" t="s">
        <v>79</v>
      </c>
      <c r="I572" s="192" t="s">
        <v>80</v>
      </c>
      <c r="J572" s="121" t="s">
        <v>2191</v>
      </c>
      <c r="K572" s="192" t="s">
        <v>63</v>
      </c>
      <c r="L572" s="192" t="s">
        <v>81</v>
      </c>
      <c r="M572" s="146" t="s">
        <v>5</v>
      </c>
      <c r="N572" s="192" t="s">
        <v>726</v>
      </c>
      <c r="O572" s="197" t="s">
        <v>83</v>
      </c>
      <c r="P572" s="197" t="s">
        <v>1366</v>
      </c>
      <c r="Q572" s="145">
        <v>46092</v>
      </c>
      <c r="R572" s="145">
        <v>46098</v>
      </c>
      <c r="S572" s="192"/>
    </row>
    <row r="573" spans="1:19" ht="199.95" customHeight="1" x14ac:dyDescent="0.25">
      <c r="A573" s="197" t="str">
        <f t="shared" si="14"/>
        <v>INC20260311572</v>
      </c>
      <c r="B573" s="193">
        <v>46092.386805555601</v>
      </c>
      <c r="C573" s="192" t="s">
        <v>77</v>
      </c>
      <c r="D573" s="194" t="s">
        <v>78</v>
      </c>
      <c r="E573" s="192" t="s">
        <v>74</v>
      </c>
      <c r="F573" s="192" t="s">
        <v>40</v>
      </c>
      <c r="G573" s="192" t="s">
        <v>60</v>
      </c>
      <c r="H573" s="192" t="s">
        <v>79</v>
      </c>
      <c r="I573" s="192" t="s">
        <v>80</v>
      </c>
      <c r="J573" s="121" t="s">
        <v>2203</v>
      </c>
      <c r="K573" s="192" t="s">
        <v>63</v>
      </c>
      <c r="L573" s="192" t="s">
        <v>81</v>
      </c>
      <c r="M573" s="146" t="s">
        <v>5</v>
      </c>
      <c r="N573" s="192" t="s">
        <v>738</v>
      </c>
      <c r="O573" s="197" t="s">
        <v>83</v>
      </c>
      <c r="P573" s="197" t="s">
        <v>1366</v>
      </c>
      <c r="Q573" s="145">
        <v>46092</v>
      </c>
      <c r="R573" s="145">
        <v>46098</v>
      </c>
      <c r="S573" s="192"/>
    </row>
    <row r="574" spans="1:19" ht="220.05" customHeight="1" x14ac:dyDescent="0.25">
      <c r="A574" s="197" t="str">
        <f t="shared" si="14"/>
        <v>INC20260311573</v>
      </c>
      <c r="B574" s="193">
        <v>46092.488888888904</v>
      </c>
      <c r="C574" s="192" t="s">
        <v>77</v>
      </c>
      <c r="D574" s="194" t="s">
        <v>78</v>
      </c>
      <c r="E574" s="192" t="s">
        <v>58</v>
      </c>
      <c r="F574" s="192" t="s">
        <v>40</v>
      </c>
      <c r="G574" s="192" t="s">
        <v>60</v>
      </c>
      <c r="H574" s="192" t="s">
        <v>79</v>
      </c>
      <c r="I574" s="192" t="s">
        <v>80</v>
      </c>
      <c r="J574" s="121" t="s">
        <v>2204</v>
      </c>
      <c r="K574" s="192" t="s">
        <v>63</v>
      </c>
      <c r="L574" s="192" t="s">
        <v>81</v>
      </c>
      <c r="M574" s="146" t="s">
        <v>5</v>
      </c>
      <c r="N574" s="192" t="s">
        <v>760</v>
      </c>
      <c r="O574" s="197" t="s">
        <v>83</v>
      </c>
      <c r="P574" s="197" t="s">
        <v>1366</v>
      </c>
      <c r="Q574" s="145">
        <v>46092</v>
      </c>
      <c r="R574" s="145">
        <v>46098</v>
      </c>
      <c r="S574" s="192"/>
    </row>
    <row r="575" spans="1:19" ht="220.95" customHeight="1" x14ac:dyDescent="0.25">
      <c r="A575" s="197" t="str">
        <f t="shared" si="14"/>
        <v>INC20260311574</v>
      </c>
      <c r="B575" s="193">
        <v>46092.4777777778</v>
      </c>
      <c r="C575" s="192" t="s">
        <v>77</v>
      </c>
      <c r="D575" s="194" t="s">
        <v>78</v>
      </c>
      <c r="E575" s="192" t="s">
        <v>116</v>
      </c>
      <c r="F575" s="192" t="s">
        <v>40</v>
      </c>
      <c r="G575" s="192" t="s">
        <v>60</v>
      </c>
      <c r="H575" s="192" t="s">
        <v>79</v>
      </c>
      <c r="I575" s="192" t="s">
        <v>80</v>
      </c>
      <c r="J575" s="121" t="s">
        <v>2205</v>
      </c>
      <c r="K575" s="192" t="s">
        <v>107</v>
      </c>
      <c r="L575" s="192" t="s">
        <v>81</v>
      </c>
      <c r="M575" s="146" t="s">
        <v>5</v>
      </c>
      <c r="N575" s="192" t="s">
        <v>740</v>
      </c>
      <c r="O575" s="197" t="s">
        <v>83</v>
      </c>
      <c r="P575" s="197" t="s">
        <v>1366</v>
      </c>
      <c r="Q575" s="145">
        <v>46092</v>
      </c>
      <c r="R575" s="145">
        <v>46098</v>
      </c>
      <c r="S575" s="192"/>
    </row>
    <row r="576" spans="1:19" ht="247.95" customHeight="1" x14ac:dyDescent="0.25">
      <c r="A576" s="197" t="str">
        <f t="shared" si="14"/>
        <v>INC20260312575</v>
      </c>
      <c r="B576" s="193">
        <v>46093.033333333296</v>
      </c>
      <c r="C576" s="192" t="s">
        <v>77</v>
      </c>
      <c r="D576" s="194" t="s">
        <v>78</v>
      </c>
      <c r="E576" s="192" t="s">
        <v>58</v>
      </c>
      <c r="F576" s="192" t="s">
        <v>40</v>
      </c>
      <c r="G576" s="192" t="s">
        <v>60</v>
      </c>
      <c r="H576" s="192" t="s">
        <v>79</v>
      </c>
      <c r="I576" s="192" t="s">
        <v>84</v>
      </c>
      <c r="J576" s="121" t="s">
        <v>2206</v>
      </c>
      <c r="K576" s="192" t="s">
        <v>63</v>
      </c>
      <c r="L576" s="192" t="s">
        <v>81</v>
      </c>
      <c r="M576" s="146" t="s">
        <v>5</v>
      </c>
      <c r="N576" s="192" t="s">
        <v>741</v>
      </c>
      <c r="O576" s="192" t="s">
        <v>86</v>
      </c>
      <c r="P576" s="192" t="s">
        <v>87</v>
      </c>
      <c r="Q576" s="145">
        <v>46092</v>
      </c>
      <c r="R576" s="145">
        <v>46098</v>
      </c>
      <c r="S576" s="192"/>
    </row>
    <row r="577" spans="1:19" ht="211.95" customHeight="1" x14ac:dyDescent="0.25">
      <c r="A577" s="197" t="str">
        <f t="shared" si="14"/>
        <v>INC20260312576</v>
      </c>
      <c r="B577" s="193">
        <v>46093.438888888901</v>
      </c>
      <c r="C577" s="192" t="s">
        <v>77</v>
      </c>
      <c r="D577" s="194" t="s">
        <v>78</v>
      </c>
      <c r="E577" s="192" t="s">
        <v>742</v>
      </c>
      <c r="F577" s="192" t="s">
        <v>40</v>
      </c>
      <c r="G577" s="192" t="s">
        <v>60</v>
      </c>
      <c r="H577" s="192" t="s">
        <v>79</v>
      </c>
      <c r="I577" s="192" t="s">
        <v>84</v>
      </c>
      <c r="J577" s="121" t="s">
        <v>2207</v>
      </c>
      <c r="K577" s="192" t="s">
        <v>151</v>
      </c>
      <c r="L577" s="192" t="s">
        <v>81</v>
      </c>
      <c r="M577" s="146" t="s">
        <v>5</v>
      </c>
      <c r="N577" s="192" t="s">
        <v>743</v>
      </c>
      <c r="O577" s="192" t="s">
        <v>86</v>
      </c>
      <c r="P577" s="192" t="s">
        <v>87</v>
      </c>
      <c r="Q577" s="145">
        <v>46092</v>
      </c>
      <c r="R577" s="145">
        <v>46098</v>
      </c>
      <c r="S577" s="192"/>
    </row>
    <row r="578" spans="1:19" ht="234" customHeight="1" x14ac:dyDescent="0.25">
      <c r="A578" s="197" t="str">
        <f t="shared" si="14"/>
        <v>INC20260312577</v>
      </c>
      <c r="B578" s="193">
        <v>46093.443055555603</v>
      </c>
      <c r="C578" s="192" t="s">
        <v>77</v>
      </c>
      <c r="D578" s="194" t="s">
        <v>78</v>
      </c>
      <c r="E578" s="192" t="s">
        <v>712</v>
      </c>
      <c r="F578" s="192" t="s">
        <v>40</v>
      </c>
      <c r="G578" s="192" t="s">
        <v>60</v>
      </c>
      <c r="H578" s="192" t="s">
        <v>79</v>
      </c>
      <c r="I578" s="192" t="s">
        <v>84</v>
      </c>
      <c r="J578" s="121" t="s">
        <v>2208</v>
      </c>
      <c r="K578" s="192" t="s">
        <v>110</v>
      </c>
      <c r="L578" s="192" t="s">
        <v>81</v>
      </c>
      <c r="M578" s="146" t="s">
        <v>5</v>
      </c>
      <c r="N578" s="192" t="s">
        <v>744</v>
      </c>
      <c r="O578" s="192" t="s">
        <v>86</v>
      </c>
      <c r="P578" s="192" t="s">
        <v>87</v>
      </c>
      <c r="Q578" s="145">
        <v>46092</v>
      </c>
      <c r="R578" s="145">
        <v>46098</v>
      </c>
      <c r="S578" s="192"/>
    </row>
    <row r="579" spans="1:19" ht="241.95" customHeight="1" x14ac:dyDescent="0.25">
      <c r="A579" s="197" t="str">
        <f t="shared" si="14"/>
        <v>INC20260312578</v>
      </c>
      <c r="B579" s="193">
        <v>46093.470138888901</v>
      </c>
      <c r="C579" s="192" t="s">
        <v>77</v>
      </c>
      <c r="D579" s="194" t="s">
        <v>78</v>
      </c>
      <c r="E579" s="192" t="s">
        <v>69</v>
      </c>
      <c r="F579" s="192" t="s">
        <v>40</v>
      </c>
      <c r="G579" s="192" t="s">
        <v>60</v>
      </c>
      <c r="H579" s="192" t="s">
        <v>79</v>
      </c>
      <c r="I579" s="192" t="s">
        <v>84</v>
      </c>
      <c r="J579" s="121" t="s">
        <v>2223</v>
      </c>
      <c r="K579" s="192" t="s">
        <v>107</v>
      </c>
      <c r="L579" s="192" t="s">
        <v>81</v>
      </c>
      <c r="M579" s="146" t="s">
        <v>5</v>
      </c>
      <c r="N579" s="192" t="s">
        <v>745</v>
      </c>
      <c r="O579" s="192" t="s">
        <v>86</v>
      </c>
      <c r="P579" s="192" t="s">
        <v>87</v>
      </c>
      <c r="Q579" s="145">
        <v>46092</v>
      </c>
      <c r="R579" s="145">
        <v>46098</v>
      </c>
      <c r="S579" s="192"/>
    </row>
    <row r="580" spans="1:19" ht="241.95" customHeight="1" x14ac:dyDescent="0.25">
      <c r="A580" s="197" t="str">
        <f t="shared" si="14"/>
        <v>INC20260312579</v>
      </c>
      <c r="B580" s="193">
        <v>46093.474305555603</v>
      </c>
      <c r="C580" s="192" t="s">
        <v>77</v>
      </c>
      <c r="D580" s="194" t="s">
        <v>78</v>
      </c>
      <c r="E580" s="192" t="s">
        <v>58</v>
      </c>
      <c r="F580" s="192" t="s">
        <v>40</v>
      </c>
      <c r="G580" s="192" t="s">
        <v>60</v>
      </c>
      <c r="H580" s="192" t="s">
        <v>79</v>
      </c>
      <c r="I580" s="192" t="s">
        <v>84</v>
      </c>
      <c r="J580" s="121" t="s">
        <v>2210</v>
      </c>
      <c r="K580" s="192" t="s">
        <v>63</v>
      </c>
      <c r="L580" s="192" t="s">
        <v>81</v>
      </c>
      <c r="M580" s="146" t="s">
        <v>5</v>
      </c>
      <c r="N580" s="192" t="s">
        <v>761</v>
      </c>
      <c r="O580" s="192" t="s">
        <v>86</v>
      </c>
      <c r="P580" s="192" t="s">
        <v>87</v>
      </c>
      <c r="Q580" s="145">
        <v>46092</v>
      </c>
      <c r="R580" s="145">
        <v>46098</v>
      </c>
      <c r="S580" s="192"/>
    </row>
    <row r="581" spans="1:19" ht="244.05" customHeight="1" x14ac:dyDescent="0.25">
      <c r="A581" s="197" t="str">
        <f t="shared" si="14"/>
        <v>INC20260312580</v>
      </c>
      <c r="B581" s="193">
        <v>46093.697916666701</v>
      </c>
      <c r="C581" s="192" t="s">
        <v>77</v>
      </c>
      <c r="D581" s="194" t="s">
        <v>78</v>
      </c>
      <c r="E581" s="192" t="s">
        <v>69</v>
      </c>
      <c r="F581" s="192" t="s">
        <v>40</v>
      </c>
      <c r="G581" s="192" t="s">
        <v>60</v>
      </c>
      <c r="H581" s="192" t="s">
        <v>79</v>
      </c>
      <c r="I581" s="192" t="s">
        <v>84</v>
      </c>
      <c r="J581" s="121" t="s">
        <v>2224</v>
      </c>
      <c r="K581" s="192" t="s">
        <v>63</v>
      </c>
      <c r="L581" s="192" t="s">
        <v>81</v>
      </c>
      <c r="M581" s="146" t="s">
        <v>5</v>
      </c>
      <c r="N581" s="192" t="s">
        <v>762</v>
      </c>
      <c r="O581" s="192" t="s">
        <v>86</v>
      </c>
      <c r="P581" s="192" t="s">
        <v>87</v>
      </c>
      <c r="Q581" s="145">
        <v>46092</v>
      </c>
      <c r="R581" s="145">
        <v>46098</v>
      </c>
      <c r="S581" s="192"/>
    </row>
    <row r="582" spans="1:19" ht="169.05" customHeight="1" x14ac:dyDescent="0.25">
      <c r="A582" s="197" t="str">
        <f t="shared" si="14"/>
        <v>INC20260313581</v>
      </c>
      <c r="B582" s="199">
        <v>46094.443055555603</v>
      </c>
      <c r="C582" s="192" t="s">
        <v>37</v>
      </c>
      <c r="D582" s="194" t="s">
        <v>129</v>
      </c>
      <c r="E582" s="192" t="s">
        <v>50</v>
      </c>
      <c r="F582" s="192" t="s">
        <v>40</v>
      </c>
      <c r="G582" s="192" t="s">
        <v>51</v>
      </c>
      <c r="H582" s="192" t="s">
        <v>52</v>
      </c>
      <c r="I582" s="192" t="s">
        <v>53</v>
      </c>
      <c r="J582" s="195" t="s">
        <v>2225</v>
      </c>
      <c r="K582" s="192" t="s">
        <v>54</v>
      </c>
      <c r="L582" s="192" t="s">
        <v>55</v>
      </c>
      <c r="M582" s="146" t="s">
        <v>5</v>
      </c>
      <c r="N582" s="192" t="s">
        <v>763</v>
      </c>
      <c r="O582" s="192"/>
      <c r="P582" s="192"/>
      <c r="Q582" s="145"/>
      <c r="R582" s="145">
        <v>46098</v>
      </c>
      <c r="S582" s="192"/>
    </row>
    <row r="583" spans="1:19" ht="166.95" customHeight="1" x14ac:dyDescent="0.25">
      <c r="A583" s="197" t="str">
        <f t="shared" si="14"/>
        <v>INC20260316582</v>
      </c>
      <c r="B583" s="199">
        <v>46097.348611111098</v>
      </c>
      <c r="C583" s="192" t="s">
        <v>37</v>
      </c>
      <c r="D583" s="194" t="s">
        <v>764</v>
      </c>
      <c r="E583" s="192" t="s">
        <v>74</v>
      </c>
      <c r="F583" s="192" t="s">
        <v>59</v>
      </c>
      <c r="G583" s="192" t="s">
        <v>60</v>
      </c>
      <c r="H583" s="192" t="s">
        <v>61</v>
      </c>
      <c r="I583" s="192" t="s">
        <v>62</v>
      </c>
      <c r="J583" s="121" t="s">
        <v>2226</v>
      </c>
      <c r="K583" s="192" t="s">
        <v>63</v>
      </c>
      <c r="L583" s="192" t="s">
        <v>81</v>
      </c>
      <c r="M583" s="146" t="s">
        <v>5</v>
      </c>
      <c r="N583" s="192" t="s">
        <v>765</v>
      </c>
      <c r="O583" s="192" t="s">
        <v>66</v>
      </c>
      <c r="P583" s="192" t="s">
        <v>67</v>
      </c>
      <c r="Q583" s="145"/>
      <c r="R583" s="145">
        <v>46098</v>
      </c>
      <c r="S583" s="192"/>
    </row>
    <row r="584" spans="1:19" ht="148.94999999999999" customHeight="1" x14ac:dyDescent="0.25">
      <c r="A584" s="197" t="str">
        <f t="shared" si="14"/>
        <v>INC20260316583</v>
      </c>
      <c r="B584" s="199">
        <v>46097.358333333301</v>
      </c>
      <c r="C584" s="192" t="s">
        <v>37</v>
      </c>
      <c r="D584" s="194" t="s">
        <v>38</v>
      </c>
      <c r="E584" s="192" t="s">
        <v>39</v>
      </c>
      <c r="F584" s="192" t="s">
        <v>40</v>
      </c>
      <c r="G584" s="192" t="s">
        <v>41</v>
      </c>
      <c r="H584" s="192" t="s">
        <v>42</v>
      </c>
      <c r="I584" s="192" t="s">
        <v>43</v>
      </c>
      <c r="J584" s="195" t="s">
        <v>2227</v>
      </c>
      <c r="K584" s="192" t="s">
        <v>44</v>
      </c>
      <c r="L584" s="192" t="s">
        <v>45</v>
      </c>
      <c r="M584" s="143" t="s">
        <v>5</v>
      </c>
      <c r="N584" s="198" t="s">
        <v>766</v>
      </c>
      <c r="O584" s="192"/>
      <c r="P584" s="144" t="s">
        <v>47</v>
      </c>
      <c r="Q584" s="145">
        <v>46097</v>
      </c>
      <c r="R584" s="145">
        <v>46098</v>
      </c>
      <c r="S584" s="192"/>
    </row>
    <row r="585" spans="1:19" ht="160.94999999999999" customHeight="1" x14ac:dyDescent="0.25">
      <c r="A585" s="197" t="str">
        <f t="shared" si="14"/>
        <v>INC20260316584</v>
      </c>
      <c r="B585" s="199">
        <v>46097.541666666701</v>
      </c>
      <c r="C585" s="192" t="s">
        <v>37</v>
      </c>
      <c r="D585" s="194" t="s">
        <v>764</v>
      </c>
      <c r="E585" s="192" t="s">
        <v>69</v>
      </c>
      <c r="F585" s="192" t="s">
        <v>59</v>
      </c>
      <c r="G585" s="192" t="s">
        <v>60</v>
      </c>
      <c r="H585" s="192" t="s">
        <v>61</v>
      </c>
      <c r="I585" s="192" t="s">
        <v>62</v>
      </c>
      <c r="J585" s="121" t="s">
        <v>2228</v>
      </c>
      <c r="K585" s="192" t="s">
        <v>63</v>
      </c>
      <c r="L585" s="192" t="s">
        <v>81</v>
      </c>
      <c r="M585" s="146" t="s">
        <v>5</v>
      </c>
      <c r="N585" s="192" t="s">
        <v>767</v>
      </c>
      <c r="O585" s="192" t="s">
        <v>66</v>
      </c>
      <c r="P585" s="192" t="s">
        <v>67</v>
      </c>
      <c r="Q585" s="145"/>
      <c r="R585" s="145">
        <v>46098</v>
      </c>
      <c r="S585" s="192"/>
    </row>
    <row r="586" spans="1:19" ht="142.05000000000001" customHeight="1" x14ac:dyDescent="0.25">
      <c r="A586" s="197" t="str">
        <f t="shared" si="14"/>
        <v>INC20260316585</v>
      </c>
      <c r="B586" s="199">
        <v>46097.726388888899</v>
      </c>
      <c r="C586" s="192" t="s">
        <v>37</v>
      </c>
      <c r="D586" s="194" t="s">
        <v>57</v>
      </c>
      <c r="E586" s="192" t="s">
        <v>768</v>
      </c>
      <c r="F586" s="192" t="s">
        <v>40</v>
      </c>
      <c r="G586" s="192" t="s">
        <v>60</v>
      </c>
      <c r="H586" s="192" t="s">
        <v>79</v>
      </c>
      <c r="I586" s="192" t="s">
        <v>84</v>
      </c>
      <c r="J586" s="121" t="s">
        <v>2229</v>
      </c>
      <c r="K586" s="192" t="s">
        <v>63</v>
      </c>
      <c r="L586" s="192" t="s">
        <v>81</v>
      </c>
      <c r="M586" s="146" t="s">
        <v>5</v>
      </c>
      <c r="N586" s="192" t="s">
        <v>769</v>
      </c>
      <c r="O586" s="192" t="s">
        <v>86</v>
      </c>
      <c r="P586" s="192" t="s">
        <v>87</v>
      </c>
      <c r="Q586" s="145">
        <v>46098</v>
      </c>
      <c r="R586" s="145">
        <v>46098</v>
      </c>
      <c r="S586" s="192"/>
    </row>
    <row r="587" spans="1:19" ht="147" customHeight="1" x14ac:dyDescent="0.25">
      <c r="A587" s="197" t="str">
        <f t="shared" si="14"/>
        <v>INC20260316586</v>
      </c>
      <c r="B587" s="199">
        <v>46097.922222222202</v>
      </c>
      <c r="C587" s="192" t="s">
        <v>37</v>
      </c>
      <c r="D587" s="194" t="s">
        <v>770</v>
      </c>
      <c r="E587" s="192" t="s">
        <v>622</v>
      </c>
      <c r="F587" s="192" t="s">
        <v>59</v>
      </c>
      <c r="G587" s="192" t="s">
        <v>60</v>
      </c>
      <c r="H587" s="192" t="s">
        <v>61</v>
      </c>
      <c r="I587" s="192" t="s">
        <v>62</v>
      </c>
      <c r="J587" s="121" t="s">
        <v>2230</v>
      </c>
      <c r="K587" s="192" t="s">
        <v>63</v>
      </c>
      <c r="L587" s="192" t="s">
        <v>81</v>
      </c>
      <c r="M587" s="146" t="s">
        <v>5</v>
      </c>
      <c r="N587" s="192" t="s">
        <v>771</v>
      </c>
      <c r="O587" s="192" t="s">
        <v>66</v>
      </c>
      <c r="P587" s="192" t="s">
        <v>67</v>
      </c>
      <c r="Q587" s="145">
        <v>46098</v>
      </c>
      <c r="R587" s="145">
        <v>46098</v>
      </c>
      <c r="S587" s="192"/>
    </row>
    <row r="588" spans="1:19" ht="153" customHeight="1" x14ac:dyDescent="0.25">
      <c r="A588" s="197" t="str">
        <f t="shared" ref="A588:A651" si="15">"INC"&amp;TEXT(B588,"yyyymmdd")&amp;TEXT(ROW(A588)-1,"000")</f>
        <v>INC20260317587</v>
      </c>
      <c r="B588" s="199">
        <v>46098.343055555597</v>
      </c>
      <c r="C588" s="192" t="s">
        <v>37</v>
      </c>
      <c r="D588" s="194" t="s">
        <v>38</v>
      </c>
      <c r="E588" s="192" t="s">
        <v>39</v>
      </c>
      <c r="F588" s="192" t="s">
        <v>40</v>
      </c>
      <c r="G588" s="192" t="s">
        <v>41</v>
      </c>
      <c r="H588" s="192" t="s">
        <v>42</v>
      </c>
      <c r="I588" s="192" t="s">
        <v>43</v>
      </c>
      <c r="J588" s="195" t="s">
        <v>2231</v>
      </c>
      <c r="K588" s="192" t="s">
        <v>44</v>
      </c>
      <c r="L588" s="192" t="s">
        <v>45</v>
      </c>
      <c r="M588" s="143" t="s">
        <v>5</v>
      </c>
      <c r="N588" s="198" t="s">
        <v>772</v>
      </c>
      <c r="O588" s="192"/>
      <c r="P588" s="144" t="s">
        <v>47</v>
      </c>
      <c r="Q588" s="145">
        <v>46108</v>
      </c>
      <c r="R588" s="145">
        <v>46098</v>
      </c>
      <c r="S588" s="192"/>
    </row>
    <row r="589" spans="1:19" ht="153" customHeight="1" x14ac:dyDescent="0.25">
      <c r="A589" s="197" t="str">
        <f t="shared" si="15"/>
        <v>INC20260316588</v>
      </c>
      <c r="B589" s="199">
        <v>46097.577777777798</v>
      </c>
      <c r="C589" s="192" t="s">
        <v>37</v>
      </c>
      <c r="D589" s="194" t="s">
        <v>49</v>
      </c>
      <c r="E589" s="192" t="s">
        <v>50</v>
      </c>
      <c r="F589" s="192" t="s">
        <v>40</v>
      </c>
      <c r="G589" s="192" t="s">
        <v>51</v>
      </c>
      <c r="H589" s="192" t="s">
        <v>92</v>
      </c>
      <c r="I589" s="192" t="s">
        <v>93</v>
      </c>
      <c r="J589" s="195" t="s">
        <v>2232</v>
      </c>
      <c r="K589" s="192" t="s">
        <v>54</v>
      </c>
      <c r="L589" s="192" t="s">
        <v>55</v>
      </c>
      <c r="M589" s="146" t="s">
        <v>5</v>
      </c>
      <c r="N589" s="192" t="s">
        <v>773</v>
      </c>
      <c r="O589" s="192" t="s">
        <v>95</v>
      </c>
      <c r="P589" s="192" t="s">
        <v>96</v>
      </c>
      <c r="Q589" s="145">
        <v>46107</v>
      </c>
      <c r="R589" s="145">
        <v>46098</v>
      </c>
      <c r="S589" s="192"/>
    </row>
    <row r="590" spans="1:19" ht="172.05" customHeight="1" x14ac:dyDescent="0.25">
      <c r="A590" s="197" t="str">
        <f t="shared" si="15"/>
        <v>INC20260313589</v>
      </c>
      <c r="B590" s="193">
        <v>46094.2319444444</v>
      </c>
      <c r="C590" s="192" t="s">
        <v>77</v>
      </c>
      <c r="D590" s="194" t="s">
        <v>78</v>
      </c>
      <c r="E590" s="192" t="s">
        <v>74</v>
      </c>
      <c r="F590" s="192" t="s">
        <v>40</v>
      </c>
      <c r="G590" s="192" t="s">
        <v>60</v>
      </c>
      <c r="H590" s="192" t="s">
        <v>79</v>
      </c>
      <c r="I590" s="192" t="s">
        <v>84</v>
      </c>
      <c r="J590" s="121" t="s">
        <v>2233</v>
      </c>
      <c r="K590" s="192" t="s">
        <v>63</v>
      </c>
      <c r="L590" s="192" t="s">
        <v>81</v>
      </c>
      <c r="M590" s="146" t="s">
        <v>5</v>
      </c>
      <c r="N590" s="192" t="s">
        <v>774</v>
      </c>
      <c r="O590" s="192" t="s">
        <v>86</v>
      </c>
      <c r="P590" s="192" t="s">
        <v>87</v>
      </c>
      <c r="Q590" s="196">
        <v>46096.8840277778</v>
      </c>
      <c r="R590" s="145">
        <v>46098</v>
      </c>
      <c r="S590" s="192"/>
    </row>
    <row r="591" spans="1:19" ht="172.05" customHeight="1" x14ac:dyDescent="0.25">
      <c r="A591" s="197" t="str">
        <f t="shared" si="15"/>
        <v>INC20260313590</v>
      </c>
      <c r="B591" s="193">
        <v>46094.577777777798</v>
      </c>
      <c r="C591" s="192" t="s">
        <v>77</v>
      </c>
      <c r="D591" s="194" t="s">
        <v>78</v>
      </c>
      <c r="E591" s="192" t="s">
        <v>58</v>
      </c>
      <c r="F591" s="192" t="s">
        <v>40</v>
      </c>
      <c r="G591" s="192" t="s">
        <v>60</v>
      </c>
      <c r="H591" s="192" t="s">
        <v>79</v>
      </c>
      <c r="I591" s="192" t="s">
        <v>84</v>
      </c>
      <c r="J591" s="121" t="s">
        <v>2234</v>
      </c>
      <c r="K591" s="192" t="s">
        <v>63</v>
      </c>
      <c r="L591" s="192" t="s">
        <v>81</v>
      </c>
      <c r="M591" s="146" t="s">
        <v>5</v>
      </c>
      <c r="N591" s="192" t="s">
        <v>775</v>
      </c>
      <c r="O591" s="192" t="s">
        <v>86</v>
      </c>
      <c r="P591" s="192" t="s">
        <v>87</v>
      </c>
      <c r="Q591" s="196">
        <v>46095.972916666702</v>
      </c>
      <c r="R591" s="145">
        <v>46098</v>
      </c>
      <c r="S591" s="192"/>
    </row>
    <row r="592" spans="1:19" ht="174" customHeight="1" x14ac:dyDescent="0.25">
      <c r="A592" s="197" t="str">
        <f t="shared" si="15"/>
        <v>INC20260313591</v>
      </c>
      <c r="B592" s="193">
        <v>46094.625694444403</v>
      </c>
      <c r="C592" s="192" t="s">
        <v>77</v>
      </c>
      <c r="D592" s="194" t="s">
        <v>78</v>
      </c>
      <c r="E592" s="192" t="s">
        <v>58</v>
      </c>
      <c r="F592" s="192" t="s">
        <v>40</v>
      </c>
      <c r="G592" s="192" t="s">
        <v>60</v>
      </c>
      <c r="H592" s="192" t="s">
        <v>79</v>
      </c>
      <c r="I592" s="192" t="s">
        <v>80</v>
      </c>
      <c r="J592" s="121" t="s">
        <v>2235</v>
      </c>
      <c r="K592" s="192" t="s">
        <v>776</v>
      </c>
      <c r="L592" s="192" t="s">
        <v>81</v>
      </c>
      <c r="M592" s="146" t="s">
        <v>5</v>
      </c>
      <c r="N592" s="192" t="s">
        <v>777</v>
      </c>
      <c r="O592" s="197" t="s">
        <v>83</v>
      </c>
      <c r="P592" s="197" t="s">
        <v>1366</v>
      </c>
      <c r="Q592" s="196">
        <v>46094.672916666699</v>
      </c>
      <c r="R592" s="145">
        <v>46098</v>
      </c>
      <c r="S592" s="192"/>
    </row>
    <row r="593" spans="1:19" ht="181.95" customHeight="1" x14ac:dyDescent="0.25">
      <c r="A593" s="197" t="str">
        <f t="shared" si="15"/>
        <v>INC20260313592</v>
      </c>
      <c r="B593" s="193">
        <v>46094.697222222203</v>
      </c>
      <c r="C593" s="192" t="s">
        <v>77</v>
      </c>
      <c r="D593" s="194" t="s">
        <v>78</v>
      </c>
      <c r="E593" s="192" t="s">
        <v>74</v>
      </c>
      <c r="F593" s="192" t="s">
        <v>40</v>
      </c>
      <c r="G593" s="192" t="s">
        <v>60</v>
      </c>
      <c r="H593" s="192" t="s">
        <v>79</v>
      </c>
      <c r="I593" s="192" t="s">
        <v>80</v>
      </c>
      <c r="J593" s="121" t="s">
        <v>2236</v>
      </c>
      <c r="K593" s="192" t="s">
        <v>63</v>
      </c>
      <c r="L593" s="192" t="s">
        <v>81</v>
      </c>
      <c r="M593" s="146" t="s">
        <v>5</v>
      </c>
      <c r="N593" s="192" t="s">
        <v>778</v>
      </c>
      <c r="O593" s="197" t="s">
        <v>83</v>
      </c>
      <c r="P593" s="197" t="s">
        <v>1366</v>
      </c>
      <c r="Q593" s="196">
        <v>46095.972916666702</v>
      </c>
      <c r="R593" s="145">
        <v>46098</v>
      </c>
      <c r="S593" s="192"/>
    </row>
    <row r="594" spans="1:19" ht="151.94999999999999" customHeight="1" x14ac:dyDescent="0.25">
      <c r="A594" s="197" t="str">
        <f t="shared" si="15"/>
        <v>INC20260313593</v>
      </c>
      <c r="B594" s="193">
        <v>46094.704861111102</v>
      </c>
      <c r="C594" s="192" t="s">
        <v>77</v>
      </c>
      <c r="D594" s="194" t="s">
        <v>78</v>
      </c>
      <c r="E594" s="192" t="s">
        <v>74</v>
      </c>
      <c r="F594" s="192" t="s">
        <v>40</v>
      </c>
      <c r="G594" s="192" t="s">
        <v>60</v>
      </c>
      <c r="H594" s="192" t="s">
        <v>79</v>
      </c>
      <c r="I594" s="192" t="s">
        <v>84</v>
      </c>
      <c r="J594" s="121" t="s">
        <v>2237</v>
      </c>
      <c r="K594" s="192" t="s">
        <v>63</v>
      </c>
      <c r="L594" s="192" t="s">
        <v>81</v>
      </c>
      <c r="M594" s="146" t="s">
        <v>5</v>
      </c>
      <c r="N594" s="192" t="s">
        <v>779</v>
      </c>
      <c r="O594" s="192" t="s">
        <v>86</v>
      </c>
      <c r="P594" s="192" t="s">
        <v>87</v>
      </c>
      <c r="Q594" s="196">
        <v>46094.718055555597</v>
      </c>
      <c r="R594" s="145">
        <v>46098</v>
      </c>
      <c r="S594" s="192"/>
    </row>
    <row r="595" spans="1:19" ht="160.05000000000001" customHeight="1" x14ac:dyDescent="0.25">
      <c r="A595" s="197" t="str">
        <f t="shared" si="15"/>
        <v>INC20260313594</v>
      </c>
      <c r="B595" s="193">
        <v>46094.754166666702</v>
      </c>
      <c r="C595" s="192" t="s">
        <v>77</v>
      </c>
      <c r="D595" s="194" t="s">
        <v>78</v>
      </c>
      <c r="E595" s="192" t="s">
        <v>74</v>
      </c>
      <c r="F595" s="192" t="s">
        <v>40</v>
      </c>
      <c r="G595" s="192" t="s">
        <v>60</v>
      </c>
      <c r="H595" s="192" t="s">
        <v>79</v>
      </c>
      <c r="I595" s="192" t="s">
        <v>80</v>
      </c>
      <c r="J595" s="121" t="s">
        <v>2238</v>
      </c>
      <c r="K595" s="192" t="s">
        <v>63</v>
      </c>
      <c r="L595" s="192" t="s">
        <v>81</v>
      </c>
      <c r="M595" s="146" t="s">
        <v>5</v>
      </c>
      <c r="N595" s="192" t="s">
        <v>780</v>
      </c>
      <c r="O595" s="197" t="s">
        <v>83</v>
      </c>
      <c r="P595" s="197" t="s">
        <v>1366</v>
      </c>
      <c r="Q595" s="196">
        <v>46095.972916666702</v>
      </c>
      <c r="R595" s="145">
        <v>46098</v>
      </c>
      <c r="S595" s="192"/>
    </row>
    <row r="596" spans="1:19" ht="172.05" customHeight="1" x14ac:dyDescent="0.25">
      <c r="A596" s="197" t="str">
        <f t="shared" si="15"/>
        <v>INC20260314595</v>
      </c>
      <c r="B596" s="193">
        <v>46095.4868055556</v>
      </c>
      <c r="C596" s="192" t="s">
        <v>77</v>
      </c>
      <c r="D596" s="194" t="s">
        <v>78</v>
      </c>
      <c r="E596" s="192" t="s">
        <v>125</v>
      </c>
      <c r="F596" s="192" t="s">
        <v>40</v>
      </c>
      <c r="G596" s="192" t="s">
        <v>41</v>
      </c>
      <c r="H596" s="192" t="s">
        <v>79</v>
      </c>
      <c r="I596" s="192" t="s">
        <v>80</v>
      </c>
      <c r="J596" s="121" t="s">
        <v>2239</v>
      </c>
      <c r="K596" s="192" t="s">
        <v>44</v>
      </c>
      <c r="L596" s="192" t="s">
        <v>81</v>
      </c>
      <c r="M596" s="146" t="s">
        <v>5</v>
      </c>
      <c r="N596" s="192" t="s">
        <v>781</v>
      </c>
      <c r="O596" s="197" t="s">
        <v>83</v>
      </c>
      <c r="P596" s="197" t="s">
        <v>1366</v>
      </c>
      <c r="Q596" s="196">
        <v>46095.488888888904</v>
      </c>
      <c r="R596" s="145">
        <v>46098</v>
      </c>
      <c r="S596" s="192"/>
    </row>
    <row r="597" spans="1:19" ht="160.94999999999999" customHeight="1" x14ac:dyDescent="0.25">
      <c r="A597" s="197" t="str">
        <f t="shared" si="15"/>
        <v>INC20260314596</v>
      </c>
      <c r="B597" s="193">
        <v>46095.500694444403</v>
      </c>
      <c r="C597" s="192" t="s">
        <v>77</v>
      </c>
      <c r="D597" s="194" t="s">
        <v>78</v>
      </c>
      <c r="E597" s="192" t="s">
        <v>125</v>
      </c>
      <c r="F597" s="192" t="s">
        <v>40</v>
      </c>
      <c r="G597" s="192" t="s">
        <v>41</v>
      </c>
      <c r="H597" s="192" t="s">
        <v>79</v>
      </c>
      <c r="I597" s="192" t="s">
        <v>80</v>
      </c>
      <c r="J597" s="121" t="s">
        <v>2240</v>
      </c>
      <c r="K597" s="192" t="s">
        <v>44</v>
      </c>
      <c r="L597" s="192" t="s">
        <v>81</v>
      </c>
      <c r="M597" s="146" t="s">
        <v>5</v>
      </c>
      <c r="N597" s="192" t="s">
        <v>782</v>
      </c>
      <c r="O597" s="197" t="s">
        <v>83</v>
      </c>
      <c r="P597" s="197" t="s">
        <v>1366</v>
      </c>
      <c r="Q597" s="196">
        <v>46095.502083333296</v>
      </c>
      <c r="R597" s="145">
        <v>46098</v>
      </c>
      <c r="S597" s="192"/>
    </row>
    <row r="598" spans="1:19" ht="172.95" customHeight="1" x14ac:dyDescent="0.25">
      <c r="A598" s="197" t="str">
        <f t="shared" si="15"/>
        <v>INC20260314597</v>
      </c>
      <c r="B598" s="193">
        <v>46095.503472222197</v>
      </c>
      <c r="C598" s="192" t="s">
        <v>77</v>
      </c>
      <c r="D598" s="194" t="s">
        <v>78</v>
      </c>
      <c r="E598" s="192" t="s">
        <v>125</v>
      </c>
      <c r="F598" s="192" t="s">
        <v>40</v>
      </c>
      <c r="G598" s="192" t="s">
        <v>41</v>
      </c>
      <c r="H598" s="192" t="s">
        <v>79</v>
      </c>
      <c r="I598" s="192" t="s">
        <v>80</v>
      </c>
      <c r="J598" s="121" t="s">
        <v>2241</v>
      </c>
      <c r="K598" s="192" t="s">
        <v>44</v>
      </c>
      <c r="L598" s="192" t="s">
        <v>81</v>
      </c>
      <c r="M598" s="146" t="s">
        <v>5</v>
      </c>
      <c r="N598" s="192" t="s">
        <v>783</v>
      </c>
      <c r="O598" s="197" t="s">
        <v>83</v>
      </c>
      <c r="P598" s="197" t="s">
        <v>1366</v>
      </c>
      <c r="Q598" s="196">
        <v>46095.509722222203</v>
      </c>
      <c r="R598" s="145">
        <v>46098</v>
      </c>
      <c r="S598" s="192"/>
    </row>
    <row r="599" spans="1:19" ht="157.94999999999999" customHeight="1" x14ac:dyDescent="0.25">
      <c r="A599" s="197" t="str">
        <f t="shared" si="15"/>
        <v>INC20260314598</v>
      </c>
      <c r="B599" s="193">
        <v>46095.508333333302</v>
      </c>
      <c r="C599" s="192" t="s">
        <v>77</v>
      </c>
      <c r="D599" s="194" t="s">
        <v>78</v>
      </c>
      <c r="E599" s="192" t="s">
        <v>125</v>
      </c>
      <c r="F599" s="192" t="s">
        <v>40</v>
      </c>
      <c r="G599" s="192" t="s">
        <v>41</v>
      </c>
      <c r="H599" s="192" t="s">
        <v>79</v>
      </c>
      <c r="I599" s="192" t="s">
        <v>80</v>
      </c>
      <c r="J599" s="121" t="s">
        <v>2242</v>
      </c>
      <c r="K599" s="192" t="s">
        <v>44</v>
      </c>
      <c r="L599" s="192" t="s">
        <v>81</v>
      </c>
      <c r="M599" s="146" t="s">
        <v>5</v>
      </c>
      <c r="N599" s="192" t="s">
        <v>783</v>
      </c>
      <c r="O599" s="197" t="s">
        <v>83</v>
      </c>
      <c r="P599" s="197" t="s">
        <v>1366</v>
      </c>
      <c r="Q599" s="196">
        <v>46095.511111111096</v>
      </c>
      <c r="R599" s="145">
        <v>46098</v>
      </c>
      <c r="S599" s="192"/>
    </row>
    <row r="600" spans="1:19" ht="168" customHeight="1" x14ac:dyDescent="0.25">
      <c r="A600" s="197" t="str">
        <f t="shared" si="15"/>
        <v>INC20260314599</v>
      </c>
      <c r="B600" s="193">
        <v>46095.515277777798</v>
      </c>
      <c r="C600" s="192" t="s">
        <v>77</v>
      </c>
      <c r="D600" s="194" t="s">
        <v>78</v>
      </c>
      <c r="E600" s="192" t="s">
        <v>125</v>
      </c>
      <c r="F600" s="192" t="s">
        <v>40</v>
      </c>
      <c r="G600" s="192" t="s">
        <v>41</v>
      </c>
      <c r="H600" s="192" t="s">
        <v>79</v>
      </c>
      <c r="I600" s="192" t="s">
        <v>80</v>
      </c>
      <c r="J600" s="121" t="s">
        <v>2243</v>
      </c>
      <c r="K600" s="192" t="s">
        <v>44</v>
      </c>
      <c r="L600" s="192" t="s">
        <v>81</v>
      </c>
      <c r="M600" s="146" t="s">
        <v>5</v>
      </c>
      <c r="N600" s="192" t="s">
        <v>784</v>
      </c>
      <c r="O600" s="197" t="s">
        <v>83</v>
      </c>
      <c r="P600" s="197" t="s">
        <v>1366</v>
      </c>
      <c r="Q600" s="196">
        <v>46095.515972222202</v>
      </c>
      <c r="R600" s="145">
        <v>46098</v>
      </c>
      <c r="S600" s="192"/>
    </row>
    <row r="601" spans="1:19" ht="184.95" customHeight="1" x14ac:dyDescent="0.25">
      <c r="A601" s="197" t="str">
        <f t="shared" si="15"/>
        <v>INC20260314600</v>
      </c>
      <c r="B601" s="193">
        <v>46095.515972222202</v>
      </c>
      <c r="C601" s="192" t="s">
        <v>77</v>
      </c>
      <c r="D601" s="194" t="s">
        <v>78</v>
      </c>
      <c r="E601" s="192" t="s">
        <v>125</v>
      </c>
      <c r="F601" s="192" t="s">
        <v>40</v>
      </c>
      <c r="G601" s="192" t="s">
        <v>41</v>
      </c>
      <c r="H601" s="192" t="s">
        <v>79</v>
      </c>
      <c r="I601" s="192" t="s">
        <v>80</v>
      </c>
      <c r="J601" s="121" t="s">
        <v>2244</v>
      </c>
      <c r="K601" s="192" t="s">
        <v>44</v>
      </c>
      <c r="L601" s="192" t="s">
        <v>81</v>
      </c>
      <c r="M601" s="146" t="s">
        <v>5</v>
      </c>
      <c r="N601" s="192" t="s">
        <v>785</v>
      </c>
      <c r="O601" s="197" t="s">
        <v>83</v>
      </c>
      <c r="P601" s="197" t="s">
        <v>1366</v>
      </c>
      <c r="Q601" s="196">
        <v>46095.517361111102</v>
      </c>
      <c r="R601" s="145">
        <v>46098</v>
      </c>
      <c r="S601" s="192"/>
    </row>
    <row r="602" spans="1:19" ht="184.95" customHeight="1" x14ac:dyDescent="0.25">
      <c r="A602" s="197" t="str">
        <f t="shared" si="15"/>
        <v>INC20260314601</v>
      </c>
      <c r="B602" s="193">
        <v>46095.5180555556</v>
      </c>
      <c r="C602" s="192" t="s">
        <v>77</v>
      </c>
      <c r="D602" s="194" t="s">
        <v>78</v>
      </c>
      <c r="E602" s="192" t="s">
        <v>125</v>
      </c>
      <c r="F602" s="192" t="s">
        <v>40</v>
      </c>
      <c r="G602" s="192" t="s">
        <v>41</v>
      </c>
      <c r="H602" s="192" t="s">
        <v>79</v>
      </c>
      <c r="I602" s="192" t="s">
        <v>80</v>
      </c>
      <c r="J602" s="121" t="s">
        <v>2245</v>
      </c>
      <c r="K602" s="192" t="s">
        <v>44</v>
      </c>
      <c r="L602" s="192" t="s">
        <v>81</v>
      </c>
      <c r="M602" s="146" t="s">
        <v>5</v>
      </c>
      <c r="N602" s="192" t="s">
        <v>786</v>
      </c>
      <c r="O602" s="197" t="s">
        <v>83</v>
      </c>
      <c r="P602" s="197" t="s">
        <v>1366</v>
      </c>
      <c r="Q602" s="196">
        <v>46095.519444444399</v>
      </c>
      <c r="R602" s="145">
        <v>46098</v>
      </c>
      <c r="S602" s="192"/>
    </row>
    <row r="603" spans="1:19" ht="187.05" customHeight="1" x14ac:dyDescent="0.25">
      <c r="A603" s="197" t="str">
        <f t="shared" si="15"/>
        <v>INC20260314602</v>
      </c>
      <c r="B603" s="193">
        <v>46095.525000000001</v>
      </c>
      <c r="C603" s="192" t="s">
        <v>77</v>
      </c>
      <c r="D603" s="194" t="s">
        <v>78</v>
      </c>
      <c r="E603" s="192" t="s">
        <v>125</v>
      </c>
      <c r="F603" s="192" t="s">
        <v>40</v>
      </c>
      <c r="G603" s="192" t="s">
        <v>41</v>
      </c>
      <c r="H603" s="192" t="s">
        <v>79</v>
      </c>
      <c r="I603" s="192" t="s">
        <v>80</v>
      </c>
      <c r="J603" s="121" t="s">
        <v>2246</v>
      </c>
      <c r="K603" s="192" t="s">
        <v>44</v>
      </c>
      <c r="L603" s="192" t="s">
        <v>81</v>
      </c>
      <c r="M603" s="146" t="s">
        <v>5</v>
      </c>
      <c r="N603" s="192" t="s">
        <v>787</v>
      </c>
      <c r="O603" s="197" t="s">
        <v>83</v>
      </c>
      <c r="P603" s="197" t="s">
        <v>1366</v>
      </c>
      <c r="Q603" s="196">
        <v>46095.526388888902</v>
      </c>
      <c r="R603" s="145">
        <v>46098</v>
      </c>
      <c r="S603" s="192"/>
    </row>
    <row r="604" spans="1:19" ht="153" customHeight="1" x14ac:dyDescent="0.25">
      <c r="A604" s="197" t="str">
        <f t="shared" si="15"/>
        <v>INC20260314603</v>
      </c>
      <c r="B604" s="193">
        <v>46095.545138888898</v>
      </c>
      <c r="C604" s="192" t="s">
        <v>77</v>
      </c>
      <c r="D604" s="194" t="s">
        <v>78</v>
      </c>
      <c r="E604" s="192" t="s">
        <v>125</v>
      </c>
      <c r="F604" s="192" t="s">
        <v>40</v>
      </c>
      <c r="G604" s="192" t="s">
        <v>41</v>
      </c>
      <c r="H604" s="192" t="s">
        <v>79</v>
      </c>
      <c r="I604" s="192" t="s">
        <v>80</v>
      </c>
      <c r="J604" s="121" t="s">
        <v>2247</v>
      </c>
      <c r="K604" s="192" t="s">
        <v>44</v>
      </c>
      <c r="L604" s="192" t="s">
        <v>81</v>
      </c>
      <c r="M604" s="146" t="s">
        <v>5</v>
      </c>
      <c r="N604" s="192" t="s">
        <v>787</v>
      </c>
      <c r="O604" s="197" t="s">
        <v>83</v>
      </c>
      <c r="P604" s="197" t="s">
        <v>1366</v>
      </c>
      <c r="Q604" s="196">
        <v>46095</v>
      </c>
      <c r="R604" s="145">
        <v>46098</v>
      </c>
      <c r="S604" s="192"/>
    </row>
    <row r="605" spans="1:19" ht="172.05" customHeight="1" x14ac:dyDescent="0.25">
      <c r="A605" s="197" t="str">
        <f t="shared" si="15"/>
        <v>INC20260314604</v>
      </c>
      <c r="B605" s="193">
        <v>46095.610416666699</v>
      </c>
      <c r="C605" s="192" t="s">
        <v>77</v>
      </c>
      <c r="D605" s="194" t="s">
        <v>78</v>
      </c>
      <c r="E605" s="192" t="s">
        <v>125</v>
      </c>
      <c r="F605" s="192" t="s">
        <v>40</v>
      </c>
      <c r="G605" s="192" t="s">
        <v>41</v>
      </c>
      <c r="H605" s="192" t="s">
        <v>79</v>
      </c>
      <c r="I605" s="192" t="s">
        <v>80</v>
      </c>
      <c r="J605" s="121" t="s">
        <v>2248</v>
      </c>
      <c r="K605" s="192" t="s">
        <v>44</v>
      </c>
      <c r="L605" s="192" t="s">
        <v>81</v>
      </c>
      <c r="M605" s="146" t="s">
        <v>5</v>
      </c>
      <c r="N605" s="192" t="s">
        <v>788</v>
      </c>
      <c r="O605" s="197" t="s">
        <v>83</v>
      </c>
      <c r="P605" s="197" t="s">
        <v>1366</v>
      </c>
      <c r="Q605" s="196">
        <v>46095.615277777797</v>
      </c>
      <c r="R605" s="145">
        <v>46098</v>
      </c>
      <c r="S605" s="192"/>
    </row>
    <row r="606" spans="1:19" ht="145.94999999999999" customHeight="1" x14ac:dyDescent="0.25">
      <c r="A606" s="197" t="str">
        <f t="shared" si="15"/>
        <v>INC20260314605</v>
      </c>
      <c r="B606" s="193">
        <v>46095.686805555597</v>
      </c>
      <c r="C606" s="192" t="s">
        <v>77</v>
      </c>
      <c r="D606" s="194" t="s">
        <v>78</v>
      </c>
      <c r="E606" s="192" t="s">
        <v>125</v>
      </c>
      <c r="F606" s="192" t="s">
        <v>40</v>
      </c>
      <c r="G606" s="192" t="s">
        <v>41</v>
      </c>
      <c r="H606" s="192" t="s">
        <v>79</v>
      </c>
      <c r="I606" s="192" t="s">
        <v>80</v>
      </c>
      <c r="J606" s="121" t="s">
        <v>2249</v>
      </c>
      <c r="K606" s="192" t="s">
        <v>44</v>
      </c>
      <c r="L606" s="192" t="s">
        <v>81</v>
      </c>
      <c r="M606" s="146" t="s">
        <v>5</v>
      </c>
      <c r="N606" s="192" t="s">
        <v>788</v>
      </c>
      <c r="O606" s="197" t="s">
        <v>83</v>
      </c>
      <c r="P606" s="197" t="s">
        <v>1366</v>
      </c>
      <c r="Q606" s="196">
        <v>46095.699305555601</v>
      </c>
      <c r="R606" s="145">
        <v>46098</v>
      </c>
      <c r="S606" s="192"/>
    </row>
    <row r="607" spans="1:19" ht="168" customHeight="1" x14ac:dyDescent="0.25">
      <c r="A607" s="197" t="str">
        <f t="shared" si="15"/>
        <v>INC20260314606</v>
      </c>
      <c r="B607" s="193">
        <v>46095.706250000003</v>
      </c>
      <c r="C607" s="192" t="s">
        <v>77</v>
      </c>
      <c r="D607" s="194" t="s">
        <v>78</v>
      </c>
      <c r="E607" s="192" t="s">
        <v>125</v>
      </c>
      <c r="F607" s="192" t="s">
        <v>40</v>
      </c>
      <c r="G607" s="192" t="s">
        <v>41</v>
      </c>
      <c r="H607" s="192" t="s">
        <v>79</v>
      </c>
      <c r="I607" s="192" t="s">
        <v>80</v>
      </c>
      <c r="J607" s="121" t="s">
        <v>2250</v>
      </c>
      <c r="K607" s="192" t="s">
        <v>44</v>
      </c>
      <c r="L607" s="192" t="s">
        <v>81</v>
      </c>
      <c r="M607" s="146" t="s">
        <v>5</v>
      </c>
      <c r="N607" s="192" t="s">
        <v>789</v>
      </c>
      <c r="O607" s="197" t="s">
        <v>83</v>
      </c>
      <c r="P607" s="197" t="s">
        <v>1366</v>
      </c>
      <c r="Q607" s="196">
        <v>46095.707638888904</v>
      </c>
      <c r="R607" s="145">
        <v>46098</v>
      </c>
      <c r="S607" s="192"/>
    </row>
    <row r="608" spans="1:19" ht="178.05" customHeight="1" x14ac:dyDescent="0.25">
      <c r="A608" s="197" t="str">
        <f t="shared" si="15"/>
        <v>INC20260314607</v>
      </c>
      <c r="B608" s="193">
        <v>46095.7631944444</v>
      </c>
      <c r="C608" s="192" t="s">
        <v>77</v>
      </c>
      <c r="D608" s="194" t="s">
        <v>78</v>
      </c>
      <c r="E608" s="192" t="s">
        <v>125</v>
      </c>
      <c r="F608" s="192" t="s">
        <v>40</v>
      </c>
      <c r="G608" s="192" t="s">
        <v>41</v>
      </c>
      <c r="H608" s="192" t="s">
        <v>79</v>
      </c>
      <c r="I608" s="192" t="s">
        <v>80</v>
      </c>
      <c r="J608" s="121" t="s">
        <v>2251</v>
      </c>
      <c r="K608" s="192" t="s">
        <v>44</v>
      </c>
      <c r="L608" s="192" t="s">
        <v>81</v>
      </c>
      <c r="M608" s="146" t="s">
        <v>5</v>
      </c>
      <c r="N608" s="192" t="s">
        <v>790</v>
      </c>
      <c r="O608" s="197" t="s">
        <v>83</v>
      </c>
      <c r="P608" s="197" t="s">
        <v>1366</v>
      </c>
      <c r="Q608" s="196">
        <v>46095.777083333298</v>
      </c>
      <c r="R608" s="145">
        <v>46098</v>
      </c>
      <c r="S608" s="192"/>
    </row>
    <row r="609" spans="1:19" ht="148.94999999999999" customHeight="1" x14ac:dyDescent="0.25">
      <c r="A609" s="197" t="str">
        <f t="shared" si="15"/>
        <v>INC20260315608</v>
      </c>
      <c r="B609" s="193">
        <v>46096.733333333301</v>
      </c>
      <c r="C609" s="192" t="s">
        <v>77</v>
      </c>
      <c r="D609" s="194" t="s">
        <v>78</v>
      </c>
      <c r="E609" s="192" t="s">
        <v>69</v>
      </c>
      <c r="F609" s="192" t="s">
        <v>40</v>
      </c>
      <c r="G609" s="192" t="s">
        <v>60</v>
      </c>
      <c r="H609" s="192" t="s">
        <v>79</v>
      </c>
      <c r="I609" s="192" t="s">
        <v>84</v>
      </c>
      <c r="J609" s="121" t="s">
        <v>2252</v>
      </c>
      <c r="K609" s="192" t="s">
        <v>63</v>
      </c>
      <c r="L609" s="192" t="s">
        <v>81</v>
      </c>
      <c r="M609" s="146" t="s">
        <v>5</v>
      </c>
      <c r="N609" s="192" t="s">
        <v>791</v>
      </c>
      <c r="O609" s="192" t="s">
        <v>86</v>
      </c>
      <c r="P609" s="192" t="s">
        <v>87</v>
      </c>
      <c r="Q609" s="196">
        <v>46096.753472222197</v>
      </c>
      <c r="R609" s="145">
        <v>46098</v>
      </c>
      <c r="S609" s="192"/>
    </row>
    <row r="610" spans="1:19" ht="169.95" customHeight="1" x14ac:dyDescent="0.25">
      <c r="A610" s="197" t="str">
        <f t="shared" si="15"/>
        <v>INC20260315609</v>
      </c>
      <c r="B610" s="193">
        <v>46096.851388888899</v>
      </c>
      <c r="C610" s="192" t="s">
        <v>77</v>
      </c>
      <c r="D610" s="194" t="s">
        <v>78</v>
      </c>
      <c r="E610" s="192" t="s">
        <v>74</v>
      </c>
      <c r="F610" s="192" t="s">
        <v>40</v>
      </c>
      <c r="G610" s="192" t="s">
        <v>60</v>
      </c>
      <c r="H610" s="192" t="s">
        <v>79</v>
      </c>
      <c r="I610" s="192" t="s">
        <v>84</v>
      </c>
      <c r="J610" s="121" t="s">
        <v>2253</v>
      </c>
      <c r="K610" s="192" t="s">
        <v>63</v>
      </c>
      <c r="L610" s="192" t="s">
        <v>81</v>
      </c>
      <c r="M610" s="146" t="s">
        <v>5</v>
      </c>
      <c r="N610" s="192" t="s">
        <v>792</v>
      </c>
      <c r="O610" s="192" t="s">
        <v>86</v>
      </c>
      <c r="P610" s="192" t="s">
        <v>87</v>
      </c>
      <c r="Q610" s="196">
        <v>46096.877083333296</v>
      </c>
      <c r="R610" s="145">
        <v>46098</v>
      </c>
      <c r="S610" s="192"/>
    </row>
    <row r="611" spans="1:19" ht="166.95" customHeight="1" x14ac:dyDescent="0.25">
      <c r="A611" s="197" t="str">
        <f t="shared" si="15"/>
        <v>INC20260317610</v>
      </c>
      <c r="B611" s="199">
        <v>46098.566666666702</v>
      </c>
      <c r="C611" s="192" t="s">
        <v>37</v>
      </c>
      <c r="D611" s="194" t="s">
        <v>49</v>
      </c>
      <c r="E611" s="192" t="s">
        <v>50</v>
      </c>
      <c r="F611" s="192" t="s">
        <v>40</v>
      </c>
      <c r="G611" s="192" t="s">
        <v>51</v>
      </c>
      <c r="H611" s="192" t="s">
        <v>92</v>
      </c>
      <c r="I611" s="192" t="s">
        <v>93</v>
      </c>
      <c r="J611" s="195" t="s">
        <v>2254</v>
      </c>
      <c r="K611" s="192" t="s">
        <v>54</v>
      </c>
      <c r="L611" s="192" t="s">
        <v>55</v>
      </c>
      <c r="M611" s="146" t="s">
        <v>5</v>
      </c>
      <c r="N611" s="192" t="s">
        <v>793</v>
      </c>
      <c r="O611" s="192" t="s">
        <v>95</v>
      </c>
      <c r="P611" s="192" t="s">
        <v>96</v>
      </c>
      <c r="Q611" s="145">
        <v>46108</v>
      </c>
      <c r="R611" s="145">
        <v>46107</v>
      </c>
      <c r="S611" s="192"/>
    </row>
    <row r="612" spans="1:19" ht="187.05" customHeight="1" x14ac:dyDescent="0.25">
      <c r="A612" s="197" t="str">
        <f t="shared" si="15"/>
        <v>INC20260317611</v>
      </c>
      <c r="B612" s="199">
        <v>46098.5534722222</v>
      </c>
      <c r="C612" s="192" t="s">
        <v>37</v>
      </c>
      <c r="D612" s="194" t="s">
        <v>49</v>
      </c>
      <c r="E612" s="192" t="s">
        <v>50</v>
      </c>
      <c r="F612" s="192" t="s">
        <v>40</v>
      </c>
      <c r="G612" s="192" t="s">
        <v>51</v>
      </c>
      <c r="H612" s="192" t="s">
        <v>92</v>
      </c>
      <c r="I612" s="192" t="s">
        <v>93</v>
      </c>
      <c r="J612" s="195" t="s">
        <v>2255</v>
      </c>
      <c r="K612" s="192" t="s">
        <v>54</v>
      </c>
      <c r="L612" s="192" t="s">
        <v>55</v>
      </c>
      <c r="M612" s="146" t="s">
        <v>5</v>
      </c>
      <c r="N612" s="192" t="s">
        <v>794</v>
      </c>
      <c r="O612" s="192" t="s">
        <v>95</v>
      </c>
      <c r="P612" s="192" t="s">
        <v>96</v>
      </c>
      <c r="Q612" s="145">
        <v>46107</v>
      </c>
      <c r="R612" s="145">
        <v>46107</v>
      </c>
      <c r="S612" s="192"/>
    </row>
    <row r="613" spans="1:19" ht="168" customHeight="1" x14ac:dyDescent="0.25">
      <c r="A613" s="197" t="str">
        <f t="shared" si="15"/>
        <v>INC20260317612</v>
      </c>
      <c r="B613" s="199">
        <v>46098.940972222197</v>
      </c>
      <c r="C613" s="192" t="s">
        <v>37</v>
      </c>
      <c r="D613" s="194" t="s">
        <v>795</v>
      </c>
      <c r="E613" s="192" t="s">
        <v>50</v>
      </c>
      <c r="F613" s="192" t="s">
        <v>40</v>
      </c>
      <c r="G613" s="192" t="s">
        <v>51</v>
      </c>
      <c r="H613" s="192" t="s">
        <v>42</v>
      </c>
      <c r="I613" s="192" t="s">
        <v>630</v>
      </c>
      <c r="J613" s="195" t="s">
        <v>2256</v>
      </c>
      <c r="K613" s="192" t="s">
        <v>54</v>
      </c>
      <c r="L613" s="192" t="s">
        <v>55</v>
      </c>
      <c r="M613" s="146" t="s">
        <v>5</v>
      </c>
      <c r="N613" s="192" t="s">
        <v>796</v>
      </c>
      <c r="O613" s="192"/>
      <c r="P613" s="192"/>
      <c r="Q613" s="145">
        <v>46099</v>
      </c>
      <c r="R613" s="145">
        <v>46107</v>
      </c>
      <c r="S613" s="192"/>
    </row>
    <row r="614" spans="1:19" ht="157.94999999999999" customHeight="1" x14ac:dyDescent="0.25">
      <c r="A614" s="197" t="str">
        <f t="shared" si="15"/>
        <v>INC20260318613</v>
      </c>
      <c r="B614" s="199">
        <v>46099.341666666704</v>
      </c>
      <c r="C614" s="192" t="s">
        <v>37</v>
      </c>
      <c r="D614" s="194" t="s">
        <v>797</v>
      </c>
      <c r="E614" s="192" t="s">
        <v>50</v>
      </c>
      <c r="F614" s="192" t="s">
        <v>40</v>
      </c>
      <c r="G614" s="192" t="s">
        <v>51</v>
      </c>
      <c r="H614" s="192" t="s">
        <v>42</v>
      </c>
      <c r="I614" s="192" t="s">
        <v>630</v>
      </c>
      <c r="J614" s="195" t="s">
        <v>2257</v>
      </c>
      <c r="K614" s="192" t="s">
        <v>54</v>
      </c>
      <c r="L614" s="192" t="s">
        <v>55</v>
      </c>
      <c r="M614" s="146" t="s">
        <v>5</v>
      </c>
      <c r="N614" s="192" t="s">
        <v>798</v>
      </c>
      <c r="O614" s="192"/>
      <c r="P614" s="192"/>
      <c r="Q614" s="145">
        <v>46099</v>
      </c>
      <c r="R614" s="145">
        <v>46107</v>
      </c>
      <c r="S614" s="192"/>
    </row>
    <row r="615" spans="1:19" ht="163.05000000000001" customHeight="1" x14ac:dyDescent="0.25">
      <c r="A615" s="197" t="str">
        <f t="shared" si="15"/>
        <v>INC20260318614</v>
      </c>
      <c r="B615" s="199">
        <v>46099.349305555603</v>
      </c>
      <c r="C615" s="192" t="s">
        <v>37</v>
      </c>
      <c r="D615" s="194" t="s">
        <v>38</v>
      </c>
      <c r="E615" s="192" t="s">
        <v>39</v>
      </c>
      <c r="F615" s="192" t="s">
        <v>40</v>
      </c>
      <c r="G615" s="192" t="s">
        <v>41</v>
      </c>
      <c r="H615" s="192" t="s">
        <v>42</v>
      </c>
      <c r="I615" s="192" t="s">
        <v>43</v>
      </c>
      <c r="J615" s="195" t="s">
        <v>2258</v>
      </c>
      <c r="K615" s="192" t="s">
        <v>44</v>
      </c>
      <c r="L615" s="192" t="s">
        <v>45</v>
      </c>
      <c r="M615" s="143" t="s">
        <v>5</v>
      </c>
      <c r="N615" s="198" t="s">
        <v>799</v>
      </c>
      <c r="O615" s="192"/>
      <c r="P615" s="144" t="s">
        <v>47</v>
      </c>
      <c r="Q615" s="145">
        <v>46107</v>
      </c>
      <c r="R615" s="145">
        <v>46107</v>
      </c>
      <c r="S615" s="192"/>
    </row>
    <row r="616" spans="1:19" ht="115.95" customHeight="1" x14ac:dyDescent="0.25">
      <c r="A616" s="197" t="str">
        <f t="shared" si="15"/>
        <v>INC20260318615</v>
      </c>
      <c r="B616" s="199">
        <v>46099.921527777798</v>
      </c>
      <c r="C616" s="192" t="s">
        <v>37</v>
      </c>
      <c r="D616" s="194" t="s">
        <v>800</v>
      </c>
      <c r="E616" s="192" t="s">
        <v>50</v>
      </c>
      <c r="F616" s="192" t="s">
        <v>40</v>
      </c>
      <c r="G616" s="192" t="s">
        <v>51</v>
      </c>
      <c r="H616" s="192" t="s">
        <v>42</v>
      </c>
      <c r="I616" s="192" t="s">
        <v>630</v>
      </c>
      <c r="J616" s="195" t="s">
        <v>2259</v>
      </c>
      <c r="K616" s="192" t="s">
        <v>54</v>
      </c>
      <c r="L616" s="192" t="s">
        <v>55</v>
      </c>
      <c r="M616" s="146" t="s">
        <v>5</v>
      </c>
      <c r="N616" s="192" t="s">
        <v>801</v>
      </c>
      <c r="O616" s="192"/>
      <c r="P616" s="192"/>
      <c r="Q616" s="145">
        <v>46099</v>
      </c>
      <c r="R616" s="145">
        <v>46107</v>
      </c>
      <c r="S616" s="192"/>
    </row>
    <row r="617" spans="1:19" ht="151.94999999999999" customHeight="1" x14ac:dyDescent="0.25">
      <c r="A617" s="197" t="str">
        <f t="shared" si="15"/>
        <v>INC20260319616</v>
      </c>
      <c r="B617" s="199">
        <v>46100.084027777797</v>
      </c>
      <c r="C617" s="192" t="s">
        <v>37</v>
      </c>
      <c r="D617" s="194" t="s">
        <v>802</v>
      </c>
      <c r="E617" s="192" t="s">
        <v>397</v>
      </c>
      <c r="F617" s="192" t="s">
        <v>59</v>
      </c>
      <c r="G617" s="192" t="s">
        <v>60</v>
      </c>
      <c r="H617" s="192" t="s">
        <v>61</v>
      </c>
      <c r="I617" s="192" t="s">
        <v>62</v>
      </c>
      <c r="J617" s="121" t="s">
        <v>2260</v>
      </c>
      <c r="K617" s="192" t="s">
        <v>151</v>
      </c>
      <c r="L617" s="192" t="s">
        <v>81</v>
      </c>
      <c r="M617" s="146" t="s">
        <v>5</v>
      </c>
      <c r="N617" s="192" t="s">
        <v>803</v>
      </c>
      <c r="O617" s="192" t="s">
        <v>66</v>
      </c>
      <c r="P617" s="192" t="s">
        <v>67</v>
      </c>
      <c r="Q617" s="145"/>
      <c r="R617" s="145">
        <v>46107</v>
      </c>
      <c r="S617" s="192"/>
    </row>
    <row r="618" spans="1:19" ht="147" customHeight="1" x14ac:dyDescent="0.25">
      <c r="A618" s="197" t="str">
        <f t="shared" si="15"/>
        <v>INC20260319617</v>
      </c>
      <c r="B618" s="199">
        <v>46100.867361111101</v>
      </c>
      <c r="C618" s="192" t="s">
        <v>37</v>
      </c>
      <c r="D618" s="194" t="s">
        <v>804</v>
      </c>
      <c r="E618" s="192" t="s">
        <v>805</v>
      </c>
      <c r="F618" s="192" t="s">
        <v>59</v>
      </c>
      <c r="G618" s="192" t="s">
        <v>41</v>
      </c>
      <c r="H618" s="192" t="s">
        <v>61</v>
      </c>
      <c r="I618" s="192" t="s">
        <v>62</v>
      </c>
      <c r="J618" s="121" t="s">
        <v>2261</v>
      </c>
      <c r="K618" s="192" t="s">
        <v>44</v>
      </c>
      <c r="L618" s="192" t="s">
        <v>81</v>
      </c>
      <c r="M618" s="146" t="s">
        <v>5</v>
      </c>
      <c r="N618" s="192" t="s">
        <v>806</v>
      </c>
      <c r="O618" s="192" t="s">
        <v>66</v>
      </c>
      <c r="P618" s="192" t="s">
        <v>67</v>
      </c>
      <c r="Q618" s="145">
        <v>46101</v>
      </c>
      <c r="R618" s="145">
        <v>46107</v>
      </c>
      <c r="S618" s="192"/>
    </row>
    <row r="619" spans="1:19" ht="139.94999999999999" customHeight="1" x14ac:dyDescent="0.25">
      <c r="A619" s="197" t="str">
        <f t="shared" si="15"/>
        <v>INC20260321618</v>
      </c>
      <c r="B619" s="199">
        <v>46102.7631944444</v>
      </c>
      <c r="C619" s="192" t="s">
        <v>37</v>
      </c>
      <c r="D619" s="194" t="s">
        <v>807</v>
      </c>
      <c r="E619" s="192" t="s">
        <v>58</v>
      </c>
      <c r="F619" s="192" t="s">
        <v>59</v>
      </c>
      <c r="G619" s="192" t="s">
        <v>60</v>
      </c>
      <c r="H619" s="192" t="s">
        <v>61</v>
      </c>
      <c r="I619" s="192" t="s">
        <v>62</v>
      </c>
      <c r="J619" s="121" t="s">
        <v>2262</v>
      </c>
      <c r="K619" s="192" t="s">
        <v>151</v>
      </c>
      <c r="L619" s="192" t="s">
        <v>81</v>
      </c>
      <c r="M619" s="146" t="s">
        <v>5</v>
      </c>
      <c r="N619" s="192" t="s">
        <v>808</v>
      </c>
      <c r="O619" s="192" t="s">
        <v>66</v>
      </c>
      <c r="P619" s="192" t="s">
        <v>67</v>
      </c>
      <c r="Q619" s="145">
        <v>46114</v>
      </c>
      <c r="R619" s="145">
        <v>46107</v>
      </c>
      <c r="S619" s="192"/>
    </row>
    <row r="620" spans="1:19" ht="124.05" customHeight="1" x14ac:dyDescent="0.25">
      <c r="A620" s="197" t="str">
        <f t="shared" si="15"/>
        <v>INC20260322619</v>
      </c>
      <c r="B620" s="199">
        <v>46103.715972222199</v>
      </c>
      <c r="C620" s="192" t="s">
        <v>37</v>
      </c>
      <c r="D620" s="174" t="s">
        <v>1695</v>
      </c>
      <c r="E620" s="192" t="s">
        <v>50</v>
      </c>
      <c r="F620" s="192" t="s">
        <v>40</v>
      </c>
      <c r="G620" s="192" t="s">
        <v>51</v>
      </c>
      <c r="H620" s="192" t="s">
        <v>42</v>
      </c>
      <c r="I620" s="192" t="s">
        <v>630</v>
      </c>
      <c r="J620" s="195" t="s">
        <v>2263</v>
      </c>
      <c r="K620" s="192" t="s">
        <v>54</v>
      </c>
      <c r="L620" s="192" t="s">
        <v>55</v>
      </c>
      <c r="M620" s="146" t="s">
        <v>5</v>
      </c>
      <c r="N620" s="192" t="s">
        <v>809</v>
      </c>
      <c r="O620" s="192"/>
      <c r="P620" s="192"/>
      <c r="Q620" s="145">
        <v>46108</v>
      </c>
      <c r="R620" s="145">
        <v>46107</v>
      </c>
      <c r="S620" s="192"/>
    </row>
    <row r="621" spans="1:19" ht="124.95" customHeight="1" x14ac:dyDescent="0.25">
      <c r="A621" s="197" t="str">
        <f t="shared" si="15"/>
        <v>INC20260323620</v>
      </c>
      <c r="B621" s="199">
        <v>46104.438194444403</v>
      </c>
      <c r="C621" s="192" t="s">
        <v>37</v>
      </c>
      <c r="D621" s="194" t="s">
        <v>810</v>
      </c>
      <c r="E621" s="192" t="s">
        <v>50</v>
      </c>
      <c r="F621" s="192" t="s">
        <v>40</v>
      </c>
      <c r="G621" s="192" t="s">
        <v>51</v>
      </c>
      <c r="H621" s="192" t="s">
        <v>42</v>
      </c>
      <c r="I621" s="192" t="s">
        <v>630</v>
      </c>
      <c r="J621" s="195" t="s">
        <v>2264</v>
      </c>
      <c r="K621" s="192" t="s">
        <v>54</v>
      </c>
      <c r="L621" s="192" t="s">
        <v>55</v>
      </c>
      <c r="M621" s="146" t="s">
        <v>5</v>
      </c>
      <c r="N621" s="192" t="s">
        <v>811</v>
      </c>
      <c r="O621" s="192"/>
      <c r="P621" s="192"/>
      <c r="Q621" s="145"/>
      <c r="R621" s="145">
        <v>46107</v>
      </c>
      <c r="S621" s="192"/>
    </row>
    <row r="622" spans="1:19" ht="136.94999999999999" customHeight="1" x14ac:dyDescent="0.25">
      <c r="A622" s="197" t="str">
        <f t="shared" si="15"/>
        <v>INC20260323621</v>
      </c>
      <c r="B622" s="199">
        <v>46104.715972222199</v>
      </c>
      <c r="C622" s="192" t="s">
        <v>37</v>
      </c>
      <c r="D622" s="194" t="s">
        <v>812</v>
      </c>
      <c r="E622" s="192" t="s">
        <v>50</v>
      </c>
      <c r="F622" s="192" t="s">
        <v>40</v>
      </c>
      <c r="G622" s="192" t="s">
        <v>51</v>
      </c>
      <c r="H622" s="192" t="s">
        <v>42</v>
      </c>
      <c r="I622" s="192" t="s">
        <v>630</v>
      </c>
      <c r="J622" s="195" t="s">
        <v>2265</v>
      </c>
      <c r="K622" s="192" t="s">
        <v>54</v>
      </c>
      <c r="L622" s="192" t="s">
        <v>55</v>
      </c>
      <c r="M622" s="146" t="s">
        <v>5</v>
      </c>
      <c r="N622" s="192" t="s">
        <v>813</v>
      </c>
      <c r="O622" s="192"/>
      <c r="P622" s="192"/>
      <c r="Q622" s="145">
        <v>46108</v>
      </c>
      <c r="R622" s="145">
        <v>46107</v>
      </c>
      <c r="S622" s="192"/>
    </row>
    <row r="623" spans="1:19" ht="108" customHeight="1" x14ac:dyDescent="0.25">
      <c r="A623" s="197" t="str">
        <f t="shared" si="15"/>
        <v>INC20260323622</v>
      </c>
      <c r="B623" s="199">
        <v>46104.454166666699</v>
      </c>
      <c r="C623" s="192" t="s">
        <v>37</v>
      </c>
      <c r="D623" s="194" t="s">
        <v>814</v>
      </c>
      <c r="E623" s="192" t="s">
        <v>50</v>
      </c>
      <c r="F623" s="192" t="s">
        <v>40</v>
      </c>
      <c r="G623" s="192" t="s">
        <v>51</v>
      </c>
      <c r="H623" s="192" t="s">
        <v>42</v>
      </c>
      <c r="I623" s="192" t="s">
        <v>630</v>
      </c>
      <c r="J623" s="195" t="s">
        <v>2266</v>
      </c>
      <c r="K623" s="192" t="s">
        <v>54</v>
      </c>
      <c r="L623" s="192" t="s">
        <v>55</v>
      </c>
      <c r="M623" s="146" t="s">
        <v>5</v>
      </c>
      <c r="N623" s="192" t="s">
        <v>815</v>
      </c>
      <c r="O623" s="192"/>
      <c r="P623" s="192"/>
      <c r="Q623" s="145">
        <v>46105</v>
      </c>
      <c r="R623" s="145">
        <v>46107</v>
      </c>
      <c r="S623" s="192"/>
    </row>
    <row r="624" spans="1:19" ht="115.95" customHeight="1" x14ac:dyDescent="0.25">
      <c r="A624" s="197" t="str">
        <f t="shared" si="15"/>
        <v>INC20260325623</v>
      </c>
      <c r="B624" s="199">
        <v>46106.345138888901</v>
      </c>
      <c r="C624" s="192" t="s">
        <v>37</v>
      </c>
      <c r="D624" s="194" t="s">
        <v>816</v>
      </c>
      <c r="E624" s="192" t="s">
        <v>50</v>
      </c>
      <c r="F624" s="192" t="s">
        <v>40</v>
      </c>
      <c r="G624" s="192" t="s">
        <v>51</v>
      </c>
      <c r="H624" s="192" t="s">
        <v>42</v>
      </c>
      <c r="I624" s="192" t="s">
        <v>630</v>
      </c>
      <c r="J624" s="195" t="s">
        <v>2267</v>
      </c>
      <c r="K624" s="192" t="s">
        <v>54</v>
      </c>
      <c r="L624" s="192" t="s">
        <v>55</v>
      </c>
      <c r="M624" s="146" t="s">
        <v>5</v>
      </c>
      <c r="N624" s="192" t="s">
        <v>817</v>
      </c>
      <c r="O624" s="192"/>
      <c r="P624" s="192"/>
      <c r="Q624" s="145">
        <v>46107</v>
      </c>
      <c r="R624" s="145">
        <v>46107</v>
      </c>
      <c r="S624" s="192"/>
    </row>
    <row r="625" spans="1:19" ht="135" customHeight="1" x14ac:dyDescent="0.25">
      <c r="A625" s="197" t="str">
        <f t="shared" si="15"/>
        <v>INC20260325624</v>
      </c>
      <c r="B625" s="199">
        <v>46106.4284722222</v>
      </c>
      <c r="C625" s="192" t="s">
        <v>37</v>
      </c>
      <c r="D625" s="194" t="s">
        <v>38</v>
      </c>
      <c r="E625" s="192" t="s">
        <v>39</v>
      </c>
      <c r="F625" s="192" t="s">
        <v>40</v>
      </c>
      <c r="G625" s="192" t="s">
        <v>41</v>
      </c>
      <c r="H625" s="192" t="s">
        <v>42</v>
      </c>
      <c r="I625" s="192" t="s">
        <v>43</v>
      </c>
      <c r="J625" s="195" t="s">
        <v>2268</v>
      </c>
      <c r="K625" s="192" t="s">
        <v>44</v>
      </c>
      <c r="L625" s="192" t="s">
        <v>45</v>
      </c>
      <c r="M625" s="143" t="s">
        <v>5</v>
      </c>
      <c r="N625" s="198" t="s">
        <v>818</v>
      </c>
      <c r="O625" s="192"/>
      <c r="P625" s="192"/>
      <c r="Q625" s="145">
        <v>46108</v>
      </c>
      <c r="R625" s="145">
        <v>46107</v>
      </c>
      <c r="S625" s="192"/>
    </row>
    <row r="626" spans="1:19" ht="126" customHeight="1" x14ac:dyDescent="0.25">
      <c r="A626" s="197" t="str">
        <f t="shared" si="15"/>
        <v>INC20260325625</v>
      </c>
      <c r="B626" s="199">
        <v>46106.436111111099</v>
      </c>
      <c r="C626" s="192" t="s">
        <v>37</v>
      </c>
      <c r="D626" s="194" t="s">
        <v>819</v>
      </c>
      <c r="E626" s="192" t="s">
        <v>50</v>
      </c>
      <c r="F626" s="192" t="s">
        <v>40</v>
      </c>
      <c r="G626" s="192" t="s">
        <v>51</v>
      </c>
      <c r="H626" s="192" t="s">
        <v>42</v>
      </c>
      <c r="I626" s="192" t="s">
        <v>630</v>
      </c>
      <c r="J626" s="195" t="s">
        <v>2256</v>
      </c>
      <c r="K626" s="192" t="s">
        <v>54</v>
      </c>
      <c r="L626" s="192" t="s">
        <v>55</v>
      </c>
      <c r="M626" s="146" t="s">
        <v>5</v>
      </c>
      <c r="N626" s="192" t="s">
        <v>820</v>
      </c>
      <c r="O626" s="192"/>
      <c r="P626" s="192"/>
      <c r="Q626" s="145"/>
      <c r="R626" s="145">
        <v>46107</v>
      </c>
      <c r="S626" s="192"/>
    </row>
    <row r="627" spans="1:19" ht="135" customHeight="1" x14ac:dyDescent="0.25">
      <c r="A627" s="197" t="str">
        <f t="shared" si="15"/>
        <v>INC20260325626</v>
      </c>
      <c r="B627" s="199">
        <v>46106.460416666698</v>
      </c>
      <c r="C627" s="192" t="s">
        <v>37</v>
      </c>
      <c r="D627" s="194" t="s">
        <v>804</v>
      </c>
      <c r="E627" s="192" t="s">
        <v>69</v>
      </c>
      <c r="F627" s="192" t="s">
        <v>59</v>
      </c>
      <c r="G627" s="192" t="s">
        <v>41</v>
      </c>
      <c r="H627" s="192" t="s">
        <v>61</v>
      </c>
      <c r="I627" s="192" t="s">
        <v>62</v>
      </c>
      <c r="J627" s="121" t="s">
        <v>2269</v>
      </c>
      <c r="K627" s="192" t="s">
        <v>44</v>
      </c>
      <c r="L627" s="192" t="s">
        <v>81</v>
      </c>
      <c r="M627" s="146" t="s">
        <v>5</v>
      </c>
      <c r="N627" s="192" t="s">
        <v>821</v>
      </c>
      <c r="O627" s="192" t="s">
        <v>66</v>
      </c>
      <c r="P627" s="192" t="s">
        <v>67</v>
      </c>
      <c r="Q627" s="145">
        <v>46106</v>
      </c>
      <c r="R627" s="145">
        <v>46107</v>
      </c>
      <c r="S627" s="192"/>
    </row>
    <row r="628" spans="1:19" ht="127.05" customHeight="1" x14ac:dyDescent="0.25">
      <c r="A628" s="197" t="str">
        <f t="shared" si="15"/>
        <v>INC20260325627</v>
      </c>
      <c r="B628" s="199">
        <v>46106.464583333298</v>
      </c>
      <c r="C628" s="192" t="s">
        <v>37</v>
      </c>
      <c r="D628" s="194" t="s">
        <v>822</v>
      </c>
      <c r="E628" s="192" t="s">
        <v>50</v>
      </c>
      <c r="F628" s="192" t="s">
        <v>40</v>
      </c>
      <c r="G628" s="192" t="s">
        <v>51</v>
      </c>
      <c r="H628" s="192" t="s">
        <v>42</v>
      </c>
      <c r="I628" s="192" t="s">
        <v>630</v>
      </c>
      <c r="J628" s="195" t="s">
        <v>2270</v>
      </c>
      <c r="K628" s="192" t="s">
        <v>54</v>
      </c>
      <c r="L628" s="192" t="s">
        <v>55</v>
      </c>
      <c r="M628" s="146" t="s">
        <v>5</v>
      </c>
      <c r="N628" s="192" t="s">
        <v>823</v>
      </c>
      <c r="O628" s="192"/>
      <c r="P628" s="192"/>
      <c r="Q628" s="145"/>
      <c r="R628" s="145">
        <v>46107</v>
      </c>
      <c r="S628" s="192"/>
    </row>
    <row r="629" spans="1:19" ht="144" customHeight="1" x14ac:dyDescent="0.25">
      <c r="A629" s="197" t="str">
        <f t="shared" si="15"/>
        <v>INC20260325628</v>
      </c>
      <c r="B629" s="199">
        <v>46106.468055555597</v>
      </c>
      <c r="C629" s="192" t="s">
        <v>37</v>
      </c>
      <c r="D629" s="194" t="s">
        <v>804</v>
      </c>
      <c r="E629" s="192" t="s">
        <v>824</v>
      </c>
      <c r="F629" s="192" t="s">
        <v>59</v>
      </c>
      <c r="G629" s="192" t="s">
        <v>41</v>
      </c>
      <c r="H629" s="192" t="s">
        <v>61</v>
      </c>
      <c r="I629" s="192" t="s">
        <v>62</v>
      </c>
      <c r="J629" s="121" t="s">
        <v>2271</v>
      </c>
      <c r="K629" s="192" t="s">
        <v>44</v>
      </c>
      <c r="L629" s="192" t="s">
        <v>81</v>
      </c>
      <c r="M629" s="146" t="s">
        <v>5</v>
      </c>
      <c r="N629" s="192" t="s">
        <v>825</v>
      </c>
      <c r="O629" s="192" t="s">
        <v>66</v>
      </c>
      <c r="P629" s="192" t="s">
        <v>67</v>
      </c>
      <c r="Q629" s="145">
        <v>46114</v>
      </c>
      <c r="R629" s="145">
        <v>46107</v>
      </c>
      <c r="S629" s="192"/>
    </row>
    <row r="630" spans="1:19" ht="127.05" customHeight="1" x14ac:dyDescent="0.25">
      <c r="A630" s="197" t="str">
        <f t="shared" si="15"/>
        <v>INC20260325629</v>
      </c>
      <c r="B630" s="199">
        <v>46106.5131944444</v>
      </c>
      <c r="C630" s="192" t="s">
        <v>37</v>
      </c>
      <c r="D630" s="194" t="s">
        <v>826</v>
      </c>
      <c r="E630" s="192" t="s">
        <v>50</v>
      </c>
      <c r="F630" s="192" t="s">
        <v>40</v>
      </c>
      <c r="G630" s="192" t="s">
        <v>51</v>
      </c>
      <c r="H630" s="192" t="s">
        <v>42</v>
      </c>
      <c r="I630" s="192" t="s">
        <v>630</v>
      </c>
      <c r="J630" s="195" t="s">
        <v>2272</v>
      </c>
      <c r="K630" s="192" t="s">
        <v>54</v>
      </c>
      <c r="L630" s="192" t="s">
        <v>55</v>
      </c>
      <c r="M630" s="146" t="s">
        <v>5</v>
      </c>
      <c r="N630" s="192" t="s">
        <v>827</v>
      </c>
      <c r="O630" s="192"/>
      <c r="P630" s="192"/>
      <c r="Q630" s="145">
        <v>46122</v>
      </c>
      <c r="R630" s="145">
        <v>46107</v>
      </c>
      <c r="S630" s="192"/>
    </row>
    <row r="631" spans="1:19" ht="129" customHeight="1" x14ac:dyDescent="0.25">
      <c r="A631" s="197" t="str">
        <f t="shared" si="15"/>
        <v>INC20260325630</v>
      </c>
      <c r="B631" s="199">
        <v>46106.609027777798</v>
      </c>
      <c r="C631" s="192" t="s">
        <v>37</v>
      </c>
      <c r="D631" s="194" t="s">
        <v>804</v>
      </c>
      <c r="E631" s="192" t="s">
        <v>828</v>
      </c>
      <c r="F631" s="192" t="s">
        <v>59</v>
      </c>
      <c r="G631" s="192" t="s">
        <v>41</v>
      </c>
      <c r="H631" s="192" t="s">
        <v>61</v>
      </c>
      <c r="I631" s="192" t="s">
        <v>62</v>
      </c>
      <c r="J631" s="121" t="s">
        <v>2273</v>
      </c>
      <c r="K631" s="192" t="s">
        <v>44</v>
      </c>
      <c r="L631" s="192" t="s">
        <v>81</v>
      </c>
      <c r="M631" s="146" t="s">
        <v>5</v>
      </c>
      <c r="N631" s="192" t="s">
        <v>825</v>
      </c>
      <c r="O631" s="192" t="s">
        <v>66</v>
      </c>
      <c r="P631" s="192" t="s">
        <v>67</v>
      </c>
      <c r="Q631" s="145">
        <v>46114</v>
      </c>
      <c r="R631" s="145">
        <v>46107</v>
      </c>
      <c r="S631" s="192"/>
    </row>
    <row r="632" spans="1:19" ht="132" customHeight="1" x14ac:dyDescent="0.25">
      <c r="A632" s="197" t="str">
        <f t="shared" si="15"/>
        <v>INC20260325631</v>
      </c>
      <c r="B632" s="199">
        <v>46106.613194444399</v>
      </c>
      <c r="C632" s="192" t="s">
        <v>37</v>
      </c>
      <c r="D632" s="194" t="s">
        <v>804</v>
      </c>
      <c r="E632" s="192" t="s">
        <v>828</v>
      </c>
      <c r="F632" s="192" t="s">
        <v>59</v>
      </c>
      <c r="G632" s="192" t="s">
        <v>41</v>
      </c>
      <c r="H632" s="192" t="s">
        <v>61</v>
      </c>
      <c r="I632" s="192" t="s">
        <v>62</v>
      </c>
      <c r="J632" s="121" t="s">
        <v>2274</v>
      </c>
      <c r="K632" s="192" t="s">
        <v>44</v>
      </c>
      <c r="L632" s="192" t="s">
        <v>81</v>
      </c>
      <c r="M632" s="146" t="s">
        <v>5</v>
      </c>
      <c r="N632" s="192" t="s">
        <v>821</v>
      </c>
      <c r="O632" s="192" t="s">
        <v>66</v>
      </c>
      <c r="P632" s="192" t="s">
        <v>67</v>
      </c>
      <c r="Q632" s="145">
        <v>46106</v>
      </c>
      <c r="R632" s="145">
        <v>46107</v>
      </c>
      <c r="S632" s="192"/>
    </row>
    <row r="633" spans="1:19" ht="142.94999999999999" customHeight="1" x14ac:dyDescent="0.25">
      <c r="A633" s="197" t="str">
        <f t="shared" si="15"/>
        <v>INC20260325632</v>
      </c>
      <c r="B633" s="199">
        <v>46106.695833333302</v>
      </c>
      <c r="C633" s="192" t="s">
        <v>37</v>
      </c>
      <c r="D633" s="194" t="s">
        <v>829</v>
      </c>
      <c r="E633" s="192" t="s">
        <v>50</v>
      </c>
      <c r="F633" s="192" t="s">
        <v>40</v>
      </c>
      <c r="G633" s="192" t="s">
        <v>51</v>
      </c>
      <c r="H633" s="192" t="s">
        <v>42</v>
      </c>
      <c r="I633" s="192" t="s">
        <v>630</v>
      </c>
      <c r="J633" s="195" t="s">
        <v>2275</v>
      </c>
      <c r="K633" s="192" t="s">
        <v>54</v>
      </c>
      <c r="L633" s="192" t="s">
        <v>55</v>
      </c>
      <c r="M633" s="146" t="s">
        <v>5</v>
      </c>
      <c r="N633" s="192" t="s">
        <v>830</v>
      </c>
      <c r="O633" s="192"/>
      <c r="P633" s="192"/>
      <c r="Q633" s="145">
        <v>46107</v>
      </c>
      <c r="R633" s="145">
        <v>46107</v>
      </c>
      <c r="S633" s="192"/>
    </row>
    <row r="634" spans="1:19" ht="130.05000000000001" customHeight="1" x14ac:dyDescent="0.25">
      <c r="A634" s="197" t="str">
        <f t="shared" si="15"/>
        <v>INC20260325633</v>
      </c>
      <c r="B634" s="199">
        <v>46106.7944444444</v>
      </c>
      <c r="C634" s="192" t="s">
        <v>37</v>
      </c>
      <c r="D634" s="194" t="s">
        <v>57</v>
      </c>
      <c r="E634" s="192" t="s">
        <v>69</v>
      </c>
      <c r="F634" s="192" t="s">
        <v>59</v>
      </c>
      <c r="G634" s="192" t="s">
        <v>60</v>
      </c>
      <c r="H634" s="192" t="s">
        <v>61</v>
      </c>
      <c r="I634" s="192" t="s">
        <v>62</v>
      </c>
      <c r="J634" s="121" t="s">
        <v>2276</v>
      </c>
      <c r="K634" s="192" t="s">
        <v>63</v>
      </c>
      <c r="L634" s="192" t="s">
        <v>81</v>
      </c>
      <c r="M634" s="146" t="s">
        <v>5</v>
      </c>
      <c r="N634" s="192" t="s">
        <v>831</v>
      </c>
      <c r="O634" s="192" t="s">
        <v>66</v>
      </c>
      <c r="P634" s="192" t="s">
        <v>67</v>
      </c>
      <c r="Q634" s="145"/>
      <c r="R634" s="145">
        <v>46107</v>
      </c>
      <c r="S634" s="192"/>
    </row>
    <row r="635" spans="1:19" ht="139.94999999999999" customHeight="1" x14ac:dyDescent="0.25">
      <c r="A635" s="197" t="str">
        <f t="shared" si="15"/>
        <v>INC20260325634</v>
      </c>
      <c r="B635" s="199">
        <v>46106.463888888902</v>
      </c>
      <c r="C635" s="192" t="s">
        <v>37</v>
      </c>
      <c r="D635" s="194" t="s">
        <v>804</v>
      </c>
      <c r="E635" s="192" t="s">
        <v>832</v>
      </c>
      <c r="F635" s="192" t="s">
        <v>59</v>
      </c>
      <c r="G635" s="192" t="s">
        <v>41</v>
      </c>
      <c r="H635" s="192" t="s">
        <v>61</v>
      </c>
      <c r="I635" s="192" t="s">
        <v>62</v>
      </c>
      <c r="J635" s="121" t="s">
        <v>2277</v>
      </c>
      <c r="K635" s="192" t="s">
        <v>44</v>
      </c>
      <c r="L635" s="192" t="s">
        <v>81</v>
      </c>
      <c r="M635" s="146" t="s">
        <v>5</v>
      </c>
      <c r="N635" s="192" t="s">
        <v>821</v>
      </c>
      <c r="O635" s="192" t="s">
        <v>66</v>
      </c>
      <c r="P635" s="192" t="s">
        <v>67</v>
      </c>
      <c r="Q635" s="145">
        <v>46106</v>
      </c>
      <c r="R635" s="145">
        <v>46107</v>
      </c>
      <c r="S635" s="192"/>
    </row>
    <row r="636" spans="1:19" ht="139.05000000000001" customHeight="1" x14ac:dyDescent="0.25">
      <c r="A636" s="197" t="str">
        <f t="shared" si="15"/>
        <v>INC20260325635</v>
      </c>
      <c r="B636" s="199">
        <v>46106.8256944444</v>
      </c>
      <c r="C636" s="192" t="s">
        <v>37</v>
      </c>
      <c r="D636" s="194" t="s">
        <v>57</v>
      </c>
      <c r="E636" s="192" t="s">
        <v>58</v>
      </c>
      <c r="F636" s="192" t="s">
        <v>40</v>
      </c>
      <c r="G636" s="192" t="s">
        <v>60</v>
      </c>
      <c r="H636" s="192" t="s">
        <v>79</v>
      </c>
      <c r="I636" s="192" t="s">
        <v>84</v>
      </c>
      <c r="J636" s="121" t="s">
        <v>2278</v>
      </c>
      <c r="K636" s="192" t="s">
        <v>63</v>
      </c>
      <c r="L636" s="192" t="s">
        <v>81</v>
      </c>
      <c r="M636" s="146" t="s">
        <v>5</v>
      </c>
      <c r="N636" s="148" t="s">
        <v>833</v>
      </c>
      <c r="O636" s="192" t="s">
        <v>86</v>
      </c>
      <c r="P636" s="192" t="s">
        <v>87</v>
      </c>
      <c r="Q636" s="145">
        <v>46106</v>
      </c>
      <c r="R636" s="145">
        <v>46107</v>
      </c>
      <c r="S636" s="192"/>
    </row>
    <row r="637" spans="1:19" ht="142.05000000000001" customHeight="1" x14ac:dyDescent="0.25">
      <c r="A637" s="197" t="str">
        <f t="shared" si="15"/>
        <v>INC20260326636</v>
      </c>
      <c r="B637" s="199">
        <v>46107.352083333302</v>
      </c>
      <c r="C637" s="192" t="s">
        <v>37</v>
      </c>
      <c r="D637" s="194" t="s">
        <v>834</v>
      </c>
      <c r="E637" s="192" t="s">
        <v>50</v>
      </c>
      <c r="F637" s="192" t="s">
        <v>40</v>
      </c>
      <c r="G637" s="192" t="s">
        <v>51</v>
      </c>
      <c r="H637" s="192" t="s">
        <v>42</v>
      </c>
      <c r="I637" s="192" t="s">
        <v>630</v>
      </c>
      <c r="J637" s="195" t="s">
        <v>2279</v>
      </c>
      <c r="K637" s="192" t="s">
        <v>54</v>
      </c>
      <c r="L637" s="192" t="s">
        <v>55</v>
      </c>
      <c r="M637" s="146" t="s">
        <v>5</v>
      </c>
      <c r="N637" s="192" t="s">
        <v>835</v>
      </c>
      <c r="O637" s="192"/>
      <c r="P637" s="192"/>
      <c r="Q637" s="145">
        <v>46107</v>
      </c>
      <c r="R637" s="145">
        <v>46107</v>
      </c>
      <c r="S637" s="192"/>
    </row>
    <row r="638" spans="1:19" ht="154.94999999999999" customHeight="1" x14ac:dyDescent="0.25">
      <c r="A638" s="197" t="str">
        <f t="shared" si="15"/>
        <v>INC20260326637</v>
      </c>
      <c r="B638" s="199">
        <v>46107.377777777801</v>
      </c>
      <c r="C638" s="192" t="s">
        <v>37</v>
      </c>
      <c r="D638" s="194" t="s">
        <v>49</v>
      </c>
      <c r="E638" s="192" t="s">
        <v>50</v>
      </c>
      <c r="F638" s="192" t="s">
        <v>40</v>
      </c>
      <c r="G638" s="192" t="s">
        <v>51</v>
      </c>
      <c r="H638" s="192" t="s">
        <v>52</v>
      </c>
      <c r="I638" s="192" t="s">
        <v>53</v>
      </c>
      <c r="J638" s="195" t="s">
        <v>2280</v>
      </c>
      <c r="K638" s="192" t="s">
        <v>54</v>
      </c>
      <c r="L638" s="192" t="s">
        <v>55</v>
      </c>
      <c r="M638" s="146" t="s">
        <v>5</v>
      </c>
      <c r="N638" s="192" t="s">
        <v>836</v>
      </c>
      <c r="O638" s="192"/>
      <c r="P638" s="192"/>
      <c r="Q638" s="145">
        <v>46107</v>
      </c>
      <c r="R638" s="145">
        <v>46107</v>
      </c>
      <c r="S638" s="192"/>
    </row>
    <row r="639" spans="1:19" ht="163.05000000000001" customHeight="1" x14ac:dyDescent="0.25">
      <c r="A639" s="197" t="str">
        <f t="shared" si="15"/>
        <v>INC20260326638</v>
      </c>
      <c r="B639" s="199">
        <v>46107.392361111102</v>
      </c>
      <c r="C639" s="192" t="s">
        <v>37</v>
      </c>
      <c r="D639" s="194" t="s">
        <v>38</v>
      </c>
      <c r="E639" s="192" t="s">
        <v>39</v>
      </c>
      <c r="F639" s="192" t="s">
        <v>40</v>
      </c>
      <c r="G639" s="192" t="s">
        <v>41</v>
      </c>
      <c r="H639" s="192" t="s">
        <v>42</v>
      </c>
      <c r="I639" s="192" t="s">
        <v>43</v>
      </c>
      <c r="J639" s="195" t="s">
        <v>2281</v>
      </c>
      <c r="K639" s="192" t="s">
        <v>44</v>
      </c>
      <c r="L639" s="192" t="s">
        <v>45</v>
      </c>
      <c r="M639" s="143" t="s">
        <v>5</v>
      </c>
      <c r="N639" s="198" t="s">
        <v>837</v>
      </c>
      <c r="O639" s="192"/>
      <c r="P639" s="144" t="s">
        <v>47</v>
      </c>
      <c r="Q639" s="145">
        <v>46111</v>
      </c>
      <c r="R639" s="145">
        <v>46107</v>
      </c>
      <c r="S639" s="192"/>
    </row>
    <row r="640" spans="1:19" ht="153" customHeight="1" x14ac:dyDescent="0.25">
      <c r="A640" s="197" t="str">
        <f t="shared" si="15"/>
        <v>INC20260325639</v>
      </c>
      <c r="B640" s="199">
        <v>46106.474305555603</v>
      </c>
      <c r="C640" s="192" t="s">
        <v>37</v>
      </c>
      <c r="D640" s="194" t="s">
        <v>49</v>
      </c>
      <c r="E640" s="192" t="s">
        <v>50</v>
      </c>
      <c r="F640" s="192" t="s">
        <v>40</v>
      </c>
      <c r="G640" s="192" t="s">
        <v>51</v>
      </c>
      <c r="H640" s="192" t="s">
        <v>52</v>
      </c>
      <c r="I640" s="192" t="s">
        <v>53</v>
      </c>
      <c r="J640" s="195" t="s">
        <v>2282</v>
      </c>
      <c r="K640" s="192" t="s">
        <v>54</v>
      </c>
      <c r="L640" s="192" t="s">
        <v>55</v>
      </c>
      <c r="M640" s="146" t="s">
        <v>5</v>
      </c>
      <c r="N640" s="192" t="s">
        <v>838</v>
      </c>
      <c r="O640" s="192"/>
      <c r="P640" s="192"/>
      <c r="Q640" s="145">
        <v>46106</v>
      </c>
      <c r="R640" s="145">
        <v>46107</v>
      </c>
      <c r="S640" s="192"/>
    </row>
    <row r="641" spans="1:19" ht="130.05000000000001" customHeight="1" x14ac:dyDescent="0.25">
      <c r="A641" s="197" t="str">
        <f t="shared" si="15"/>
        <v>INC20260326640</v>
      </c>
      <c r="B641" s="199">
        <v>46107.443749999999</v>
      </c>
      <c r="C641" s="192" t="s">
        <v>37</v>
      </c>
      <c r="D641" s="194" t="s">
        <v>49</v>
      </c>
      <c r="E641" s="192" t="s">
        <v>50</v>
      </c>
      <c r="F641" s="192" t="s">
        <v>40</v>
      </c>
      <c r="G641" s="192" t="s">
        <v>51</v>
      </c>
      <c r="H641" s="192" t="s">
        <v>92</v>
      </c>
      <c r="I641" s="192" t="s">
        <v>93</v>
      </c>
      <c r="J641" s="195" t="s">
        <v>2283</v>
      </c>
      <c r="K641" s="192" t="s">
        <v>54</v>
      </c>
      <c r="L641" s="192" t="s">
        <v>55</v>
      </c>
      <c r="M641" s="146" t="s">
        <v>5</v>
      </c>
      <c r="N641" s="151" t="s">
        <v>839</v>
      </c>
      <c r="O641" s="192" t="s">
        <v>95</v>
      </c>
      <c r="P641" s="192" t="s">
        <v>96</v>
      </c>
      <c r="Q641" s="145">
        <v>46114</v>
      </c>
      <c r="R641" s="145">
        <v>46107</v>
      </c>
      <c r="S641" s="192"/>
    </row>
    <row r="642" spans="1:19" ht="154.94999999999999" customHeight="1" x14ac:dyDescent="0.25">
      <c r="A642" s="197" t="str">
        <f t="shared" si="15"/>
        <v>INC20260316641</v>
      </c>
      <c r="B642" s="201">
        <v>46097.8125</v>
      </c>
      <c r="C642" s="192" t="s">
        <v>77</v>
      </c>
      <c r="D642" s="194" t="s">
        <v>78</v>
      </c>
      <c r="E642" s="192" t="s">
        <v>69</v>
      </c>
      <c r="F642" s="192" t="s">
        <v>40</v>
      </c>
      <c r="G642" s="192" t="s">
        <v>60</v>
      </c>
      <c r="H642" s="192" t="s">
        <v>79</v>
      </c>
      <c r="I642" s="192" t="s">
        <v>84</v>
      </c>
      <c r="J642" s="121" t="s">
        <v>2284</v>
      </c>
      <c r="K642" s="192" t="s">
        <v>63</v>
      </c>
      <c r="L642" s="192" t="s">
        <v>81</v>
      </c>
      <c r="M642" s="146" t="s">
        <v>5</v>
      </c>
      <c r="N642" s="192" t="s">
        <v>840</v>
      </c>
      <c r="O642" s="192" t="s">
        <v>86</v>
      </c>
      <c r="P642" s="192" t="s">
        <v>87</v>
      </c>
      <c r="Q642" s="145">
        <v>46098</v>
      </c>
      <c r="R642" s="145">
        <v>46107</v>
      </c>
      <c r="S642" s="192"/>
    </row>
    <row r="643" spans="1:19" ht="141" customHeight="1" x14ac:dyDescent="0.25">
      <c r="A643" s="197" t="str">
        <f t="shared" si="15"/>
        <v>INC20260317642</v>
      </c>
      <c r="B643" s="193">
        <v>46098.5534722222</v>
      </c>
      <c r="C643" s="192" t="s">
        <v>77</v>
      </c>
      <c r="D643" s="194" t="s">
        <v>78</v>
      </c>
      <c r="E643" s="192" t="s">
        <v>69</v>
      </c>
      <c r="F643" s="192" t="s">
        <v>40</v>
      </c>
      <c r="G643" s="192" t="s">
        <v>60</v>
      </c>
      <c r="H643" s="192" t="s">
        <v>79</v>
      </c>
      <c r="I643" s="192" t="s">
        <v>84</v>
      </c>
      <c r="J643" s="121" t="s">
        <v>2284</v>
      </c>
      <c r="K643" s="192" t="s">
        <v>63</v>
      </c>
      <c r="L643" s="192" t="s">
        <v>81</v>
      </c>
      <c r="M643" s="146" t="s">
        <v>5</v>
      </c>
      <c r="N643" s="192" t="s">
        <v>840</v>
      </c>
      <c r="O643" s="192" t="s">
        <v>86</v>
      </c>
      <c r="P643" s="192" t="s">
        <v>87</v>
      </c>
      <c r="Q643" s="145">
        <v>46098</v>
      </c>
      <c r="R643" s="145">
        <v>46107</v>
      </c>
      <c r="S643" s="192"/>
    </row>
    <row r="644" spans="1:19" ht="151.05000000000001" customHeight="1" x14ac:dyDescent="0.25">
      <c r="A644" s="197" t="str">
        <f t="shared" si="15"/>
        <v>INC20260318643</v>
      </c>
      <c r="B644" s="193">
        <v>46099.567361111098</v>
      </c>
      <c r="C644" s="192" t="s">
        <v>77</v>
      </c>
      <c r="D644" s="194" t="s">
        <v>78</v>
      </c>
      <c r="E644" s="192" t="s">
        <v>69</v>
      </c>
      <c r="F644" s="192" t="s">
        <v>40</v>
      </c>
      <c r="G644" s="192" t="s">
        <v>41</v>
      </c>
      <c r="H644" s="192" t="s">
        <v>79</v>
      </c>
      <c r="I644" s="192" t="s">
        <v>84</v>
      </c>
      <c r="J644" s="121" t="s">
        <v>2285</v>
      </c>
      <c r="K644" s="192" t="s">
        <v>44</v>
      </c>
      <c r="L644" s="192" t="s">
        <v>81</v>
      </c>
      <c r="M644" s="146" t="s">
        <v>5</v>
      </c>
      <c r="N644" s="192" t="s">
        <v>841</v>
      </c>
      <c r="O644" s="192" t="s">
        <v>86</v>
      </c>
      <c r="P644" s="192" t="s">
        <v>87</v>
      </c>
      <c r="Q644" s="145">
        <v>46099</v>
      </c>
      <c r="R644" s="145">
        <v>46107</v>
      </c>
      <c r="S644" s="192"/>
    </row>
    <row r="645" spans="1:19" ht="151.05000000000001" customHeight="1" x14ac:dyDescent="0.25">
      <c r="A645" s="197" t="str">
        <f t="shared" si="15"/>
        <v>INC20260318644</v>
      </c>
      <c r="B645" s="193">
        <v>46099.885416666701</v>
      </c>
      <c r="C645" s="192" t="s">
        <v>77</v>
      </c>
      <c r="D645" s="194" t="s">
        <v>78</v>
      </c>
      <c r="E645" s="192" t="s">
        <v>69</v>
      </c>
      <c r="F645" s="192" t="s">
        <v>40</v>
      </c>
      <c r="G645" s="192" t="s">
        <v>41</v>
      </c>
      <c r="H645" s="192" t="s">
        <v>79</v>
      </c>
      <c r="I645" s="192" t="s">
        <v>84</v>
      </c>
      <c r="J645" s="121" t="s">
        <v>2286</v>
      </c>
      <c r="K645" s="192" t="s">
        <v>44</v>
      </c>
      <c r="L645" s="192" t="s">
        <v>81</v>
      </c>
      <c r="M645" s="146" t="s">
        <v>5</v>
      </c>
      <c r="N645" s="192" t="s">
        <v>842</v>
      </c>
      <c r="O645" s="192" t="s">
        <v>86</v>
      </c>
      <c r="P645" s="192" t="s">
        <v>87</v>
      </c>
      <c r="Q645" s="145">
        <v>46099</v>
      </c>
      <c r="R645" s="145">
        <v>46107</v>
      </c>
      <c r="S645" s="192"/>
    </row>
    <row r="646" spans="1:19" ht="148.05000000000001" customHeight="1" x14ac:dyDescent="0.25">
      <c r="A646" s="197" t="str">
        <f t="shared" si="15"/>
        <v>INC20260318645</v>
      </c>
      <c r="B646" s="193">
        <v>46099.910416666702</v>
      </c>
      <c r="C646" s="192" t="s">
        <v>77</v>
      </c>
      <c r="D646" s="194" t="s">
        <v>78</v>
      </c>
      <c r="E646" s="192" t="s">
        <v>69</v>
      </c>
      <c r="F646" s="192" t="s">
        <v>40</v>
      </c>
      <c r="G646" s="192" t="s">
        <v>41</v>
      </c>
      <c r="H646" s="192" t="s">
        <v>79</v>
      </c>
      <c r="I646" s="192" t="s">
        <v>84</v>
      </c>
      <c r="J646" s="121" t="s">
        <v>2287</v>
      </c>
      <c r="K646" s="192" t="s">
        <v>44</v>
      </c>
      <c r="L646" s="192" t="s">
        <v>81</v>
      </c>
      <c r="M646" s="146" t="s">
        <v>5</v>
      </c>
      <c r="N646" s="192" t="s">
        <v>843</v>
      </c>
      <c r="O646" s="192" t="s">
        <v>86</v>
      </c>
      <c r="P646" s="192" t="s">
        <v>87</v>
      </c>
      <c r="Q646" s="145">
        <v>46099</v>
      </c>
      <c r="R646" s="145">
        <v>46107</v>
      </c>
      <c r="S646" s="192"/>
    </row>
    <row r="647" spans="1:19" ht="138" customHeight="1" x14ac:dyDescent="0.25">
      <c r="A647" s="197" t="str">
        <f t="shared" si="15"/>
        <v>INC20260317646</v>
      </c>
      <c r="B647" s="193">
        <v>46098.848611111098</v>
      </c>
      <c r="C647" s="192" t="s">
        <v>77</v>
      </c>
      <c r="D647" s="194" t="s">
        <v>78</v>
      </c>
      <c r="E647" s="192" t="s">
        <v>225</v>
      </c>
      <c r="F647" s="192" t="s">
        <v>40</v>
      </c>
      <c r="G647" s="192" t="s">
        <v>60</v>
      </c>
      <c r="H647" s="192" t="s">
        <v>79</v>
      </c>
      <c r="I647" s="192" t="s">
        <v>80</v>
      </c>
      <c r="J647" s="121" t="s">
        <v>2288</v>
      </c>
      <c r="K647" s="192" t="s">
        <v>151</v>
      </c>
      <c r="L647" s="192" t="s">
        <v>81</v>
      </c>
      <c r="M647" s="146" t="s">
        <v>5</v>
      </c>
      <c r="N647" s="192" t="s">
        <v>844</v>
      </c>
      <c r="O647" s="197" t="s">
        <v>83</v>
      </c>
      <c r="P647" s="197" t="s">
        <v>1366</v>
      </c>
      <c r="Q647" s="145">
        <v>46098</v>
      </c>
      <c r="R647" s="145">
        <v>46107</v>
      </c>
      <c r="S647" s="192"/>
    </row>
    <row r="648" spans="1:19" ht="135" customHeight="1" x14ac:dyDescent="0.25">
      <c r="A648" s="197" t="str">
        <f t="shared" si="15"/>
        <v>INC20260319647</v>
      </c>
      <c r="B648" s="201">
        <v>46100.045833333301</v>
      </c>
      <c r="C648" s="192" t="s">
        <v>77</v>
      </c>
      <c r="D648" s="194" t="s">
        <v>78</v>
      </c>
      <c r="E648" s="192" t="s">
        <v>69</v>
      </c>
      <c r="F648" s="192" t="s">
        <v>40</v>
      </c>
      <c r="G648" s="192" t="s">
        <v>41</v>
      </c>
      <c r="H648" s="192" t="s">
        <v>79</v>
      </c>
      <c r="I648" s="192" t="s">
        <v>80</v>
      </c>
      <c r="J648" s="121" t="s">
        <v>2289</v>
      </c>
      <c r="K648" s="192" t="s">
        <v>44</v>
      </c>
      <c r="L648" s="192" t="s">
        <v>81</v>
      </c>
      <c r="M648" s="146" t="s">
        <v>5</v>
      </c>
      <c r="N648" s="192" t="s">
        <v>845</v>
      </c>
      <c r="O648" s="197" t="s">
        <v>83</v>
      </c>
      <c r="P648" s="197" t="s">
        <v>1366</v>
      </c>
      <c r="Q648" s="145">
        <v>46100</v>
      </c>
      <c r="R648" s="145">
        <v>46107</v>
      </c>
      <c r="S648" s="192"/>
    </row>
    <row r="649" spans="1:19" ht="130.94999999999999" customHeight="1" x14ac:dyDescent="0.25">
      <c r="A649" s="197" t="str">
        <f t="shared" si="15"/>
        <v>INC20260319648</v>
      </c>
      <c r="B649" s="201">
        <v>46100.225694444402</v>
      </c>
      <c r="C649" s="192" t="s">
        <v>77</v>
      </c>
      <c r="D649" s="194" t="s">
        <v>78</v>
      </c>
      <c r="E649" s="192" t="s">
        <v>69</v>
      </c>
      <c r="F649" s="192" t="s">
        <v>40</v>
      </c>
      <c r="G649" s="192" t="s">
        <v>41</v>
      </c>
      <c r="H649" s="192" t="s">
        <v>79</v>
      </c>
      <c r="I649" s="192" t="s">
        <v>80</v>
      </c>
      <c r="J649" s="121" t="s">
        <v>2290</v>
      </c>
      <c r="K649" s="192" t="s">
        <v>44</v>
      </c>
      <c r="L649" s="192" t="s">
        <v>81</v>
      </c>
      <c r="M649" s="146" t="s">
        <v>5</v>
      </c>
      <c r="N649" s="192" t="s">
        <v>846</v>
      </c>
      <c r="O649" s="197" t="s">
        <v>83</v>
      </c>
      <c r="P649" s="197" t="s">
        <v>1366</v>
      </c>
      <c r="Q649" s="145">
        <v>46100</v>
      </c>
      <c r="R649" s="145">
        <v>46107</v>
      </c>
      <c r="S649" s="192"/>
    </row>
    <row r="650" spans="1:19" ht="133.94999999999999" customHeight="1" x14ac:dyDescent="0.25">
      <c r="A650" s="197" t="str">
        <f t="shared" si="15"/>
        <v>INC20260319649</v>
      </c>
      <c r="B650" s="193">
        <v>46100.329166666699</v>
      </c>
      <c r="C650" s="192" t="s">
        <v>77</v>
      </c>
      <c r="D650" s="194" t="s">
        <v>78</v>
      </c>
      <c r="E650" s="192" t="s">
        <v>69</v>
      </c>
      <c r="F650" s="192" t="s">
        <v>40</v>
      </c>
      <c r="G650" s="192" t="s">
        <v>41</v>
      </c>
      <c r="H650" s="192" t="s">
        <v>79</v>
      </c>
      <c r="I650" s="192" t="s">
        <v>80</v>
      </c>
      <c r="J650" s="121" t="s">
        <v>2291</v>
      </c>
      <c r="K650" s="192" t="s">
        <v>44</v>
      </c>
      <c r="L650" s="192" t="s">
        <v>81</v>
      </c>
      <c r="M650" s="146" t="s">
        <v>5</v>
      </c>
      <c r="N650" s="192" t="s">
        <v>847</v>
      </c>
      <c r="O650" s="197" t="s">
        <v>83</v>
      </c>
      <c r="P650" s="197" t="s">
        <v>1366</v>
      </c>
      <c r="Q650" s="145">
        <v>46100</v>
      </c>
      <c r="R650" s="145">
        <v>46107</v>
      </c>
      <c r="S650" s="192"/>
    </row>
    <row r="651" spans="1:19" ht="142.05000000000001" customHeight="1" x14ac:dyDescent="0.25">
      <c r="A651" s="197" t="str">
        <f t="shared" si="15"/>
        <v>INC20260319650</v>
      </c>
      <c r="B651" s="193">
        <v>46100.352083333302</v>
      </c>
      <c r="C651" s="192" t="s">
        <v>77</v>
      </c>
      <c r="D651" s="194" t="s">
        <v>78</v>
      </c>
      <c r="E651" s="192" t="s">
        <v>69</v>
      </c>
      <c r="F651" s="192" t="s">
        <v>40</v>
      </c>
      <c r="G651" s="192" t="s">
        <v>41</v>
      </c>
      <c r="H651" s="192" t="s">
        <v>79</v>
      </c>
      <c r="I651" s="192" t="s">
        <v>80</v>
      </c>
      <c r="J651" s="121" t="s">
        <v>2292</v>
      </c>
      <c r="K651" s="192" t="s">
        <v>44</v>
      </c>
      <c r="L651" s="192" t="s">
        <v>81</v>
      </c>
      <c r="M651" s="146" t="s">
        <v>5</v>
      </c>
      <c r="N651" s="192" t="s">
        <v>848</v>
      </c>
      <c r="O651" s="197" t="s">
        <v>83</v>
      </c>
      <c r="P651" s="197" t="s">
        <v>1366</v>
      </c>
      <c r="Q651" s="145">
        <v>46100</v>
      </c>
      <c r="R651" s="145">
        <v>46107</v>
      </c>
      <c r="S651" s="192"/>
    </row>
    <row r="652" spans="1:19" ht="141" customHeight="1" x14ac:dyDescent="0.25">
      <c r="A652" s="197" t="str">
        <f t="shared" ref="A652:A715" si="16">"INC"&amp;TEXT(B652,"yyyymmdd")&amp;TEXT(ROW(A652)-1,"000")</f>
        <v>INC20260319651</v>
      </c>
      <c r="B652" s="193">
        <v>46100.653472222199</v>
      </c>
      <c r="C652" s="192" t="s">
        <v>77</v>
      </c>
      <c r="D652" s="194" t="s">
        <v>78</v>
      </c>
      <c r="E652" s="192" t="s">
        <v>69</v>
      </c>
      <c r="F652" s="192" t="s">
        <v>40</v>
      </c>
      <c r="G652" s="192" t="s">
        <v>41</v>
      </c>
      <c r="H652" s="192" t="s">
        <v>79</v>
      </c>
      <c r="I652" s="192" t="s">
        <v>84</v>
      </c>
      <c r="J652" s="121" t="s">
        <v>2293</v>
      </c>
      <c r="K652" s="192" t="s">
        <v>44</v>
      </c>
      <c r="L652" s="192" t="s">
        <v>81</v>
      </c>
      <c r="M652" s="146" t="s">
        <v>5</v>
      </c>
      <c r="N652" s="192" t="s">
        <v>849</v>
      </c>
      <c r="O652" s="192" t="s">
        <v>86</v>
      </c>
      <c r="P652" s="192" t="s">
        <v>87</v>
      </c>
      <c r="Q652" s="145">
        <v>46100</v>
      </c>
      <c r="R652" s="145">
        <v>46107</v>
      </c>
      <c r="S652" s="192"/>
    </row>
    <row r="653" spans="1:19" ht="144" customHeight="1" x14ac:dyDescent="0.25">
      <c r="A653" s="197" t="str">
        <f t="shared" si="16"/>
        <v>INC20260319652</v>
      </c>
      <c r="B653" s="193">
        <v>46100.903472222199</v>
      </c>
      <c r="C653" s="192" t="s">
        <v>77</v>
      </c>
      <c r="D653" s="194" t="s">
        <v>78</v>
      </c>
      <c r="E653" s="192" t="s">
        <v>69</v>
      </c>
      <c r="F653" s="192" t="s">
        <v>40</v>
      </c>
      <c r="G653" s="192" t="s">
        <v>41</v>
      </c>
      <c r="H653" s="192" t="s">
        <v>79</v>
      </c>
      <c r="I653" s="192" t="s">
        <v>84</v>
      </c>
      <c r="J653" s="121" t="s">
        <v>2294</v>
      </c>
      <c r="K653" s="192" t="s">
        <v>44</v>
      </c>
      <c r="L653" s="192" t="s">
        <v>81</v>
      </c>
      <c r="M653" s="146" t="s">
        <v>5</v>
      </c>
      <c r="N653" s="192" t="s">
        <v>850</v>
      </c>
      <c r="O653" s="192" t="s">
        <v>86</v>
      </c>
      <c r="P653" s="192" t="s">
        <v>87</v>
      </c>
      <c r="Q653" s="145">
        <v>46100</v>
      </c>
      <c r="R653" s="145">
        <v>46107</v>
      </c>
      <c r="S653" s="192"/>
    </row>
    <row r="654" spans="1:19" ht="145.05000000000001" customHeight="1" x14ac:dyDescent="0.25">
      <c r="A654" s="197" t="str">
        <f t="shared" si="16"/>
        <v>INC20260320653</v>
      </c>
      <c r="B654" s="201">
        <v>46101.3215277778</v>
      </c>
      <c r="C654" s="192" t="s">
        <v>77</v>
      </c>
      <c r="D654" s="194" t="s">
        <v>78</v>
      </c>
      <c r="E654" s="192" t="s">
        <v>69</v>
      </c>
      <c r="F654" s="192" t="s">
        <v>40</v>
      </c>
      <c r="G654" s="192" t="s">
        <v>41</v>
      </c>
      <c r="H654" s="192" t="s">
        <v>79</v>
      </c>
      <c r="I654" s="192" t="s">
        <v>80</v>
      </c>
      <c r="J654" s="121" t="s">
        <v>2295</v>
      </c>
      <c r="K654" s="192" t="s">
        <v>44</v>
      </c>
      <c r="L654" s="192" t="s">
        <v>81</v>
      </c>
      <c r="M654" s="146" t="s">
        <v>5</v>
      </c>
      <c r="N654" s="192" t="s">
        <v>851</v>
      </c>
      <c r="O654" s="197" t="s">
        <v>83</v>
      </c>
      <c r="P654" s="197" t="s">
        <v>1366</v>
      </c>
      <c r="Q654" s="145">
        <v>46101</v>
      </c>
      <c r="R654" s="145">
        <v>46107</v>
      </c>
      <c r="S654" s="192"/>
    </row>
    <row r="655" spans="1:19" ht="136.05000000000001" customHeight="1" x14ac:dyDescent="0.25">
      <c r="A655" s="197" t="str">
        <f t="shared" si="16"/>
        <v>INC20260320654</v>
      </c>
      <c r="B655" s="201">
        <v>46101.332638888904</v>
      </c>
      <c r="C655" s="192" t="s">
        <v>77</v>
      </c>
      <c r="D655" s="194" t="s">
        <v>78</v>
      </c>
      <c r="E655" s="192" t="s">
        <v>69</v>
      </c>
      <c r="F655" s="192" t="s">
        <v>40</v>
      </c>
      <c r="G655" s="192" t="s">
        <v>41</v>
      </c>
      <c r="H655" s="192" t="s">
        <v>79</v>
      </c>
      <c r="I655" s="192" t="s">
        <v>80</v>
      </c>
      <c r="J655" s="121" t="s">
        <v>2296</v>
      </c>
      <c r="K655" s="192" t="s">
        <v>44</v>
      </c>
      <c r="L655" s="192" t="s">
        <v>81</v>
      </c>
      <c r="M655" s="146" t="s">
        <v>5</v>
      </c>
      <c r="N655" s="192" t="s">
        <v>852</v>
      </c>
      <c r="O655" s="197" t="s">
        <v>83</v>
      </c>
      <c r="P655" s="197" t="s">
        <v>1366</v>
      </c>
      <c r="Q655" s="145">
        <v>46101</v>
      </c>
      <c r="R655" s="145">
        <v>46107</v>
      </c>
      <c r="S655" s="192"/>
    </row>
    <row r="656" spans="1:19" ht="133.94999999999999" customHeight="1" x14ac:dyDescent="0.25">
      <c r="A656" s="197" t="str">
        <f t="shared" si="16"/>
        <v>INC20260320655</v>
      </c>
      <c r="B656" s="201">
        <v>46101.376388888901</v>
      </c>
      <c r="C656" s="192" t="s">
        <v>77</v>
      </c>
      <c r="D656" s="194" t="s">
        <v>78</v>
      </c>
      <c r="E656" s="192" t="s">
        <v>69</v>
      </c>
      <c r="F656" s="192" t="s">
        <v>40</v>
      </c>
      <c r="G656" s="192" t="s">
        <v>41</v>
      </c>
      <c r="H656" s="192" t="s">
        <v>79</v>
      </c>
      <c r="I656" s="192" t="s">
        <v>80</v>
      </c>
      <c r="J656" s="121" t="s">
        <v>2297</v>
      </c>
      <c r="K656" s="192" t="s">
        <v>44</v>
      </c>
      <c r="L656" s="192" t="s">
        <v>81</v>
      </c>
      <c r="M656" s="146" t="s">
        <v>5</v>
      </c>
      <c r="N656" s="192" t="s">
        <v>853</v>
      </c>
      <c r="O656" s="197" t="s">
        <v>83</v>
      </c>
      <c r="P656" s="197" t="s">
        <v>1366</v>
      </c>
      <c r="Q656" s="145">
        <v>46101</v>
      </c>
      <c r="R656" s="145">
        <v>46107</v>
      </c>
      <c r="S656" s="192"/>
    </row>
    <row r="657" spans="1:19" ht="145.94999999999999" customHeight="1" x14ac:dyDescent="0.25">
      <c r="A657" s="197" t="str">
        <f t="shared" si="16"/>
        <v>INC20260320656</v>
      </c>
      <c r="B657" s="201">
        <v>46101.463888888902</v>
      </c>
      <c r="C657" s="192" t="s">
        <v>77</v>
      </c>
      <c r="D657" s="194" t="s">
        <v>78</v>
      </c>
      <c r="E657" s="192" t="s">
        <v>69</v>
      </c>
      <c r="F657" s="192" t="s">
        <v>40</v>
      </c>
      <c r="G657" s="192" t="s">
        <v>41</v>
      </c>
      <c r="H657" s="192" t="s">
        <v>79</v>
      </c>
      <c r="I657" s="192" t="s">
        <v>80</v>
      </c>
      <c r="J657" s="121" t="s">
        <v>2298</v>
      </c>
      <c r="K657" s="192" t="s">
        <v>44</v>
      </c>
      <c r="L657" s="192" t="s">
        <v>81</v>
      </c>
      <c r="M657" s="146" t="s">
        <v>5</v>
      </c>
      <c r="N657" s="192" t="s">
        <v>854</v>
      </c>
      <c r="O657" s="197" t="s">
        <v>83</v>
      </c>
      <c r="P657" s="197" t="s">
        <v>1366</v>
      </c>
      <c r="Q657" s="145">
        <v>46101</v>
      </c>
      <c r="R657" s="145">
        <v>46107</v>
      </c>
      <c r="S657" s="192"/>
    </row>
    <row r="658" spans="1:19" ht="129" customHeight="1" x14ac:dyDescent="0.25">
      <c r="A658" s="197" t="str">
        <f t="shared" si="16"/>
        <v>INC20260320657</v>
      </c>
      <c r="B658" s="201">
        <v>46101.464583333298</v>
      </c>
      <c r="C658" s="192" t="s">
        <v>77</v>
      </c>
      <c r="D658" s="194" t="s">
        <v>78</v>
      </c>
      <c r="E658" s="192" t="s">
        <v>69</v>
      </c>
      <c r="F658" s="192" t="s">
        <v>40</v>
      </c>
      <c r="G658" s="192" t="s">
        <v>41</v>
      </c>
      <c r="H658" s="192" t="s">
        <v>79</v>
      </c>
      <c r="I658" s="192" t="s">
        <v>80</v>
      </c>
      <c r="J658" s="121" t="s">
        <v>2299</v>
      </c>
      <c r="K658" s="192" t="s">
        <v>44</v>
      </c>
      <c r="L658" s="192" t="s">
        <v>81</v>
      </c>
      <c r="M658" s="146" t="s">
        <v>5</v>
      </c>
      <c r="N658" s="192" t="s">
        <v>855</v>
      </c>
      <c r="O658" s="197" t="s">
        <v>83</v>
      </c>
      <c r="P658" s="197" t="s">
        <v>1366</v>
      </c>
      <c r="Q658" s="145">
        <v>46101</v>
      </c>
      <c r="R658" s="145">
        <v>46107</v>
      </c>
      <c r="S658" s="192"/>
    </row>
    <row r="659" spans="1:19" ht="127.95" customHeight="1" x14ac:dyDescent="0.25">
      <c r="A659" s="197" t="str">
        <f t="shared" si="16"/>
        <v>INC20260320658</v>
      </c>
      <c r="B659" s="201">
        <v>46101.464583333298</v>
      </c>
      <c r="C659" s="192" t="s">
        <v>77</v>
      </c>
      <c r="D659" s="194" t="s">
        <v>78</v>
      </c>
      <c r="E659" s="192" t="s">
        <v>69</v>
      </c>
      <c r="F659" s="192" t="s">
        <v>40</v>
      </c>
      <c r="G659" s="192" t="s">
        <v>41</v>
      </c>
      <c r="H659" s="192" t="s">
        <v>79</v>
      </c>
      <c r="I659" s="192" t="s">
        <v>80</v>
      </c>
      <c r="J659" s="121" t="s">
        <v>2300</v>
      </c>
      <c r="K659" s="192" t="s">
        <v>44</v>
      </c>
      <c r="L659" s="192" t="s">
        <v>81</v>
      </c>
      <c r="M659" s="146" t="s">
        <v>5</v>
      </c>
      <c r="N659" s="192" t="s">
        <v>856</v>
      </c>
      <c r="O659" s="197" t="s">
        <v>83</v>
      </c>
      <c r="P659" s="197" t="s">
        <v>1366</v>
      </c>
      <c r="Q659" s="145">
        <v>46101</v>
      </c>
      <c r="R659" s="145">
        <v>46107</v>
      </c>
      <c r="S659" s="192"/>
    </row>
    <row r="660" spans="1:19" ht="141" customHeight="1" x14ac:dyDescent="0.25">
      <c r="A660" s="197" t="str">
        <f t="shared" si="16"/>
        <v>INC20260320659</v>
      </c>
      <c r="B660" s="201">
        <v>46101.555555555598</v>
      </c>
      <c r="C660" s="192" t="s">
        <v>77</v>
      </c>
      <c r="D660" s="194" t="s">
        <v>78</v>
      </c>
      <c r="E660" s="192" t="s">
        <v>69</v>
      </c>
      <c r="F660" s="192" t="s">
        <v>40</v>
      </c>
      <c r="G660" s="192" t="s">
        <v>41</v>
      </c>
      <c r="H660" s="192" t="s">
        <v>79</v>
      </c>
      <c r="I660" s="192" t="s">
        <v>80</v>
      </c>
      <c r="J660" s="121" t="s">
        <v>2301</v>
      </c>
      <c r="K660" s="192" t="s">
        <v>44</v>
      </c>
      <c r="L660" s="192" t="s">
        <v>81</v>
      </c>
      <c r="M660" s="146" t="s">
        <v>5</v>
      </c>
      <c r="N660" s="192" t="s">
        <v>857</v>
      </c>
      <c r="O660" s="197" t="s">
        <v>83</v>
      </c>
      <c r="P660" s="197" t="s">
        <v>1366</v>
      </c>
      <c r="Q660" s="145">
        <v>46101</v>
      </c>
      <c r="R660" s="145">
        <v>46107</v>
      </c>
      <c r="S660" s="192"/>
    </row>
    <row r="661" spans="1:19" ht="141" customHeight="1" x14ac:dyDescent="0.25">
      <c r="A661" s="197" t="str">
        <f t="shared" si="16"/>
        <v>INC20260320660</v>
      </c>
      <c r="B661" s="201">
        <v>46101.577777777798</v>
      </c>
      <c r="C661" s="192" t="s">
        <v>77</v>
      </c>
      <c r="D661" s="194" t="s">
        <v>78</v>
      </c>
      <c r="E661" s="192" t="s">
        <v>69</v>
      </c>
      <c r="F661" s="192" t="s">
        <v>40</v>
      </c>
      <c r="G661" s="192" t="s">
        <v>41</v>
      </c>
      <c r="H661" s="192" t="s">
        <v>79</v>
      </c>
      <c r="I661" s="192" t="s">
        <v>80</v>
      </c>
      <c r="J661" s="121" t="s">
        <v>2302</v>
      </c>
      <c r="K661" s="192" t="s">
        <v>44</v>
      </c>
      <c r="L661" s="192" t="s">
        <v>81</v>
      </c>
      <c r="M661" s="146" t="s">
        <v>5</v>
      </c>
      <c r="N661" s="192" t="s">
        <v>858</v>
      </c>
      <c r="O661" s="197" t="s">
        <v>83</v>
      </c>
      <c r="P661" s="197" t="s">
        <v>1366</v>
      </c>
      <c r="Q661" s="145">
        <v>46101</v>
      </c>
      <c r="R661" s="145">
        <v>46107</v>
      </c>
      <c r="S661" s="192"/>
    </row>
    <row r="662" spans="1:19" ht="153" customHeight="1" x14ac:dyDescent="0.25">
      <c r="A662" s="197" t="str">
        <f t="shared" si="16"/>
        <v>INC20260320661</v>
      </c>
      <c r="B662" s="201">
        <v>46101.612500000003</v>
      </c>
      <c r="C662" s="192" t="s">
        <v>77</v>
      </c>
      <c r="D662" s="194" t="s">
        <v>78</v>
      </c>
      <c r="E662" s="192" t="s">
        <v>69</v>
      </c>
      <c r="F662" s="192" t="s">
        <v>40</v>
      </c>
      <c r="G662" s="192" t="s">
        <v>41</v>
      </c>
      <c r="H662" s="192" t="s">
        <v>79</v>
      </c>
      <c r="I662" s="192" t="s">
        <v>80</v>
      </c>
      <c r="J662" s="121" t="s">
        <v>2303</v>
      </c>
      <c r="K662" s="192" t="s">
        <v>44</v>
      </c>
      <c r="L662" s="192" t="s">
        <v>81</v>
      </c>
      <c r="M662" s="146" t="s">
        <v>5</v>
      </c>
      <c r="N662" s="192" t="s">
        <v>859</v>
      </c>
      <c r="O662" s="197" t="s">
        <v>83</v>
      </c>
      <c r="P662" s="197" t="s">
        <v>1366</v>
      </c>
      <c r="Q662" s="145">
        <v>46101</v>
      </c>
      <c r="R662" s="145">
        <v>46107</v>
      </c>
      <c r="S662" s="192"/>
    </row>
    <row r="663" spans="1:19" ht="142.94999999999999" customHeight="1" x14ac:dyDescent="0.25">
      <c r="A663" s="197" t="str">
        <f t="shared" si="16"/>
        <v>INC20260320662</v>
      </c>
      <c r="B663" s="201">
        <v>46101.614583333299</v>
      </c>
      <c r="C663" s="192" t="s">
        <v>77</v>
      </c>
      <c r="D663" s="194" t="s">
        <v>78</v>
      </c>
      <c r="E663" s="192" t="s">
        <v>69</v>
      </c>
      <c r="F663" s="192" t="s">
        <v>40</v>
      </c>
      <c r="G663" s="192" t="s">
        <v>41</v>
      </c>
      <c r="H663" s="192" t="s">
        <v>79</v>
      </c>
      <c r="I663" s="192" t="s">
        <v>80</v>
      </c>
      <c r="J663" s="121" t="s">
        <v>2304</v>
      </c>
      <c r="K663" s="192" t="s">
        <v>44</v>
      </c>
      <c r="L663" s="192" t="s">
        <v>81</v>
      </c>
      <c r="M663" s="146" t="s">
        <v>5</v>
      </c>
      <c r="N663" s="192" t="s">
        <v>860</v>
      </c>
      <c r="O663" s="197" t="s">
        <v>83</v>
      </c>
      <c r="P663" s="197" t="s">
        <v>1366</v>
      </c>
      <c r="Q663" s="145">
        <v>46101</v>
      </c>
      <c r="R663" s="145">
        <v>46107</v>
      </c>
      <c r="S663" s="192"/>
    </row>
    <row r="664" spans="1:19" ht="133.94999999999999" customHeight="1" x14ac:dyDescent="0.25">
      <c r="A664" s="197" t="str">
        <f t="shared" si="16"/>
        <v>INC20260320663</v>
      </c>
      <c r="B664" s="193">
        <v>46101.877777777801</v>
      </c>
      <c r="C664" s="192" t="s">
        <v>77</v>
      </c>
      <c r="D664" s="194" t="s">
        <v>78</v>
      </c>
      <c r="E664" s="192" t="s">
        <v>69</v>
      </c>
      <c r="F664" s="192" t="s">
        <v>40</v>
      </c>
      <c r="G664" s="192" t="s">
        <v>41</v>
      </c>
      <c r="H664" s="192" t="s">
        <v>79</v>
      </c>
      <c r="I664" s="192" t="s">
        <v>80</v>
      </c>
      <c r="J664" s="121" t="s">
        <v>2305</v>
      </c>
      <c r="K664" s="192" t="s">
        <v>44</v>
      </c>
      <c r="L664" s="192" t="s">
        <v>81</v>
      </c>
      <c r="M664" s="146" t="s">
        <v>5</v>
      </c>
      <c r="N664" s="192" t="s">
        <v>861</v>
      </c>
      <c r="O664" s="197" t="s">
        <v>83</v>
      </c>
      <c r="P664" s="197" t="s">
        <v>1366</v>
      </c>
      <c r="Q664" s="145">
        <v>46101</v>
      </c>
      <c r="R664" s="145">
        <v>46107</v>
      </c>
      <c r="S664" s="192"/>
    </row>
    <row r="665" spans="1:19" ht="139.05000000000001" customHeight="1" x14ac:dyDescent="0.25">
      <c r="A665" s="197" t="str">
        <f t="shared" si="16"/>
        <v>INC20260320664</v>
      </c>
      <c r="B665" s="193">
        <v>46101.877777777801</v>
      </c>
      <c r="C665" s="192" t="s">
        <v>77</v>
      </c>
      <c r="D665" s="194" t="s">
        <v>78</v>
      </c>
      <c r="E665" s="192" t="s">
        <v>69</v>
      </c>
      <c r="F665" s="192" t="s">
        <v>40</v>
      </c>
      <c r="G665" s="192" t="s">
        <v>41</v>
      </c>
      <c r="H665" s="192" t="s">
        <v>79</v>
      </c>
      <c r="I665" s="192" t="s">
        <v>84</v>
      </c>
      <c r="J665" s="121" t="s">
        <v>2306</v>
      </c>
      <c r="K665" s="192" t="s">
        <v>44</v>
      </c>
      <c r="L665" s="192" t="s">
        <v>81</v>
      </c>
      <c r="M665" s="146" t="s">
        <v>5</v>
      </c>
      <c r="N665" s="192" t="s">
        <v>862</v>
      </c>
      <c r="O665" s="192" t="s">
        <v>86</v>
      </c>
      <c r="P665" s="192" t="s">
        <v>87</v>
      </c>
      <c r="Q665" s="145">
        <v>46101</v>
      </c>
      <c r="R665" s="145">
        <v>46107</v>
      </c>
      <c r="S665" s="192"/>
    </row>
    <row r="666" spans="1:19" ht="142.94999999999999" customHeight="1" x14ac:dyDescent="0.25">
      <c r="A666" s="197" t="str">
        <f t="shared" si="16"/>
        <v>INC20260320665</v>
      </c>
      <c r="B666" s="193">
        <v>46101.809027777803</v>
      </c>
      <c r="C666" s="192" t="s">
        <v>77</v>
      </c>
      <c r="D666" s="194" t="s">
        <v>78</v>
      </c>
      <c r="E666" s="192" t="s">
        <v>116</v>
      </c>
      <c r="F666" s="192" t="s">
        <v>40</v>
      </c>
      <c r="G666" s="192" t="s">
        <v>60</v>
      </c>
      <c r="H666" s="192" t="s">
        <v>79</v>
      </c>
      <c r="I666" s="192" t="s">
        <v>80</v>
      </c>
      <c r="J666" s="121" t="s">
        <v>2307</v>
      </c>
      <c r="K666" s="192" t="s">
        <v>107</v>
      </c>
      <c r="L666" s="192" t="s">
        <v>81</v>
      </c>
      <c r="M666" s="146" t="s">
        <v>5</v>
      </c>
      <c r="N666" s="192" t="s">
        <v>863</v>
      </c>
      <c r="O666" s="197" t="s">
        <v>83</v>
      </c>
      <c r="P666" s="197" t="s">
        <v>1366</v>
      </c>
      <c r="Q666" s="145">
        <v>46101</v>
      </c>
      <c r="R666" s="145">
        <v>46107</v>
      </c>
      <c r="S666" s="192"/>
    </row>
    <row r="667" spans="1:19" ht="135" customHeight="1" x14ac:dyDescent="0.25">
      <c r="A667" s="197" t="str">
        <f t="shared" si="16"/>
        <v>INC20260322666</v>
      </c>
      <c r="B667" s="193">
        <v>46103.613194444399</v>
      </c>
      <c r="C667" s="192" t="s">
        <v>77</v>
      </c>
      <c r="D667" s="194" t="s">
        <v>78</v>
      </c>
      <c r="E667" s="192" t="s">
        <v>116</v>
      </c>
      <c r="F667" s="192" t="s">
        <v>40</v>
      </c>
      <c r="G667" s="192" t="s">
        <v>60</v>
      </c>
      <c r="H667" s="192" t="s">
        <v>79</v>
      </c>
      <c r="I667" s="192" t="s">
        <v>80</v>
      </c>
      <c r="J667" s="121" t="s">
        <v>2308</v>
      </c>
      <c r="K667" s="192" t="s">
        <v>151</v>
      </c>
      <c r="L667" s="192" t="s">
        <v>81</v>
      </c>
      <c r="M667" s="146" t="s">
        <v>5</v>
      </c>
      <c r="N667" s="192" t="s">
        <v>864</v>
      </c>
      <c r="O667" s="197" t="s">
        <v>83</v>
      </c>
      <c r="P667" s="197" t="s">
        <v>1366</v>
      </c>
      <c r="Q667" s="145">
        <v>46101</v>
      </c>
      <c r="R667" s="145">
        <v>46107</v>
      </c>
      <c r="S667" s="192"/>
    </row>
    <row r="668" spans="1:19" ht="133.94999999999999" customHeight="1" x14ac:dyDescent="0.25">
      <c r="A668" s="197" t="str">
        <f t="shared" si="16"/>
        <v>INC20260322667</v>
      </c>
      <c r="B668" s="193">
        <v>46103.531944444403</v>
      </c>
      <c r="C668" s="192" t="s">
        <v>77</v>
      </c>
      <c r="D668" s="194" t="s">
        <v>78</v>
      </c>
      <c r="E668" s="192" t="s">
        <v>125</v>
      </c>
      <c r="F668" s="192" t="s">
        <v>40</v>
      </c>
      <c r="G668" s="192" t="s">
        <v>41</v>
      </c>
      <c r="H668" s="192" t="s">
        <v>79</v>
      </c>
      <c r="I668" s="192" t="s">
        <v>84</v>
      </c>
      <c r="J668" s="121" t="s">
        <v>2309</v>
      </c>
      <c r="K668" s="192" t="s">
        <v>44</v>
      </c>
      <c r="L668" s="192" t="s">
        <v>81</v>
      </c>
      <c r="M668" s="146" t="s">
        <v>5</v>
      </c>
      <c r="N668" s="192" t="s">
        <v>865</v>
      </c>
      <c r="O668" s="192" t="s">
        <v>86</v>
      </c>
      <c r="P668" s="192" t="s">
        <v>87</v>
      </c>
      <c r="Q668" s="145">
        <v>46103</v>
      </c>
      <c r="R668" s="145">
        <v>46107</v>
      </c>
      <c r="S668" s="192"/>
    </row>
    <row r="669" spans="1:19" ht="141" customHeight="1" x14ac:dyDescent="0.25">
      <c r="A669" s="197" t="str">
        <f t="shared" si="16"/>
        <v>INC20260322668</v>
      </c>
      <c r="B669" s="193">
        <v>46103.967361111099</v>
      </c>
      <c r="C669" s="192" t="s">
        <v>77</v>
      </c>
      <c r="D669" s="194" t="s">
        <v>78</v>
      </c>
      <c r="E669" s="192" t="s">
        <v>74</v>
      </c>
      <c r="F669" s="192" t="s">
        <v>40</v>
      </c>
      <c r="G669" s="192" t="s">
        <v>60</v>
      </c>
      <c r="H669" s="192" t="s">
        <v>79</v>
      </c>
      <c r="I669" s="192" t="s">
        <v>84</v>
      </c>
      <c r="J669" s="121" t="s">
        <v>2310</v>
      </c>
      <c r="K669" s="192" t="s">
        <v>63</v>
      </c>
      <c r="L669" s="192" t="s">
        <v>81</v>
      </c>
      <c r="M669" s="146" t="s">
        <v>5</v>
      </c>
      <c r="N669" s="192" t="s">
        <v>866</v>
      </c>
      <c r="O669" s="192" t="s">
        <v>86</v>
      </c>
      <c r="P669" s="192" t="s">
        <v>87</v>
      </c>
      <c r="Q669" s="145">
        <v>46103</v>
      </c>
      <c r="R669" s="145">
        <v>46107</v>
      </c>
      <c r="S669" s="192"/>
    </row>
    <row r="670" spans="1:19" ht="132" customHeight="1" x14ac:dyDescent="0.25">
      <c r="A670" s="197" t="str">
        <f t="shared" si="16"/>
        <v>INC20260322669</v>
      </c>
      <c r="B670" s="193">
        <v>46103.531944444403</v>
      </c>
      <c r="C670" s="192" t="s">
        <v>77</v>
      </c>
      <c r="D670" s="194" t="s">
        <v>78</v>
      </c>
      <c r="E670" s="192" t="s">
        <v>125</v>
      </c>
      <c r="F670" s="192" t="s">
        <v>40</v>
      </c>
      <c r="G670" s="192" t="s">
        <v>41</v>
      </c>
      <c r="H670" s="192" t="s">
        <v>79</v>
      </c>
      <c r="I670" s="192" t="s">
        <v>84</v>
      </c>
      <c r="J670" s="121" t="s">
        <v>2311</v>
      </c>
      <c r="K670" s="192" t="s">
        <v>44</v>
      </c>
      <c r="L670" s="192" t="s">
        <v>81</v>
      </c>
      <c r="M670" s="146" t="s">
        <v>5</v>
      </c>
      <c r="N670" s="192" t="s">
        <v>867</v>
      </c>
      <c r="O670" s="192" t="s">
        <v>86</v>
      </c>
      <c r="P670" s="192" t="s">
        <v>87</v>
      </c>
      <c r="Q670" s="145">
        <v>46103</v>
      </c>
      <c r="R670" s="145">
        <v>46107</v>
      </c>
      <c r="S670" s="192"/>
    </row>
    <row r="671" spans="1:19" ht="145.05000000000001" customHeight="1" x14ac:dyDescent="0.25">
      <c r="A671" s="197" t="str">
        <f t="shared" si="16"/>
        <v>INC20260322670</v>
      </c>
      <c r="B671" s="193">
        <v>46103.588194444397</v>
      </c>
      <c r="C671" s="192" t="s">
        <v>77</v>
      </c>
      <c r="D671" s="194" t="s">
        <v>78</v>
      </c>
      <c r="E671" s="192" t="s">
        <v>58</v>
      </c>
      <c r="F671" s="192" t="s">
        <v>40</v>
      </c>
      <c r="G671" s="192" t="s">
        <v>41</v>
      </c>
      <c r="H671" s="192" t="s">
        <v>79</v>
      </c>
      <c r="I671" s="192" t="s">
        <v>84</v>
      </c>
      <c r="J671" s="121" t="s">
        <v>2312</v>
      </c>
      <c r="K671" s="192" t="s">
        <v>63</v>
      </c>
      <c r="L671" s="192" t="s">
        <v>81</v>
      </c>
      <c r="M671" s="146" t="s">
        <v>5</v>
      </c>
      <c r="N671" s="192" t="s">
        <v>868</v>
      </c>
      <c r="O671" s="192" t="s">
        <v>86</v>
      </c>
      <c r="P671" s="192" t="s">
        <v>87</v>
      </c>
      <c r="Q671" s="145">
        <v>46103</v>
      </c>
      <c r="R671" s="145">
        <v>46107</v>
      </c>
      <c r="S671" s="192"/>
    </row>
    <row r="672" spans="1:19" ht="127.05" customHeight="1" x14ac:dyDescent="0.25">
      <c r="A672" s="197" t="str">
        <f t="shared" si="16"/>
        <v>INC20260323671</v>
      </c>
      <c r="B672" s="201">
        <v>46104.646527777797</v>
      </c>
      <c r="C672" s="192" t="s">
        <v>77</v>
      </c>
      <c r="D672" s="194" t="s">
        <v>78</v>
      </c>
      <c r="E672" s="192" t="s">
        <v>69</v>
      </c>
      <c r="F672" s="192" t="s">
        <v>40</v>
      </c>
      <c r="G672" s="192" t="s">
        <v>41</v>
      </c>
      <c r="H672" s="192" t="s">
        <v>79</v>
      </c>
      <c r="I672" s="192" t="s">
        <v>84</v>
      </c>
      <c r="J672" s="121" t="s">
        <v>2313</v>
      </c>
      <c r="K672" s="192" t="s">
        <v>63</v>
      </c>
      <c r="L672" s="192" t="s">
        <v>81</v>
      </c>
      <c r="M672" s="146" t="s">
        <v>5</v>
      </c>
      <c r="N672" s="192" t="s">
        <v>869</v>
      </c>
      <c r="O672" s="192" t="s">
        <v>86</v>
      </c>
      <c r="P672" s="192" t="s">
        <v>87</v>
      </c>
      <c r="Q672" s="145">
        <v>46104</v>
      </c>
      <c r="R672" s="145">
        <v>46107</v>
      </c>
      <c r="S672" s="192"/>
    </row>
    <row r="673" spans="1:19" ht="136.05000000000001" customHeight="1" x14ac:dyDescent="0.25">
      <c r="A673" s="197" t="str">
        <f t="shared" si="16"/>
        <v>INC20260323672</v>
      </c>
      <c r="B673" s="201">
        <v>46104.646527777797</v>
      </c>
      <c r="C673" s="192" t="s">
        <v>77</v>
      </c>
      <c r="D673" s="194" t="s">
        <v>78</v>
      </c>
      <c r="E673" s="192" t="s">
        <v>69</v>
      </c>
      <c r="F673" s="192" t="s">
        <v>40</v>
      </c>
      <c r="G673" s="192" t="s">
        <v>41</v>
      </c>
      <c r="H673" s="192" t="s">
        <v>79</v>
      </c>
      <c r="I673" s="192" t="s">
        <v>84</v>
      </c>
      <c r="J673" s="121" t="s">
        <v>2314</v>
      </c>
      <c r="K673" s="192" t="s">
        <v>63</v>
      </c>
      <c r="L673" s="192" t="s">
        <v>81</v>
      </c>
      <c r="M673" s="146" t="s">
        <v>5</v>
      </c>
      <c r="N673" s="192" t="s">
        <v>870</v>
      </c>
      <c r="O673" s="192" t="s">
        <v>86</v>
      </c>
      <c r="P673" s="192" t="s">
        <v>87</v>
      </c>
      <c r="Q673" s="145">
        <v>46104</v>
      </c>
      <c r="R673" s="145">
        <v>46107</v>
      </c>
      <c r="S673" s="192"/>
    </row>
    <row r="674" spans="1:19" ht="136.05000000000001" customHeight="1" x14ac:dyDescent="0.25">
      <c r="A674" s="197" t="str">
        <f t="shared" si="16"/>
        <v>INC20260323673</v>
      </c>
      <c r="B674" s="201">
        <v>46104.646527777797</v>
      </c>
      <c r="C674" s="192" t="s">
        <v>77</v>
      </c>
      <c r="D674" s="194" t="s">
        <v>78</v>
      </c>
      <c r="E674" s="192" t="s">
        <v>69</v>
      </c>
      <c r="F674" s="192" t="s">
        <v>40</v>
      </c>
      <c r="G674" s="192" t="s">
        <v>41</v>
      </c>
      <c r="H674" s="192" t="s">
        <v>79</v>
      </c>
      <c r="I674" s="192" t="s">
        <v>84</v>
      </c>
      <c r="J674" s="121" t="s">
        <v>2306</v>
      </c>
      <c r="K674" s="192" t="s">
        <v>63</v>
      </c>
      <c r="L674" s="192" t="s">
        <v>81</v>
      </c>
      <c r="M674" s="146" t="s">
        <v>5</v>
      </c>
      <c r="N674" s="192" t="s">
        <v>871</v>
      </c>
      <c r="O674" s="192" t="s">
        <v>86</v>
      </c>
      <c r="P674" s="192" t="s">
        <v>87</v>
      </c>
      <c r="Q674" s="145">
        <v>414970</v>
      </c>
      <c r="R674" s="145">
        <v>46107</v>
      </c>
      <c r="S674" s="192"/>
    </row>
    <row r="675" spans="1:19" ht="139.05000000000001" customHeight="1" x14ac:dyDescent="0.25">
      <c r="A675" s="197" t="str">
        <f t="shared" si="16"/>
        <v>INC20260323674</v>
      </c>
      <c r="B675" s="201">
        <v>46104.646527777797</v>
      </c>
      <c r="C675" s="192" t="s">
        <v>77</v>
      </c>
      <c r="D675" s="194" t="s">
        <v>78</v>
      </c>
      <c r="E675" s="192" t="s">
        <v>69</v>
      </c>
      <c r="F675" s="192" t="s">
        <v>40</v>
      </c>
      <c r="G675" s="192" t="s">
        <v>41</v>
      </c>
      <c r="H675" s="192" t="s">
        <v>79</v>
      </c>
      <c r="I675" s="192" t="s">
        <v>84</v>
      </c>
      <c r="J675" s="121" t="s">
        <v>2315</v>
      </c>
      <c r="K675" s="192" t="s">
        <v>44</v>
      </c>
      <c r="L675" s="192" t="s">
        <v>81</v>
      </c>
      <c r="M675" s="146" t="s">
        <v>5</v>
      </c>
      <c r="N675" s="192" t="s">
        <v>872</v>
      </c>
      <c r="O675" s="192" t="s">
        <v>86</v>
      </c>
      <c r="P675" s="192" t="s">
        <v>87</v>
      </c>
      <c r="Q675" s="145">
        <v>414970</v>
      </c>
      <c r="R675" s="145">
        <v>46107</v>
      </c>
      <c r="S675" s="192"/>
    </row>
    <row r="676" spans="1:19" ht="150" customHeight="1" x14ac:dyDescent="0.25">
      <c r="A676" s="197" t="str">
        <f t="shared" si="16"/>
        <v>INC20260323675</v>
      </c>
      <c r="B676" s="201">
        <v>46104.738888888904</v>
      </c>
      <c r="C676" s="192" t="s">
        <v>77</v>
      </c>
      <c r="D676" s="194" t="s">
        <v>78</v>
      </c>
      <c r="E676" s="192" t="s">
        <v>69</v>
      </c>
      <c r="F676" s="192" t="s">
        <v>40</v>
      </c>
      <c r="G676" s="192" t="s">
        <v>41</v>
      </c>
      <c r="H676" s="192" t="s">
        <v>79</v>
      </c>
      <c r="I676" s="192" t="s">
        <v>80</v>
      </c>
      <c r="J676" s="121" t="s">
        <v>2316</v>
      </c>
      <c r="K676" s="192" t="s">
        <v>44</v>
      </c>
      <c r="L676" s="192" t="s">
        <v>81</v>
      </c>
      <c r="M676" s="146" t="s">
        <v>5</v>
      </c>
      <c r="N676" s="192" t="s">
        <v>873</v>
      </c>
      <c r="O676" s="197" t="s">
        <v>83</v>
      </c>
      <c r="P676" s="197" t="s">
        <v>1366</v>
      </c>
      <c r="Q676" s="145">
        <v>414970</v>
      </c>
      <c r="R676" s="145">
        <v>46107</v>
      </c>
      <c r="S676" s="192"/>
    </row>
    <row r="677" spans="1:19" ht="138" customHeight="1" x14ac:dyDescent="0.25">
      <c r="A677" s="197" t="str">
        <f t="shared" si="16"/>
        <v>INC20260323676</v>
      </c>
      <c r="B677" s="201">
        <v>46104.930555555598</v>
      </c>
      <c r="C677" s="192" t="s">
        <v>77</v>
      </c>
      <c r="D677" s="194" t="s">
        <v>78</v>
      </c>
      <c r="E677" s="192" t="s">
        <v>69</v>
      </c>
      <c r="F677" s="192" t="s">
        <v>40</v>
      </c>
      <c r="G677" s="192" t="s">
        <v>41</v>
      </c>
      <c r="H677" s="192" t="s">
        <v>79</v>
      </c>
      <c r="I677" s="192" t="s">
        <v>80</v>
      </c>
      <c r="J677" s="121" t="s">
        <v>2316</v>
      </c>
      <c r="K677" s="192" t="s">
        <v>44</v>
      </c>
      <c r="L677" s="192" t="s">
        <v>81</v>
      </c>
      <c r="M677" s="146" t="s">
        <v>5</v>
      </c>
      <c r="N677" s="192" t="s">
        <v>873</v>
      </c>
      <c r="O677" s="192" t="s">
        <v>325</v>
      </c>
      <c r="P677" s="197" t="s">
        <v>874</v>
      </c>
      <c r="Q677" s="145">
        <v>46104</v>
      </c>
      <c r="R677" s="145">
        <v>46107</v>
      </c>
      <c r="S677" s="192"/>
    </row>
    <row r="678" spans="1:19" ht="132" customHeight="1" x14ac:dyDescent="0.25">
      <c r="A678" s="197" t="str">
        <f t="shared" si="16"/>
        <v>INC20260324677</v>
      </c>
      <c r="B678" s="201">
        <v>46105.166666666701</v>
      </c>
      <c r="C678" s="192" t="s">
        <v>77</v>
      </c>
      <c r="D678" s="194" t="s">
        <v>78</v>
      </c>
      <c r="E678" s="192" t="s">
        <v>69</v>
      </c>
      <c r="F678" s="192" t="s">
        <v>40</v>
      </c>
      <c r="G678" s="192" t="s">
        <v>60</v>
      </c>
      <c r="H678" s="192" t="s">
        <v>79</v>
      </c>
      <c r="I678" s="192" t="s">
        <v>84</v>
      </c>
      <c r="J678" s="121" t="s">
        <v>2317</v>
      </c>
      <c r="K678" s="192" t="s">
        <v>63</v>
      </c>
      <c r="L678" s="192" t="s">
        <v>81</v>
      </c>
      <c r="M678" s="146" t="s">
        <v>5</v>
      </c>
      <c r="N678" s="192" t="s">
        <v>875</v>
      </c>
      <c r="O678" s="192" t="s">
        <v>86</v>
      </c>
      <c r="P678" s="192" t="s">
        <v>87</v>
      </c>
      <c r="Q678" s="145">
        <v>46105</v>
      </c>
      <c r="R678" s="145">
        <v>46107</v>
      </c>
      <c r="S678" s="192"/>
    </row>
    <row r="679" spans="1:19" ht="129" customHeight="1" x14ac:dyDescent="0.25">
      <c r="A679" s="197" t="str">
        <f t="shared" si="16"/>
        <v>INC20260324678</v>
      </c>
      <c r="B679" s="193">
        <v>46105.318055555603</v>
      </c>
      <c r="C679" s="192" t="s">
        <v>77</v>
      </c>
      <c r="D679" s="194" t="s">
        <v>78</v>
      </c>
      <c r="E679" s="192" t="s">
        <v>876</v>
      </c>
      <c r="F679" s="192" t="s">
        <v>40</v>
      </c>
      <c r="G679" s="192" t="s">
        <v>41</v>
      </c>
      <c r="H679" s="192" t="s">
        <v>79</v>
      </c>
      <c r="I679" s="192" t="s">
        <v>84</v>
      </c>
      <c r="J679" s="121" t="s">
        <v>2318</v>
      </c>
      <c r="K679" s="192" t="s">
        <v>63</v>
      </c>
      <c r="L679" s="192" t="s">
        <v>81</v>
      </c>
      <c r="M679" s="146" t="s">
        <v>5</v>
      </c>
      <c r="N679" s="192" t="s">
        <v>875</v>
      </c>
      <c r="O679" s="192" t="s">
        <v>86</v>
      </c>
      <c r="P679" s="192" t="s">
        <v>87</v>
      </c>
      <c r="Q679" s="145">
        <v>46105</v>
      </c>
      <c r="R679" s="145">
        <v>46107</v>
      </c>
      <c r="S679" s="192"/>
    </row>
    <row r="680" spans="1:19" ht="133.94999999999999" customHeight="1" x14ac:dyDescent="0.25">
      <c r="A680" s="197" t="str">
        <f t="shared" si="16"/>
        <v>INC20260324679</v>
      </c>
      <c r="B680" s="193">
        <v>46105.584027777797</v>
      </c>
      <c r="C680" s="192" t="s">
        <v>77</v>
      </c>
      <c r="D680" s="194" t="s">
        <v>78</v>
      </c>
      <c r="E680" s="192" t="s">
        <v>69</v>
      </c>
      <c r="F680" s="192" t="s">
        <v>40</v>
      </c>
      <c r="G680" s="192" t="s">
        <v>41</v>
      </c>
      <c r="H680" s="192" t="s">
        <v>79</v>
      </c>
      <c r="I680" s="192" t="s">
        <v>80</v>
      </c>
      <c r="J680" s="121" t="s">
        <v>2319</v>
      </c>
      <c r="K680" s="192" t="s">
        <v>44</v>
      </c>
      <c r="L680" s="192" t="s">
        <v>81</v>
      </c>
      <c r="M680" s="146" t="s">
        <v>5</v>
      </c>
      <c r="N680" s="192" t="s">
        <v>877</v>
      </c>
      <c r="O680" s="192" t="s">
        <v>325</v>
      </c>
      <c r="P680" s="197" t="s">
        <v>874</v>
      </c>
      <c r="Q680" s="145">
        <v>46105</v>
      </c>
      <c r="R680" s="145">
        <v>46107</v>
      </c>
      <c r="S680" s="192"/>
    </row>
    <row r="681" spans="1:19" ht="136.05000000000001" customHeight="1" x14ac:dyDescent="0.25">
      <c r="A681" s="197" t="str">
        <f t="shared" si="16"/>
        <v>INC20260324680</v>
      </c>
      <c r="B681" s="201">
        <v>46105.640972222202</v>
      </c>
      <c r="C681" s="192" t="s">
        <v>77</v>
      </c>
      <c r="D681" s="194" t="s">
        <v>78</v>
      </c>
      <c r="E681" s="192" t="s">
        <v>69</v>
      </c>
      <c r="F681" s="192" t="s">
        <v>40</v>
      </c>
      <c r="G681" s="192" t="s">
        <v>41</v>
      </c>
      <c r="H681" s="192" t="s">
        <v>79</v>
      </c>
      <c r="I681" s="192" t="s">
        <v>80</v>
      </c>
      <c r="J681" s="121" t="s">
        <v>2320</v>
      </c>
      <c r="K681" s="192" t="s">
        <v>44</v>
      </c>
      <c r="L681" s="192" t="s">
        <v>81</v>
      </c>
      <c r="M681" s="146" t="s">
        <v>5</v>
      </c>
      <c r="N681" s="192" t="s">
        <v>878</v>
      </c>
      <c r="O681" s="192" t="s">
        <v>325</v>
      </c>
      <c r="P681" s="197" t="s">
        <v>874</v>
      </c>
      <c r="Q681" s="145">
        <v>46105</v>
      </c>
      <c r="R681" s="145">
        <v>46107</v>
      </c>
      <c r="S681" s="192"/>
    </row>
    <row r="682" spans="1:19" ht="154.05000000000001" customHeight="1" x14ac:dyDescent="0.25">
      <c r="A682" s="197" t="str">
        <f t="shared" si="16"/>
        <v>INC20260324681</v>
      </c>
      <c r="B682" s="201">
        <v>46105.652777777803</v>
      </c>
      <c r="C682" s="192" t="s">
        <v>77</v>
      </c>
      <c r="D682" s="194" t="s">
        <v>78</v>
      </c>
      <c r="E682" s="192" t="s">
        <v>69</v>
      </c>
      <c r="F682" s="192" t="s">
        <v>40</v>
      </c>
      <c r="G682" s="192" t="s">
        <v>60</v>
      </c>
      <c r="H682" s="192" t="s">
        <v>79</v>
      </c>
      <c r="I682" s="192" t="s">
        <v>84</v>
      </c>
      <c r="J682" s="121" t="s">
        <v>2321</v>
      </c>
      <c r="K682" s="192" t="s">
        <v>63</v>
      </c>
      <c r="L682" s="192" t="s">
        <v>81</v>
      </c>
      <c r="M682" s="146" t="s">
        <v>5</v>
      </c>
      <c r="N682" s="192" t="s">
        <v>879</v>
      </c>
      <c r="O682" s="192" t="s">
        <v>86</v>
      </c>
      <c r="P682" s="192" t="s">
        <v>87</v>
      </c>
      <c r="Q682" s="145">
        <v>46105</v>
      </c>
      <c r="R682" s="145">
        <v>46107</v>
      </c>
      <c r="S682" s="192"/>
    </row>
    <row r="683" spans="1:19" ht="148.94999999999999" customHeight="1" x14ac:dyDescent="0.25">
      <c r="A683" s="197" t="str">
        <f t="shared" si="16"/>
        <v>INC20260324682</v>
      </c>
      <c r="B683" s="201">
        <v>46105.805555555598</v>
      </c>
      <c r="C683" s="192" t="s">
        <v>77</v>
      </c>
      <c r="D683" s="194" t="s">
        <v>78</v>
      </c>
      <c r="E683" s="192" t="s">
        <v>69</v>
      </c>
      <c r="F683" s="192" t="s">
        <v>40</v>
      </c>
      <c r="G683" s="192" t="s">
        <v>41</v>
      </c>
      <c r="H683" s="192" t="s">
        <v>79</v>
      </c>
      <c r="I683" s="192" t="s">
        <v>80</v>
      </c>
      <c r="J683" s="121" t="s">
        <v>2322</v>
      </c>
      <c r="K683" s="192" t="s">
        <v>44</v>
      </c>
      <c r="L683" s="192" t="s">
        <v>81</v>
      </c>
      <c r="M683" s="146" t="s">
        <v>5</v>
      </c>
      <c r="N683" s="192" t="s">
        <v>880</v>
      </c>
      <c r="O683" s="192" t="s">
        <v>325</v>
      </c>
      <c r="P683" s="197" t="s">
        <v>874</v>
      </c>
      <c r="Q683" s="145">
        <v>46105</v>
      </c>
      <c r="R683" s="145">
        <v>46107</v>
      </c>
      <c r="S683" s="192"/>
    </row>
    <row r="684" spans="1:19" ht="151.05000000000001" customHeight="1" x14ac:dyDescent="0.25">
      <c r="A684" s="197" t="str">
        <f t="shared" si="16"/>
        <v>INC20260324683</v>
      </c>
      <c r="B684" s="201">
        <v>46105.805555555598</v>
      </c>
      <c r="C684" s="192" t="s">
        <v>77</v>
      </c>
      <c r="D684" s="194" t="s">
        <v>78</v>
      </c>
      <c r="E684" s="192" t="s">
        <v>69</v>
      </c>
      <c r="F684" s="192" t="s">
        <v>40</v>
      </c>
      <c r="G684" s="192" t="s">
        <v>41</v>
      </c>
      <c r="H684" s="192" t="s">
        <v>79</v>
      </c>
      <c r="I684" s="192" t="s">
        <v>80</v>
      </c>
      <c r="J684" s="121" t="s">
        <v>2322</v>
      </c>
      <c r="K684" s="192" t="s">
        <v>44</v>
      </c>
      <c r="L684" s="192" t="s">
        <v>81</v>
      </c>
      <c r="M684" s="146" t="s">
        <v>5</v>
      </c>
      <c r="N684" s="192" t="s">
        <v>880</v>
      </c>
      <c r="O684" s="192" t="s">
        <v>325</v>
      </c>
      <c r="P684" s="197" t="s">
        <v>874</v>
      </c>
      <c r="Q684" s="145">
        <v>46105</v>
      </c>
      <c r="R684" s="145">
        <v>46107</v>
      </c>
      <c r="S684" s="192"/>
    </row>
    <row r="685" spans="1:19" ht="148.94999999999999" customHeight="1" x14ac:dyDescent="0.25">
      <c r="A685" s="197" t="str">
        <f t="shared" si="16"/>
        <v>INC20260324684</v>
      </c>
      <c r="B685" s="201">
        <v>46105.925694444399</v>
      </c>
      <c r="C685" s="192" t="s">
        <v>77</v>
      </c>
      <c r="D685" s="194" t="s">
        <v>78</v>
      </c>
      <c r="E685" s="192" t="s">
        <v>69</v>
      </c>
      <c r="F685" s="192" t="s">
        <v>40</v>
      </c>
      <c r="G685" s="192" t="s">
        <v>41</v>
      </c>
      <c r="H685" s="192" t="s">
        <v>79</v>
      </c>
      <c r="I685" s="192" t="s">
        <v>80</v>
      </c>
      <c r="J685" s="121" t="s">
        <v>2323</v>
      </c>
      <c r="K685" s="192" t="s">
        <v>44</v>
      </c>
      <c r="L685" s="192" t="s">
        <v>81</v>
      </c>
      <c r="M685" s="146" t="s">
        <v>5</v>
      </c>
      <c r="N685" s="192" t="s">
        <v>881</v>
      </c>
      <c r="O685" s="192" t="s">
        <v>325</v>
      </c>
      <c r="P685" s="197" t="s">
        <v>874</v>
      </c>
      <c r="Q685" s="145">
        <v>46105</v>
      </c>
      <c r="R685" s="145">
        <v>46107</v>
      </c>
      <c r="S685" s="192"/>
    </row>
    <row r="686" spans="1:19" ht="148.94999999999999" customHeight="1" x14ac:dyDescent="0.25">
      <c r="A686" s="197" t="str">
        <f t="shared" si="16"/>
        <v>INC20260325685</v>
      </c>
      <c r="B686" s="201">
        <v>46106.013888888898</v>
      </c>
      <c r="C686" s="192" t="s">
        <v>77</v>
      </c>
      <c r="D686" s="194" t="s">
        <v>78</v>
      </c>
      <c r="E686" s="192" t="s">
        <v>69</v>
      </c>
      <c r="F686" s="192" t="s">
        <v>40</v>
      </c>
      <c r="G686" s="192" t="s">
        <v>41</v>
      </c>
      <c r="H686" s="192" t="s">
        <v>79</v>
      </c>
      <c r="I686" s="192" t="s">
        <v>80</v>
      </c>
      <c r="J686" s="121" t="s">
        <v>2324</v>
      </c>
      <c r="K686" s="192" t="s">
        <v>44</v>
      </c>
      <c r="L686" s="192" t="s">
        <v>81</v>
      </c>
      <c r="M686" s="146" t="s">
        <v>5</v>
      </c>
      <c r="N686" s="192" t="s">
        <v>882</v>
      </c>
      <c r="O686" s="192" t="s">
        <v>325</v>
      </c>
      <c r="P686" s="197" t="s">
        <v>874</v>
      </c>
      <c r="Q686" s="145">
        <v>46106</v>
      </c>
      <c r="R686" s="145">
        <v>46107</v>
      </c>
      <c r="S686" s="192"/>
    </row>
    <row r="687" spans="1:19" ht="136.94999999999999" customHeight="1" x14ac:dyDescent="0.25">
      <c r="A687" s="197" t="str">
        <f t="shared" si="16"/>
        <v>INC20260325686</v>
      </c>
      <c r="B687" s="201">
        <v>46106.746527777803</v>
      </c>
      <c r="C687" s="192" t="s">
        <v>77</v>
      </c>
      <c r="D687" s="194" t="s">
        <v>78</v>
      </c>
      <c r="E687" s="192" t="s">
        <v>69</v>
      </c>
      <c r="F687" s="192" t="s">
        <v>40</v>
      </c>
      <c r="G687" s="192" t="s">
        <v>41</v>
      </c>
      <c r="H687" s="192" t="s">
        <v>79</v>
      </c>
      <c r="I687" s="192" t="s">
        <v>80</v>
      </c>
      <c r="J687" s="121" t="s">
        <v>2325</v>
      </c>
      <c r="K687" s="192" t="s">
        <v>44</v>
      </c>
      <c r="L687" s="192" t="s">
        <v>81</v>
      </c>
      <c r="M687" s="146" t="s">
        <v>5</v>
      </c>
      <c r="N687" s="192" t="s">
        <v>883</v>
      </c>
      <c r="O687" s="192" t="s">
        <v>325</v>
      </c>
      <c r="P687" s="197" t="s">
        <v>874</v>
      </c>
      <c r="Q687" s="145">
        <v>46106</v>
      </c>
      <c r="R687" s="145">
        <v>46107</v>
      </c>
      <c r="S687" s="192"/>
    </row>
    <row r="688" spans="1:19" ht="148.94999999999999" customHeight="1" x14ac:dyDescent="0.25">
      <c r="A688" s="197" t="str">
        <f t="shared" si="16"/>
        <v>INC20260325687</v>
      </c>
      <c r="B688" s="201">
        <v>46106.762499999997</v>
      </c>
      <c r="C688" s="192" t="s">
        <v>77</v>
      </c>
      <c r="D688" s="194" t="s">
        <v>78</v>
      </c>
      <c r="E688" s="192" t="s">
        <v>69</v>
      </c>
      <c r="F688" s="192" t="s">
        <v>40</v>
      </c>
      <c r="G688" s="192" t="s">
        <v>41</v>
      </c>
      <c r="H688" s="192" t="s">
        <v>79</v>
      </c>
      <c r="I688" s="192" t="s">
        <v>80</v>
      </c>
      <c r="J688" s="121" t="s">
        <v>2326</v>
      </c>
      <c r="K688" s="192" t="s">
        <v>44</v>
      </c>
      <c r="L688" s="192" t="s">
        <v>81</v>
      </c>
      <c r="M688" s="146" t="s">
        <v>5</v>
      </c>
      <c r="N688" s="192" t="s">
        <v>884</v>
      </c>
      <c r="O688" s="192" t="s">
        <v>325</v>
      </c>
      <c r="P688" s="197" t="s">
        <v>874</v>
      </c>
      <c r="Q688" s="145">
        <v>46106</v>
      </c>
      <c r="R688" s="145">
        <v>46107</v>
      </c>
      <c r="S688" s="192"/>
    </row>
    <row r="689" spans="1:19" ht="154.94999999999999" customHeight="1" x14ac:dyDescent="0.25">
      <c r="A689" s="197" t="str">
        <f t="shared" si="16"/>
        <v>INC20260325688</v>
      </c>
      <c r="B689" s="201">
        <v>46106.766666666699</v>
      </c>
      <c r="C689" s="192" t="s">
        <v>77</v>
      </c>
      <c r="D689" s="194" t="s">
        <v>78</v>
      </c>
      <c r="E689" s="192" t="s">
        <v>69</v>
      </c>
      <c r="F689" s="192" t="s">
        <v>40</v>
      </c>
      <c r="G689" s="192" t="s">
        <v>41</v>
      </c>
      <c r="H689" s="192" t="s">
        <v>79</v>
      </c>
      <c r="I689" s="192" t="s">
        <v>80</v>
      </c>
      <c r="J689" s="121" t="s">
        <v>2327</v>
      </c>
      <c r="K689" s="192" t="s">
        <v>44</v>
      </c>
      <c r="L689" s="192" t="s">
        <v>81</v>
      </c>
      <c r="M689" s="146" t="s">
        <v>5</v>
      </c>
      <c r="N689" s="192" t="s">
        <v>885</v>
      </c>
      <c r="O689" s="192" t="s">
        <v>325</v>
      </c>
      <c r="P689" s="197" t="s">
        <v>874</v>
      </c>
      <c r="Q689" s="145">
        <v>46106</v>
      </c>
      <c r="R689" s="145">
        <v>46107</v>
      </c>
      <c r="S689" s="192"/>
    </row>
    <row r="690" spans="1:19" ht="151.05000000000001" customHeight="1" x14ac:dyDescent="0.25">
      <c r="A690" s="197" t="str">
        <f t="shared" si="16"/>
        <v>INC20260325689</v>
      </c>
      <c r="B690" s="201">
        <v>46106.697916666701</v>
      </c>
      <c r="C690" s="192" t="s">
        <v>77</v>
      </c>
      <c r="D690" s="194" t="s">
        <v>78</v>
      </c>
      <c r="E690" s="192" t="s">
        <v>58</v>
      </c>
      <c r="F690" s="192" t="s">
        <v>40</v>
      </c>
      <c r="G690" s="192" t="s">
        <v>60</v>
      </c>
      <c r="H690" s="192" t="s">
        <v>79</v>
      </c>
      <c r="I690" s="192" t="s">
        <v>80</v>
      </c>
      <c r="J690" s="121" t="s">
        <v>2328</v>
      </c>
      <c r="K690" s="192" t="s">
        <v>63</v>
      </c>
      <c r="L690" s="192" t="s">
        <v>81</v>
      </c>
      <c r="M690" s="146" t="s">
        <v>5</v>
      </c>
      <c r="N690" s="192" t="s">
        <v>886</v>
      </c>
      <c r="O690" s="197" t="s">
        <v>83</v>
      </c>
      <c r="P690" s="197" t="s">
        <v>1366</v>
      </c>
      <c r="Q690" s="145">
        <v>46106</v>
      </c>
      <c r="R690" s="145">
        <v>46107</v>
      </c>
      <c r="S690" s="192"/>
    </row>
    <row r="691" spans="1:19" ht="154.05000000000001" customHeight="1" x14ac:dyDescent="0.25">
      <c r="A691" s="197" t="str">
        <f t="shared" si="16"/>
        <v>INC20260325690</v>
      </c>
      <c r="B691" s="201">
        <v>46106.912499999999</v>
      </c>
      <c r="C691" s="192" t="s">
        <v>77</v>
      </c>
      <c r="D691" s="194" t="s">
        <v>78</v>
      </c>
      <c r="E691" s="192" t="s">
        <v>74</v>
      </c>
      <c r="F691" s="192" t="s">
        <v>40</v>
      </c>
      <c r="G691" s="192" t="s">
        <v>60</v>
      </c>
      <c r="H691" s="192" t="s">
        <v>79</v>
      </c>
      <c r="I691" s="192" t="s">
        <v>80</v>
      </c>
      <c r="J691" s="121" t="s">
        <v>2329</v>
      </c>
      <c r="K691" s="192" t="s">
        <v>63</v>
      </c>
      <c r="L691" s="192" t="s">
        <v>81</v>
      </c>
      <c r="M691" s="146" t="s">
        <v>5</v>
      </c>
      <c r="N691" s="192" t="s">
        <v>1696</v>
      </c>
      <c r="O691" s="197" t="s">
        <v>83</v>
      </c>
      <c r="P691" s="197" t="s">
        <v>1366</v>
      </c>
      <c r="Q691" s="145">
        <v>46106</v>
      </c>
      <c r="R691" s="145">
        <v>46107</v>
      </c>
      <c r="S691" s="192"/>
    </row>
    <row r="692" spans="1:19" ht="166.95" customHeight="1" x14ac:dyDescent="0.25">
      <c r="A692" s="197" t="str">
        <f t="shared" si="16"/>
        <v>INC20260326691</v>
      </c>
      <c r="B692" s="201">
        <v>46107.170833333301</v>
      </c>
      <c r="C692" s="192" t="s">
        <v>77</v>
      </c>
      <c r="D692" s="194" t="s">
        <v>78</v>
      </c>
      <c r="E692" s="192" t="s">
        <v>69</v>
      </c>
      <c r="F692" s="192" t="s">
        <v>40</v>
      </c>
      <c r="G692" s="192" t="s">
        <v>41</v>
      </c>
      <c r="H692" s="192" t="s">
        <v>79</v>
      </c>
      <c r="I692" s="192" t="s">
        <v>80</v>
      </c>
      <c r="J692" s="121" t="s">
        <v>2330</v>
      </c>
      <c r="K692" s="192" t="s">
        <v>44</v>
      </c>
      <c r="L692" s="192" t="s">
        <v>81</v>
      </c>
      <c r="M692" s="146" t="s">
        <v>5</v>
      </c>
      <c r="N692" s="192" t="s">
        <v>887</v>
      </c>
      <c r="O692" s="192" t="s">
        <v>325</v>
      </c>
      <c r="P692" s="197" t="s">
        <v>874</v>
      </c>
      <c r="Q692" s="145">
        <v>46107</v>
      </c>
      <c r="R692" s="145">
        <v>46107</v>
      </c>
      <c r="S692" s="192"/>
    </row>
    <row r="693" spans="1:19" ht="159" customHeight="1" x14ac:dyDescent="0.25">
      <c r="A693" s="197" t="str">
        <f t="shared" si="16"/>
        <v>INC20260326692</v>
      </c>
      <c r="B693" s="199">
        <v>46107.604166666701</v>
      </c>
      <c r="C693" s="192" t="s">
        <v>37</v>
      </c>
      <c r="D693" s="194" t="s">
        <v>888</v>
      </c>
      <c r="E693" s="192" t="s">
        <v>50</v>
      </c>
      <c r="F693" s="192" t="s">
        <v>40</v>
      </c>
      <c r="G693" s="192" t="s">
        <v>51</v>
      </c>
      <c r="H693" s="192" t="s">
        <v>42</v>
      </c>
      <c r="I693" s="192" t="s">
        <v>630</v>
      </c>
      <c r="J693" s="195" t="s">
        <v>2331</v>
      </c>
      <c r="K693" s="192" t="s">
        <v>54</v>
      </c>
      <c r="L693" s="192" t="s">
        <v>55</v>
      </c>
      <c r="M693" s="146" t="s">
        <v>5</v>
      </c>
      <c r="N693" s="192" t="s">
        <v>889</v>
      </c>
      <c r="O693" s="192"/>
      <c r="P693" s="192"/>
      <c r="Q693" s="145"/>
      <c r="R693" s="145">
        <v>46108</v>
      </c>
      <c r="S693" s="192"/>
    </row>
    <row r="694" spans="1:19" ht="163.95" customHeight="1" x14ac:dyDescent="0.25">
      <c r="A694" s="197" t="str">
        <f t="shared" si="16"/>
        <v>INC20260326693</v>
      </c>
      <c r="B694" s="199">
        <v>46107.632638888899</v>
      </c>
      <c r="C694" s="192" t="s">
        <v>37</v>
      </c>
      <c r="D694" s="194" t="s">
        <v>421</v>
      </c>
      <c r="E694" s="192" t="s">
        <v>69</v>
      </c>
      <c r="F694" s="192" t="s">
        <v>40</v>
      </c>
      <c r="G694" s="192" t="s">
        <v>60</v>
      </c>
      <c r="H694" s="192" t="s">
        <v>79</v>
      </c>
      <c r="I694" s="192" t="s">
        <v>84</v>
      </c>
      <c r="J694" s="121" t="s">
        <v>2332</v>
      </c>
      <c r="K694" s="192" t="s">
        <v>702</v>
      </c>
      <c r="L694" s="192" t="s">
        <v>81</v>
      </c>
      <c r="M694" s="146" t="s">
        <v>5</v>
      </c>
      <c r="N694" s="192" t="s">
        <v>890</v>
      </c>
      <c r="O694" s="192" t="s">
        <v>86</v>
      </c>
      <c r="P694" s="192" t="s">
        <v>87</v>
      </c>
      <c r="Q694" s="145">
        <v>46107</v>
      </c>
      <c r="R694" s="145">
        <v>46108</v>
      </c>
      <c r="S694" s="192"/>
    </row>
    <row r="695" spans="1:19" ht="166.05" customHeight="1" x14ac:dyDescent="0.25">
      <c r="A695" s="197" t="str">
        <f t="shared" si="16"/>
        <v>INC20260326694</v>
      </c>
      <c r="B695" s="199">
        <v>46107.697222222203</v>
      </c>
      <c r="C695" s="192" t="s">
        <v>37</v>
      </c>
      <c r="D695" s="194" t="s">
        <v>49</v>
      </c>
      <c r="E695" s="192" t="s">
        <v>50</v>
      </c>
      <c r="F695" s="192" t="s">
        <v>40</v>
      </c>
      <c r="G695" s="192" t="s">
        <v>51</v>
      </c>
      <c r="H695" s="192" t="s">
        <v>92</v>
      </c>
      <c r="I695" s="192" t="s">
        <v>93</v>
      </c>
      <c r="J695" s="195" t="s">
        <v>2333</v>
      </c>
      <c r="K695" s="192" t="s">
        <v>54</v>
      </c>
      <c r="L695" s="192" t="s">
        <v>55</v>
      </c>
      <c r="M695" s="146" t="s">
        <v>5</v>
      </c>
      <c r="N695" s="192" t="s">
        <v>891</v>
      </c>
      <c r="O695" s="192" t="s">
        <v>95</v>
      </c>
      <c r="P695" s="192" t="s">
        <v>96</v>
      </c>
      <c r="Q695" s="145">
        <v>46114</v>
      </c>
      <c r="R695" s="145">
        <v>46108</v>
      </c>
      <c r="S695" s="192"/>
    </row>
    <row r="696" spans="1:19" ht="235.8" customHeight="1" x14ac:dyDescent="0.25">
      <c r="A696" s="197" t="str">
        <f t="shared" si="16"/>
        <v>INC20260326695</v>
      </c>
      <c r="B696" s="199">
        <v>46107.741666666698</v>
      </c>
      <c r="C696" s="192" t="s">
        <v>37</v>
      </c>
      <c r="D696" s="194" t="s">
        <v>57</v>
      </c>
      <c r="E696" s="192" t="s">
        <v>69</v>
      </c>
      <c r="F696" s="192" t="s">
        <v>59</v>
      </c>
      <c r="G696" s="192" t="s">
        <v>60</v>
      </c>
      <c r="H696" s="192" t="s">
        <v>61</v>
      </c>
      <c r="I696" s="192" t="s">
        <v>62</v>
      </c>
      <c r="J696" s="121" t="s">
        <v>2334</v>
      </c>
      <c r="K696" s="192" t="s">
        <v>63</v>
      </c>
      <c r="L696" s="192" t="s">
        <v>81</v>
      </c>
      <c r="M696" s="146" t="s">
        <v>5</v>
      </c>
      <c r="N696" s="192" t="s">
        <v>1681</v>
      </c>
      <c r="O696" s="192" t="s">
        <v>66</v>
      </c>
      <c r="P696" s="192" t="s">
        <v>67</v>
      </c>
      <c r="Q696" s="145"/>
      <c r="R696" s="145">
        <v>46108</v>
      </c>
      <c r="S696" s="192"/>
    </row>
    <row r="697" spans="1:19" ht="166.05" customHeight="1" x14ac:dyDescent="0.25">
      <c r="A697" s="197" t="str">
        <f t="shared" si="16"/>
        <v>INC20260326696</v>
      </c>
      <c r="B697" s="199">
        <v>46107.994444444397</v>
      </c>
      <c r="C697" s="192" t="s">
        <v>37</v>
      </c>
      <c r="D697" s="192" t="s">
        <v>286</v>
      </c>
      <c r="E697" s="192" t="s">
        <v>892</v>
      </c>
      <c r="F697" s="192" t="s">
        <v>40</v>
      </c>
      <c r="G697" s="192" t="s">
        <v>41</v>
      </c>
      <c r="H697" s="192" t="s">
        <v>79</v>
      </c>
      <c r="I697" s="192" t="s">
        <v>287</v>
      </c>
      <c r="J697" s="195" t="s">
        <v>2335</v>
      </c>
      <c r="K697" s="192" t="s">
        <v>44</v>
      </c>
      <c r="L697" s="192" t="s">
        <v>81</v>
      </c>
      <c r="M697" s="146" t="s">
        <v>5</v>
      </c>
      <c r="N697" s="192" t="s">
        <v>893</v>
      </c>
      <c r="O697" s="192" t="s">
        <v>86</v>
      </c>
      <c r="P697" s="192" t="s">
        <v>290</v>
      </c>
      <c r="Q697" s="145">
        <v>46108</v>
      </c>
      <c r="R697" s="145">
        <v>46108</v>
      </c>
      <c r="S697" s="192"/>
    </row>
    <row r="698" spans="1:19" ht="163.95" customHeight="1" x14ac:dyDescent="0.25">
      <c r="A698" s="197" t="str">
        <f t="shared" si="16"/>
        <v>INC20260327697</v>
      </c>
      <c r="B698" s="199">
        <v>46108.349305555603</v>
      </c>
      <c r="C698" s="192" t="s">
        <v>37</v>
      </c>
      <c r="D698" s="194" t="s">
        <v>38</v>
      </c>
      <c r="E698" s="192" t="s">
        <v>39</v>
      </c>
      <c r="F698" s="192" t="s">
        <v>40</v>
      </c>
      <c r="G698" s="192" t="s">
        <v>41</v>
      </c>
      <c r="H698" s="192" t="s">
        <v>42</v>
      </c>
      <c r="I698" s="192" t="s">
        <v>43</v>
      </c>
      <c r="J698" s="195" t="s">
        <v>2336</v>
      </c>
      <c r="K698" s="192" t="s">
        <v>44</v>
      </c>
      <c r="L698" s="192" t="s">
        <v>45</v>
      </c>
      <c r="M698" s="143" t="s">
        <v>5</v>
      </c>
      <c r="N698" s="198" t="s">
        <v>894</v>
      </c>
      <c r="O698" s="192"/>
      <c r="P698" s="144" t="s">
        <v>47</v>
      </c>
      <c r="Q698" s="145">
        <v>46108</v>
      </c>
      <c r="R698" s="145">
        <v>46108</v>
      </c>
      <c r="S698" s="192"/>
    </row>
    <row r="699" spans="1:19" ht="168" customHeight="1" x14ac:dyDescent="0.25">
      <c r="A699" s="197" t="str">
        <f t="shared" si="16"/>
        <v>INC20260327698</v>
      </c>
      <c r="B699" s="199">
        <v>46108.435416666704</v>
      </c>
      <c r="C699" s="192" t="s">
        <v>37</v>
      </c>
      <c r="D699" s="194" t="s">
        <v>262</v>
      </c>
      <c r="E699" s="197" t="s">
        <v>622</v>
      </c>
      <c r="F699" s="192" t="s">
        <v>59</v>
      </c>
      <c r="G699" s="192" t="s">
        <v>60</v>
      </c>
      <c r="H699" s="192" t="s">
        <v>61</v>
      </c>
      <c r="I699" s="192" t="s">
        <v>62</v>
      </c>
      <c r="J699" s="121" t="s">
        <v>2337</v>
      </c>
      <c r="K699" s="192" t="s">
        <v>63</v>
      </c>
      <c r="L699" s="192" t="s">
        <v>64</v>
      </c>
      <c r="M699" s="143" t="s">
        <v>5</v>
      </c>
      <c r="N699" s="192" t="s">
        <v>895</v>
      </c>
      <c r="O699" s="192" t="s">
        <v>66</v>
      </c>
      <c r="P699" s="192" t="s">
        <v>67</v>
      </c>
      <c r="Q699" s="145"/>
      <c r="R699" s="145">
        <v>46108</v>
      </c>
      <c r="S699" s="192"/>
    </row>
    <row r="700" spans="1:19" ht="171" customHeight="1" x14ac:dyDescent="0.25">
      <c r="A700" s="197" t="str">
        <f t="shared" si="16"/>
        <v>INC20260327699</v>
      </c>
      <c r="B700" s="199">
        <v>46108.4375</v>
      </c>
      <c r="C700" s="192" t="s">
        <v>37</v>
      </c>
      <c r="D700" s="194" t="s">
        <v>1697</v>
      </c>
      <c r="E700" s="192" t="s">
        <v>50</v>
      </c>
      <c r="F700" s="192" t="s">
        <v>40</v>
      </c>
      <c r="G700" s="192" t="s">
        <v>51</v>
      </c>
      <c r="H700" s="192" t="s">
        <v>92</v>
      </c>
      <c r="I700" s="192" t="s">
        <v>403</v>
      </c>
      <c r="J700" s="195" t="s">
        <v>2338</v>
      </c>
      <c r="K700" s="192" t="s">
        <v>54</v>
      </c>
      <c r="L700" s="192" t="s">
        <v>55</v>
      </c>
      <c r="M700" s="146" t="s">
        <v>5</v>
      </c>
      <c r="N700" s="192" t="s">
        <v>896</v>
      </c>
      <c r="O700" s="192"/>
      <c r="P700" s="192"/>
      <c r="Q700" s="145">
        <v>46108</v>
      </c>
      <c r="R700" s="145">
        <v>46108</v>
      </c>
      <c r="S700" s="192"/>
    </row>
    <row r="701" spans="1:19" ht="154.94999999999999" customHeight="1" x14ac:dyDescent="0.25">
      <c r="A701" s="197" t="str">
        <f t="shared" si="16"/>
        <v>INC20260327700</v>
      </c>
      <c r="B701" s="199">
        <v>46108.527083333298</v>
      </c>
      <c r="C701" s="192" t="s">
        <v>37</v>
      </c>
      <c r="D701" s="194" t="s">
        <v>764</v>
      </c>
      <c r="E701" s="192" t="s">
        <v>225</v>
      </c>
      <c r="F701" s="192" t="s">
        <v>59</v>
      </c>
      <c r="G701" s="192" t="s">
        <v>60</v>
      </c>
      <c r="H701" s="192" t="s">
        <v>61</v>
      </c>
      <c r="I701" s="192" t="s">
        <v>62</v>
      </c>
      <c r="J701" s="121" t="s">
        <v>2339</v>
      </c>
      <c r="K701" s="192" t="s">
        <v>63</v>
      </c>
      <c r="L701" s="192" t="s">
        <v>64</v>
      </c>
      <c r="M701" s="143" t="s">
        <v>5</v>
      </c>
      <c r="N701" s="192" t="s">
        <v>897</v>
      </c>
      <c r="O701" s="192" t="s">
        <v>66</v>
      </c>
      <c r="P701" s="192" t="s">
        <v>67</v>
      </c>
      <c r="Q701" s="145"/>
      <c r="R701" s="145">
        <v>46108</v>
      </c>
      <c r="S701" s="192"/>
    </row>
    <row r="702" spans="1:19" ht="160.05000000000001" customHeight="1" x14ac:dyDescent="0.25">
      <c r="A702" s="197" t="str">
        <f t="shared" si="16"/>
        <v>INC20260326701</v>
      </c>
      <c r="B702" s="193">
        <v>46107.698611111096</v>
      </c>
      <c r="C702" s="192" t="s">
        <v>77</v>
      </c>
      <c r="D702" s="194" t="s">
        <v>78</v>
      </c>
      <c r="E702" s="192" t="s">
        <v>69</v>
      </c>
      <c r="F702" s="192" t="s">
        <v>40</v>
      </c>
      <c r="G702" s="192" t="s">
        <v>60</v>
      </c>
      <c r="H702" s="192" t="s">
        <v>79</v>
      </c>
      <c r="I702" s="192" t="s">
        <v>84</v>
      </c>
      <c r="J702" s="121" t="s">
        <v>2340</v>
      </c>
      <c r="K702" s="192" t="s">
        <v>151</v>
      </c>
      <c r="L702" s="192" t="s">
        <v>81</v>
      </c>
      <c r="M702" s="146" t="s">
        <v>5</v>
      </c>
      <c r="N702" s="192" t="s">
        <v>898</v>
      </c>
      <c r="O702" s="192" t="s">
        <v>86</v>
      </c>
      <c r="P702" s="192" t="s">
        <v>87</v>
      </c>
      <c r="Q702" s="145"/>
      <c r="R702" s="145">
        <v>46108</v>
      </c>
      <c r="S702" s="192"/>
    </row>
    <row r="703" spans="1:19" ht="151.94999999999999" customHeight="1" x14ac:dyDescent="0.25">
      <c r="A703" s="197" t="str">
        <f t="shared" si="16"/>
        <v>INC20260326702</v>
      </c>
      <c r="B703" s="193">
        <v>46107.721527777801</v>
      </c>
      <c r="C703" s="192" t="s">
        <v>77</v>
      </c>
      <c r="D703" s="194" t="s">
        <v>78</v>
      </c>
      <c r="E703" s="192" t="s">
        <v>69</v>
      </c>
      <c r="F703" s="192" t="s">
        <v>40</v>
      </c>
      <c r="G703" s="192" t="s">
        <v>60</v>
      </c>
      <c r="H703" s="192" t="s">
        <v>79</v>
      </c>
      <c r="I703" s="192" t="s">
        <v>80</v>
      </c>
      <c r="J703" s="121" t="s">
        <v>2341</v>
      </c>
      <c r="K703" s="192" t="s">
        <v>107</v>
      </c>
      <c r="L703" s="192" t="s">
        <v>81</v>
      </c>
      <c r="M703" s="146" t="s">
        <v>5</v>
      </c>
      <c r="N703" s="192" t="s">
        <v>899</v>
      </c>
      <c r="O703" s="197" t="s">
        <v>83</v>
      </c>
      <c r="P703" s="197" t="s">
        <v>1366</v>
      </c>
      <c r="Q703" s="145"/>
      <c r="R703" s="145">
        <v>46108</v>
      </c>
      <c r="S703" s="192"/>
    </row>
    <row r="704" spans="1:19" ht="150" customHeight="1" x14ac:dyDescent="0.25">
      <c r="A704" s="197" t="str">
        <f t="shared" si="16"/>
        <v>INC20260327703</v>
      </c>
      <c r="B704" s="193">
        <v>46108.311805555597</v>
      </c>
      <c r="C704" s="192" t="s">
        <v>77</v>
      </c>
      <c r="D704" s="194" t="s">
        <v>78</v>
      </c>
      <c r="E704" s="192" t="s">
        <v>58</v>
      </c>
      <c r="F704" s="192" t="s">
        <v>40</v>
      </c>
      <c r="G704" s="192" t="s">
        <v>60</v>
      </c>
      <c r="H704" s="192" t="s">
        <v>79</v>
      </c>
      <c r="I704" s="192" t="s">
        <v>84</v>
      </c>
      <c r="J704" s="121" t="s">
        <v>2342</v>
      </c>
      <c r="K704" s="192" t="s">
        <v>63</v>
      </c>
      <c r="L704" s="192" t="s">
        <v>81</v>
      </c>
      <c r="M704" s="146" t="s">
        <v>5</v>
      </c>
      <c r="N704" s="192" t="s">
        <v>900</v>
      </c>
      <c r="O704" s="192" t="s">
        <v>86</v>
      </c>
      <c r="P704" s="192" t="s">
        <v>87</v>
      </c>
      <c r="Q704" s="145"/>
      <c r="R704" s="145">
        <v>46108</v>
      </c>
      <c r="S704" s="192"/>
    </row>
    <row r="705" spans="1:19" ht="156" customHeight="1" x14ac:dyDescent="0.25">
      <c r="A705" s="197" t="str">
        <f t="shared" si="16"/>
        <v>INC20260327704</v>
      </c>
      <c r="B705" s="199">
        <v>46108.614583333299</v>
      </c>
      <c r="C705" s="192" t="s">
        <v>37</v>
      </c>
      <c r="D705" s="194" t="s">
        <v>901</v>
      </c>
      <c r="E705" s="192" t="s">
        <v>50</v>
      </c>
      <c r="F705" s="192" t="s">
        <v>40</v>
      </c>
      <c r="G705" s="192" t="s">
        <v>51</v>
      </c>
      <c r="H705" s="192" t="s">
        <v>42</v>
      </c>
      <c r="I705" s="192" t="s">
        <v>630</v>
      </c>
      <c r="J705" s="195" t="s">
        <v>2343</v>
      </c>
      <c r="K705" s="192" t="s">
        <v>54</v>
      </c>
      <c r="L705" s="192" t="s">
        <v>55</v>
      </c>
      <c r="M705" s="146" t="s">
        <v>5</v>
      </c>
      <c r="N705" s="192" t="s">
        <v>902</v>
      </c>
      <c r="O705" s="192"/>
      <c r="P705" s="192"/>
      <c r="Q705" s="145">
        <v>46110</v>
      </c>
      <c r="R705" s="145">
        <v>46108</v>
      </c>
      <c r="S705" s="192"/>
    </row>
    <row r="706" spans="1:19" ht="174" customHeight="1" x14ac:dyDescent="0.25">
      <c r="A706" s="197" t="str">
        <f t="shared" si="16"/>
        <v>INC20260327705</v>
      </c>
      <c r="B706" s="199">
        <v>46108.65625</v>
      </c>
      <c r="C706" s="192" t="s">
        <v>37</v>
      </c>
      <c r="D706" s="194" t="s">
        <v>1698</v>
      </c>
      <c r="E706" s="192" t="s">
        <v>50</v>
      </c>
      <c r="F706" s="192" t="s">
        <v>40</v>
      </c>
      <c r="G706" s="192" t="s">
        <v>51</v>
      </c>
      <c r="H706" s="192" t="s">
        <v>42</v>
      </c>
      <c r="I706" s="192" t="s">
        <v>630</v>
      </c>
      <c r="J706" s="195" t="s">
        <v>2344</v>
      </c>
      <c r="K706" s="192" t="s">
        <v>54</v>
      </c>
      <c r="L706" s="192" t="s">
        <v>55</v>
      </c>
      <c r="M706" s="146" t="s">
        <v>5</v>
      </c>
      <c r="N706" s="192" t="s">
        <v>903</v>
      </c>
      <c r="O706" s="192"/>
      <c r="P706" s="192"/>
      <c r="Q706" s="145">
        <v>46108</v>
      </c>
      <c r="R706" s="145">
        <v>46108</v>
      </c>
      <c r="S706" s="192"/>
    </row>
    <row r="707" spans="1:19" ht="163.95" customHeight="1" x14ac:dyDescent="0.25">
      <c r="A707" s="197" t="str">
        <f t="shared" si="16"/>
        <v>INC20260327706</v>
      </c>
      <c r="B707" s="199">
        <v>46108.655555555597</v>
      </c>
      <c r="C707" s="192" t="s">
        <v>37</v>
      </c>
      <c r="D707" s="194" t="s">
        <v>129</v>
      </c>
      <c r="E707" s="192" t="s">
        <v>50</v>
      </c>
      <c r="F707" s="192" t="s">
        <v>40</v>
      </c>
      <c r="G707" s="192" t="s">
        <v>51</v>
      </c>
      <c r="H707" s="192" t="s">
        <v>92</v>
      </c>
      <c r="I707" s="192" t="s">
        <v>93</v>
      </c>
      <c r="J707" s="195" t="s">
        <v>2345</v>
      </c>
      <c r="K707" s="192" t="s">
        <v>54</v>
      </c>
      <c r="L707" s="192" t="s">
        <v>55</v>
      </c>
      <c r="M707" s="146" t="s">
        <v>5</v>
      </c>
      <c r="N707" s="192" t="s">
        <v>904</v>
      </c>
      <c r="O707" s="192" t="s">
        <v>95</v>
      </c>
      <c r="P707" s="192" t="s">
        <v>96</v>
      </c>
      <c r="Q707" s="145">
        <v>46115</v>
      </c>
      <c r="R707" s="145">
        <v>46108</v>
      </c>
      <c r="S707" s="192"/>
    </row>
    <row r="708" spans="1:19" ht="150" customHeight="1" x14ac:dyDescent="0.25">
      <c r="A708" s="197" t="str">
        <f t="shared" si="16"/>
        <v>INC20260327707</v>
      </c>
      <c r="B708" s="199">
        <v>46108.675000000003</v>
      </c>
      <c r="C708" s="192" t="s">
        <v>37</v>
      </c>
      <c r="D708" s="194" t="s">
        <v>57</v>
      </c>
      <c r="E708" s="192" t="s">
        <v>69</v>
      </c>
      <c r="F708" s="192" t="s">
        <v>59</v>
      </c>
      <c r="G708" s="192" t="s">
        <v>60</v>
      </c>
      <c r="H708" s="192" t="s">
        <v>61</v>
      </c>
      <c r="I708" s="192" t="s">
        <v>62</v>
      </c>
      <c r="J708" s="121" t="s">
        <v>2346</v>
      </c>
      <c r="K708" s="192" t="s">
        <v>63</v>
      </c>
      <c r="L708" s="192" t="s">
        <v>81</v>
      </c>
      <c r="M708" s="146" t="s">
        <v>5</v>
      </c>
      <c r="N708" s="192" t="s">
        <v>905</v>
      </c>
      <c r="O708" s="192" t="s">
        <v>66</v>
      </c>
      <c r="P708" s="192" t="s">
        <v>67</v>
      </c>
      <c r="Q708" s="145"/>
      <c r="R708" s="145">
        <v>46108</v>
      </c>
      <c r="S708" s="192"/>
    </row>
    <row r="709" spans="1:19" ht="154.94999999999999" customHeight="1" x14ac:dyDescent="0.25">
      <c r="A709" s="197" t="str">
        <f t="shared" si="16"/>
        <v>INC20260327708</v>
      </c>
      <c r="B709" s="199">
        <v>46108.7006944444</v>
      </c>
      <c r="C709" s="192" t="s">
        <v>37</v>
      </c>
      <c r="D709" s="194" t="s">
        <v>906</v>
      </c>
      <c r="E709" s="192" t="s">
        <v>50</v>
      </c>
      <c r="F709" s="192" t="s">
        <v>40</v>
      </c>
      <c r="G709" s="192" t="s">
        <v>51</v>
      </c>
      <c r="H709" s="192" t="s">
        <v>79</v>
      </c>
      <c r="I709" s="192" t="s">
        <v>84</v>
      </c>
      <c r="J709" s="195" t="s">
        <v>2347</v>
      </c>
      <c r="K709" s="192" t="s">
        <v>54</v>
      </c>
      <c r="L709" s="192" t="s">
        <v>55</v>
      </c>
      <c r="M709" s="146" t="s">
        <v>5</v>
      </c>
      <c r="N709" s="170" t="s">
        <v>907</v>
      </c>
      <c r="O709" s="192" t="s">
        <v>325</v>
      </c>
      <c r="P709" s="192" t="s">
        <v>307</v>
      </c>
      <c r="Q709" s="145">
        <v>46111</v>
      </c>
      <c r="R709" s="145">
        <v>46108</v>
      </c>
      <c r="S709" s="192"/>
    </row>
    <row r="710" spans="1:19" ht="178.95" customHeight="1" x14ac:dyDescent="0.25">
      <c r="A710" s="197" t="str">
        <f t="shared" si="16"/>
        <v>INC20260327709</v>
      </c>
      <c r="B710" s="199">
        <v>46108.745833333298</v>
      </c>
      <c r="C710" s="192" t="s">
        <v>37</v>
      </c>
      <c r="D710" s="194" t="s">
        <v>57</v>
      </c>
      <c r="E710" s="192" t="s">
        <v>69</v>
      </c>
      <c r="F710" s="192" t="s">
        <v>40</v>
      </c>
      <c r="G710" s="192" t="s">
        <v>60</v>
      </c>
      <c r="H710" s="192" t="s">
        <v>79</v>
      </c>
      <c r="I710" s="192" t="s">
        <v>84</v>
      </c>
      <c r="J710" s="121" t="s">
        <v>2348</v>
      </c>
      <c r="K710" s="192" t="s">
        <v>63</v>
      </c>
      <c r="L710" s="192" t="s">
        <v>81</v>
      </c>
      <c r="M710" s="146" t="s">
        <v>5</v>
      </c>
      <c r="N710" s="192" t="s">
        <v>908</v>
      </c>
      <c r="O710" s="192" t="s">
        <v>86</v>
      </c>
      <c r="P710" s="192" t="s">
        <v>87</v>
      </c>
      <c r="Q710" s="145">
        <v>46114</v>
      </c>
      <c r="R710" s="145">
        <v>46111</v>
      </c>
      <c r="S710" s="192"/>
    </row>
    <row r="711" spans="1:19" ht="162" customHeight="1" x14ac:dyDescent="0.25">
      <c r="A711" s="197" t="str">
        <f t="shared" si="16"/>
        <v>INC20260327710</v>
      </c>
      <c r="B711" s="199">
        <v>46108.826388888898</v>
      </c>
      <c r="C711" s="192" t="s">
        <v>37</v>
      </c>
      <c r="D711" s="192" t="s">
        <v>286</v>
      </c>
      <c r="E711" s="192" t="s">
        <v>125</v>
      </c>
      <c r="F711" s="192" t="s">
        <v>40</v>
      </c>
      <c r="G711" s="192" t="s">
        <v>41</v>
      </c>
      <c r="H711" s="192" t="s">
        <v>79</v>
      </c>
      <c r="I711" s="192" t="s">
        <v>287</v>
      </c>
      <c r="J711" s="195" t="s">
        <v>2349</v>
      </c>
      <c r="K711" s="192" t="s">
        <v>44</v>
      </c>
      <c r="L711" s="192" t="s">
        <v>81</v>
      </c>
      <c r="M711" s="146" t="s">
        <v>5</v>
      </c>
      <c r="N711" s="192" t="s">
        <v>909</v>
      </c>
      <c r="O711" s="192" t="s">
        <v>86</v>
      </c>
      <c r="P711" s="192" t="s">
        <v>290</v>
      </c>
      <c r="Q711" s="145">
        <v>46108</v>
      </c>
      <c r="R711" s="145">
        <v>46111</v>
      </c>
      <c r="S711" s="192"/>
    </row>
    <row r="712" spans="1:19" ht="171" customHeight="1" x14ac:dyDescent="0.25">
      <c r="A712" s="197" t="str">
        <f t="shared" si="16"/>
        <v>INC20260327711</v>
      </c>
      <c r="B712" s="199">
        <v>46108.934027777803</v>
      </c>
      <c r="C712" s="192" t="s">
        <v>37</v>
      </c>
      <c r="D712" s="194" t="s">
        <v>1699</v>
      </c>
      <c r="E712" s="192" t="s">
        <v>50</v>
      </c>
      <c r="F712" s="192" t="s">
        <v>40</v>
      </c>
      <c r="G712" s="192" t="s">
        <v>51</v>
      </c>
      <c r="H712" s="192" t="s">
        <v>42</v>
      </c>
      <c r="I712" s="192" t="s">
        <v>630</v>
      </c>
      <c r="J712" s="195" t="s">
        <v>2350</v>
      </c>
      <c r="K712" s="192" t="s">
        <v>54</v>
      </c>
      <c r="L712" s="192" t="s">
        <v>55</v>
      </c>
      <c r="M712" s="146" t="s">
        <v>5</v>
      </c>
      <c r="N712" s="192" t="s">
        <v>910</v>
      </c>
      <c r="O712" s="192" t="s">
        <v>911</v>
      </c>
      <c r="P712" s="144" t="s">
        <v>912</v>
      </c>
      <c r="Q712" s="145">
        <v>46109</v>
      </c>
      <c r="R712" s="145">
        <v>46111</v>
      </c>
      <c r="S712" s="192"/>
    </row>
    <row r="713" spans="1:19" ht="160.94999999999999" customHeight="1" x14ac:dyDescent="0.25">
      <c r="A713" s="197" t="str">
        <f t="shared" si="16"/>
        <v>INC20260327712</v>
      </c>
      <c r="B713" s="199">
        <v>46108.963888888902</v>
      </c>
      <c r="C713" s="192" t="s">
        <v>37</v>
      </c>
      <c r="D713" s="194" t="s">
        <v>913</v>
      </c>
      <c r="E713" s="192" t="s">
        <v>50</v>
      </c>
      <c r="F713" s="192" t="s">
        <v>40</v>
      </c>
      <c r="G713" s="192" t="s">
        <v>51</v>
      </c>
      <c r="H713" s="192" t="s">
        <v>42</v>
      </c>
      <c r="I713" s="192" t="s">
        <v>630</v>
      </c>
      <c r="J713" s="195" t="s">
        <v>2350</v>
      </c>
      <c r="K713" s="192" t="s">
        <v>54</v>
      </c>
      <c r="L713" s="192" t="s">
        <v>55</v>
      </c>
      <c r="M713" s="146" t="s">
        <v>5</v>
      </c>
      <c r="N713" s="192" t="s">
        <v>914</v>
      </c>
      <c r="O713" s="192" t="s">
        <v>911</v>
      </c>
      <c r="P713" s="144" t="s">
        <v>912</v>
      </c>
      <c r="Q713" s="145">
        <v>46109</v>
      </c>
      <c r="R713" s="145">
        <v>46111</v>
      </c>
      <c r="S713" s="192"/>
    </row>
    <row r="714" spans="1:19" ht="160.05000000000001" customHeight="1" x14ac:dyDescent="0.25">
      <c r="A714" s="197" t="str">
        <f t="shared" si="16"/>
        <v>INC20260328713</v>
      </c>
      <c r="B714" s="199">
        <v>46109.2902777778</v>
      </c>
      <c r="C714" s="192" t="s">
        <v>37</v>
      </c>
      <c r="D714" s="194" t="s">
        <v>915</v>
      </c>
      <c r="E714" s="192" t="s">
        <v>50</v>
      </c>
      <c r="F714" s="192" t="s">
        <v>40</v>
      </c>
      <c r="G714" s="192" t="s">
        <v>51</v>
      </c>
      <c r="H714" s="192" t="s">
        <v>42</v>
      </c>
      <c r="I714" s="192" t="s">
        <v>630</v>
      </c>
      <c r="J714" s="195" t="s">
        <v>2351</v>
      </c>
      <c r="K714" s="192" t="s">
        <v>54</v>
      </c>
      <c r="L714" s="192" t="s">
        <v>55</v>
      </c>
      <c r="M714" s="146" t="s">
        <v>5</v>
      </c>
      <c r="N714" s="192" t="s">
        <v>916</v>
      </c>
      <c r="O714" s="192" t="s">
        <v>911</v>
      </c>
      <c r="P714" s="144" t="s">
        <v>912</v>
      </c>
      <c r="Q714" s="145">
        <v>46109</v>
      </c>
      <c r="R714" s="145">
        <v>46111</v>
      </c>
      <c r="S714" s="192"/>
    </row>
    <row r="715" spans="1:19" ht="163.95" customHeight="1" x14ac:dyDescent="0.25">
      <c r="A715" s="197" t="str">
        <f t="shared" si="16"/>
        <v>INC20260328714</v>
      </c>
      <c r="B715" s="199">
        <v>46109.320138888899</v>
      </c>
      <c r="C715" s="192" t="s">
        <v>37</v>
      </c>
      <c r="D715" s="194" t="s">
        <v>917</v>
      </c>
      <c r="E715" s="192" t="s">
        <v>50</v>
      </c>
      <c r="F715" s="192" t="s">
        <v>40</v>
      </c>
      <c r="G715" s="192" t="s">
        <v>51</v>
      </c>
      <c r="H715" s="192" t="s">
        <v>42</v>
      </c>
      <c r="I715" s="192" t="s">
        <v>630</v>
      </c>
      <c r="J715" s="195" t="s">
        <v>2352</v>
      </c>
      <c r="K715" s="192" t="s">
        <v>54</v>
      </c>
      <c r="L715" s="192" t="s">
        <v>55</v>
      </c>
      <c r="M715" s="146" t="s">
        <v>5</v>
      </c>
      <c r="N715" s="192" t="s">
        <v>918</v>
      </c>
      <c r="O715" s="192" t="s">
        <v>911</v>
      </c>
      <c r="P715" s="144" t="s">
        <v>912</v>
      </c>
      <c r="Q715" s="145">
        <v>46109</v>
      </c>
      <c r="R715" s="145">
        <v>46111</v>
      </c>
      <c r="S715" s="192"/>
    </row>
    <row r="716" spans="1:19" ht="172.05" customHeight="1" x14ac:dyDescent="0.25">
      <c r="A716" s="197" t="str">
        <f t="shared" ref="A716:A779" si="17">"INC"&amp;TEXT(B716,"yyyymmdd")&amp;TEXT(ROW(A716)-1,"000")</f>
        <v>INC20260328715</v>
      </c>
      <c r="B716" s="199">
        <v>46109.389583333301</v>
      </c>
      <c r="C716" s="192" t="s">
        <v>37</v>
      </c>
      <c r="D716" s="194" t="s">
        <v>919</v>
      </c>
      <c r="E716" s="192" t="s">
        <v>50</v>
      </c>
      <c r="F716" s="192" t="s">
        <v>40</v>
      </c>
      <c r="G716" s="192" t="s">
        <v>51</v>
      </c>
      <c r="H716" s="192" t="s">
        <v>42</v>
      </c>
      <c r="I716" s="192" t="s">
        <v>630</v>
      </c>
      <c r="J716" s="195" t="s">
        <v>2353</v>
      </c>
      <c r="K716" s="192" t="s">
        <v>54</v>
      </c>
      <c r="L716" s="192" t="s">
        <v>55</v>
      </c>
      <c r="M716" s="146" t="s">
        <v>5</v>
      </c>
      <c r="N716" s="192" t="s">
        <v>920</v>
      </c>
      <c r="O716" s="192" t="s">
        <v>911</v>
      </c>
      <c r="P716" s="144" t="s">
        <v>912</v>
      </c>
      <c r="Q716" s="145">
        <v>46109</v>
      </c>
      <c r="R716" s="145">
        <v>46111</v>
      </c>
      <c r="S716" s="192"/>
    </row>
    <row r="717" spans="1:19" ht="154.05000000000001" customHeight="1" x14ac:dyDescent="0.25">
      <c r="A717" s="197" t="str">
        <f t="shared" si="17"/>
        <v>INC20260328716</v>
      </c>
      <c r="B717" s="199">
        <v>46109.479861111096</v>
      </c>
      <c r="C717" s="192" t="s">
        <v>37</v>
      </c>
      <c r="D717" s="194" t="s">
        <v>921</v>
      </c>
      <c r="E717" s="192" t="s">
        <v>50</v>
      </c>
      <c r="F717" s="192" t="s">
        <v>40</v>
      </c>
      <c r="G717" s="192" t="s">
        <v>51</v>
      </c>
      <c r="H717" s="192" t="s">
        <v>42</v>
      </c>
      <c r="I717" s="192" t="s">
        <v>630</v>
      </c>
      <c r="J717" s="195" t="s">
        <v>2354</v>
      </c>
      <c r="K717" s="192" t="s">
        <v>54</v>
      </c>
      <c r="L717" s="192" t="s">
        <v>55</v>
      </c>
      <c r="M717" s="146" t="s">
        <v>5</v>
      </c>
      <c r="N717" s="192" t="s">
        <v>922</v>
      </c>
      <c r="O717" s="192" t="s">
        <v>911</v>
      </c>
      <c r="P717" s="144" t="s">
        <v>912</v>
      </c>
      <c r="Q717" s="145">
        <v>46109</v>
      </c>
      <c r="R717" s="145">
        <v>46111</v>
      </c>
      <c r="S717" s="192"/>
    </row>
    <row r="718" spans="1:19" ht="174" customHeight="1" x14ac:dyDescent="0.25">
      <c r="A718" s="197" t="str">
        <f t="shared" si="17"/>
        <v>INC20260328717</v>
      </c>
      <c r="B718" s="199">
        <v>46109.517361111102</v>
      </c>
      <c r="C718" s="192" t="s">
        <v>37</v>
      </c>
      <c r="D718" s="194" t="s">
        <v>923</v>
      </c>
      <c r="E718" s="192" t="s">
        <v>50</v>
      </c>
      <c r="F718" s="192" t="s">
        <v>40</v>
      </c>
      <c r="G718" s="192" t="s">
        <v>51</v>
      </c>
      <c r="H718" s="192" t="s">
        <v>42</v>
      </c>
      <c r="I718" s="192" t="s">
        <v>630</v>
      </c>
      <c r="J718" s="195" t="s">
        <v>2355</v>
      </c>
      <c r="K718" s="192" t="s">
        <v>54</v>
      </c>
      <c r="L718" s="192" t="s">
        <v>55</v>
      </c>
      <c r="M718" s="146" t="s">
        <v>5</v>
      </c>
      <c r="N718" s="192" t="s">
        <v>922</v>
      </c>
      <c r="O718" s="192" t="s">
        <v>911</v>
      </c>
      <c r="P718" s="144" t="s">
        <v>912</v>
      </c>
      <c r="Q718" s="145">
        <v>46109</v>
      </c>
      <c r="R718" s="145">
        <v>46111</v>
      </c>
      <c r="S718" s="192"/>
    </row>
    <row r="719" spans="1:19" ht="178.05" customHeight="1" x14ac:dyDescent="0.25">
      <c r="A719" s="197" t="str">
        <f t="shared" si="17"/>
        <v>INC20260328718</v>
      </c>
      <c r="B719" s="199">
        <v>46109.586805555598</v>
      </c>
      <c r="C719" s="192" t="s">
        <v>37</v>
      </c>
      <c r="D719" s="194" t="s">
        <v>924</v>
      </c>
      <c r="E719" s="192" t="s">
        <v>50</v>
      </c>
      <c r="F719" s="192" t="s">
        <v>40</v>
      </c>
      <c r="G719" s="192" t="s">
        <v>51</v>
      </c>
      <c r="H719" s="192" t="s">
        <v>42</v>
      </c>
      <c r="I719" s="192" t="s">
        <v>630</v>
      </c>
      <c r="J719" s="195" t="s">
        <v>2356</v>
      </c>
      <c r="K719" s="192" t="s">
        <v>54</v>
      </c>
      <c r="L719" s="192" t="s">
        <v>55</v>
      </c>
      <c r="M719" s="146" t="s">
        <v>5</v>
      </c>
      <c r="N719" s="192" t="s">
        <v>925</v>
      </c>
      <c r="O719" s="192" t="s">
        <v>911</v>
      </c>
      <c r="P719" s="144" t="s">
        <v>912</v>
      </c>
      <c r="Q719" s="145">
        <v>46110</v>
      </c>
      <c r="R719" s="145">
        <v>46111</v>
      </c>
      <c r="S719" s="192"/>
    </row>
    <row r="720" spans="1:19" ht="168" customHeight="1" x14ac:dyDescent="0.25">
      <c r="A720" s="197" t="str">
        <f t="shared" si="17"/>
        <v>INC20260328719</v>
      </c>
      <c r="B720" s="199">
        <v>46109.624305555597</v>
      </c>
      <c r="C720" s="192" t="s">
        <v>37</v>
      </c>
      <c r="D720" s="194" t="s">
        <v>926</v>
      </c>
      <c r="E720" s="192" t="s">
        <v>50</v>
      </c>
      <c r="F720" s="192" t="s">
        <v>40</v>
      </c>
      <c r="G720" s="192" t="s">
        <v>51</v>
      </c>
      <c r="H720" s="192" t="s">
        <v>42</v>
      </c>
      <c r="I720" s="192" t="s">
        <v>630</v>
      </c>
      <c r="J720" s="195" t="s">
        <v>2357</v>
      </c>
      <c r="K720" s="192" t="s">
        <v>54</v>
      </c>
      <c r="L720" s="192" t="s">
        <v>55</v>
      </c>
      <c r="M720" s="146" t="s">
        <v>5</v>
      </c>
      <c r="N720" s="192" t="s">
        <v>922</v>
      </c>
      <c r="O720" s="192" t="s">
        <v>911</v>
      </c>
      <c r="P720" s="144" t="s">
        <v>912</v>
      </c>
      <c r="Q720" s="145">
        <v>46109</v>
      </c>
      <c r="R720" s="145">
        <v>46111</v>
      </c>
      <c r="S720" s="192"/>
    </row>
    <row r="721" spans="1:19" ht="157.05000000000001" customHeight="1" x14ac:dyDescent="0.25">
      <c r="A721" s="197" t="str">
        <f t="shared" si="17"/>
        <v>INC20260329720</v>
      </c>
      <c r="B721" s="199">
        <v>46110.512499999997</v>
      </c>
      <c r="C721" s="192" t="s">
        <v>37</v>
      </c>
      <c r="D721" s="194" t="s">
        <v>927</v>
      </c>
      <c r="E721" s="192" t="s">
        <v>50</v>
      </c>
      <c r="F721" s="192" t="s">
        <v>40</v>
      </c>
      <c r="G721" s="192" t="s">
        <v>51</v>
      </c>
      <c r="H721" s="192" t="s">
        <v>42</v>
      </c>
      <c r="I721" s="192" t="s">
        <v>630</v>
      </c>
      <c r="J721" s="195" t="s">
        <v>2358</v>
      </c>
      <c r="K721" s="192" t="s">
        <v>54</v>
      </c>
      <c r="L721" s="192" t="s">
        <v>55</v>
      </c>
      <c r="M721" s="146" t="s">
        <v>5</v>
      </c>
      <c r="N721" s="192" t="s">
        <v>928</v>
      </c>
      <c r="O721" s="192" t="s">
        <v>911</v>
      </c>
      <c r="P721" s="144" t="s">
        <v>912</v>
      </c>
      <c r="Q721" s="145">
        <v>46110</v>
      </c>
      <c r="R721" s="145">
        <v>46111</v>
      </c>
      <c r="S721" s="192"/>
    </row>
    <row r="722" spans="1:19" ht="165" customHeight="1" x14ac:dyDescent="0.25">
      <c r="A722" s="197" t="str">
        <f t="shared" si="17"/>
        <v>INC20260330721</v>
      </c>
      <c r="B722" s="199">
        <v>46111.362500000003</v>
      </c>
      <c r="C722" s="192" t="s">
        <v>37</v>
      </c>
      <c r="D722" s="194" t="s">
        <v>929</v>
      </c>
      <c r="E722" s="192" t="s">
        <v>50</v>
      </c>
      <c r="F722" s="192" t="s">
        <v>40</v>
      </c>
      <c r="G722" s="192" t="s">
        <v>51</v>
      </c>
      <c r="H722" s="192" t="s">
        <v>42</v>
      </c>
      <c r="I722" s="192" t="s">
        <v>630</v>
      </c>
      <c r="J722" s="195" t="s">
        <v>2359</v>
      </c>
      <c r="K722" s="192" t="s">
        <v>54</v>
      </c>
      <c r="L722" s="192" t="s">
        <v>55</v>
      </c>
      <c r="M722" s="146" t="s">
        <v>5</v>
      </c>
      <c r="N722" s="192" t="s">
        <v>930</v>
      </c>
      <c r="O722" s="192" t="s">
        <v>911</v>
      </c>
      <c r="P722" s="144" t="s">
        <v>912</v>
      </c>
      <c r="Q722" s="145">
        <v>46111</v>
      </c>
      <c r="R722" s="145">
        <v>46111</v>
      </c>
      <c r="S722" s="192"/>
    </row>
    <row r="723" spans="1:19" ht="184.95" customHeight="1" x14ac:dyDescent="0.25">
      <c r="A723" s="197" t="str">
        <f t="shared" si="17"/>
        <v>INC20260330722</v>
      </c>
      <c r="B723" s="199">
        <v>46111.396527777797</v>
      </c>
      <c r="C723" s="192" t="s">
        <v>37</v>
      </c>
      <c r="D723" s="194" t="s">
        <v>38</v>
      </c>
      <c r="E723" s="192" t="s">
        <v>39</v>
      </c>
      <c r="F723" s="192" t="s">
        <v>40</v>
      </c>
      <c r="G723" s="192" t="s">
        <v>41</v>
      </c>
      <c r="H723" s="192" t="s">
        <v>42</v>
      </c>
      <c r="I723" s="192" t="s">
        <v>43</v>
      </c>
      <c r="J723" s="195" t="s">
        <v>2360</v>
      </c>
      <c r="K723" s="192" t="s">
        <v>44</v>
      </c>
      <c r="L723" s="192" t="s">
        <v>45</v>
      </c>
      <c r="M723" s="143" t="s">
        <v>5</v>
      </c>
      <c r="N723" s="198" t="s">
        <v>931</v>
      </c>
      <c r="O723" s="192"/>
      <c r="P723" s="144" t="s">
        <v>47</v>
      </c>
      <c r="Q723" s="145">
        <v>46112</v>
      </c>
      <c r="R723" s="145">
        <v>46111</v>
      </c>
      <c r="S723" s="192"/>
    </row>
    <row r="724" spans="1:19" ht="174" customHeight="1" x14ac:dyDescent="0.25">
      <c r="A724" s="197" t="str">
        <f t="shared" si="17"/>
        <v>INC20260330723</v>
      </c>
      <c r="B724" s="199">
        <v>46111.377083333296</v>
      </c>
      <c r="C724" s="192" t="s">
        <v>37</v>
      </c>
      <c r="D724" s="194" t="s">
        <v>49</v>
      </c>
      <c r="E724" s="192" t="s">
        <v>50</v>
      </c>
      <c r="F724" s="192" t="s">
        <v>40</v>
      </c>
      <c r="G724" s="192" t="s">
        <v>51</v>
      </c>
      <c r="H724" s="192" t="s">
        <v>52</v>
      </c>
      <c r="I724" s="192" t="s">
        <v>53</v>
      </c>
      <c r="J724" s="195" t="s">
        <v>2361</v>
      </c>
      <c r="K724" s="192" t="s">
        <v>54</v>
      </c>
      <c r="L724" s="192" t="s">
        <v>55</v>
      </c>
      <c r="M724" s="146" t="s">
        <v>5</v>
      </c>
      <c r="N724" s="192" t="s">
        <v>932</v>
      </c>
      <c r="O724" s="192"/>
      <c r="P724" s="192"/>
      <c r="Q724" s="145">
        <v>46052</v>
      </c>
      <c r="R724" s="145">
        <v>46111</v>
      </c>
      <c r="S724" s="192"/>
    </row>
    <row r="725" spans="1:19" ht="169.05" customHeight="1" x14ac:dyDescent="0.25">
      <c r="A725" s="197" t="str">
        <f t="shared" si="17"/>
        <v>INC20260327724</v>
      </c>
      <c r="B725" s="193">
        <v>46108.684027777803</v>
      </c>
      <c r="C725" s="192" t="s">
        <v>77</v>
      </c>
      <c r="D725" s="194" t="s">
        <v>78</v>
      </c>
      <c r="E725" s="192" t="s">
        <v>69</v>
      </c>
      <c r="F725" s="192" t="s">
        <v>40</v>
      </c>
      <c r="G725" s="192" t="s">
        <v>41</v>
      </c>
      <c r="H725" s="192" t="s">
        <v>79</v>
      </c>
      <c r="I725" s="192" t="s">
        <v>84</v>
      </c>
      <c r="J725" s="121" t="s">
        <v>2362</v>
      </c>
      <c r="K725" s="192" t="s">
        <v>44</v>
      </c>
      <c r="L725" s="192" t="s">
        <v>81</v>
      </c>
      <c r="M725" s="146" t="s">
        <v>5</v>
      </c>
      <c r="N725" s="192" t="s">
        <v>933</v>
      </c>
      <c r="O725" s="192" t="s">
        <v>86</v>
      </c>
      <c r="P725" s="192" t="s">
        <v>87</v>
      </c>
      <c r="Q725" s="145">
        <v>46108</v>
      </c>
      <c r="R725" s="145">
        <v>46111</v>
      </c>
      <c r="S725" s="192"/>
    </row>
    <row r="726" spans="1:19" ht="151.94999999999999" customHeight="1" x14ac:dyDescent="0.25">
      <c r="A726" s="197" t="str">
        <f t="shared" si="17"/>
        <v>INC20260327725</v>
      </c>
      <c r="B726" s="193">
        <v>46108.689583333296</v>
      </c>
      <c r="C726" s="192" t="s">
        <v>77</v>
      </c>
      <c r="D726" s="194" t="s">
        <v>78</v>
      </c>
      <c r="E726" s="192" t="s">
        <v>69</v>
      </c>
      <c r="F726" s="192" t="s">
        <v>40</v>
      </c>
      <c r="G726" s="192" t="s">
        <v>60</v>
      </c>
      <c r="H726" s="192" t="s">
        <v>79</v>
      </c>
      <c r="I726" s="192" t="s">
        <v>80</v>
      </c>
      <c r="J726" s="121" t="s">
        <v>2363</v>
      </c>
      <c r="K726" s="192" t="s">
        <v>110</v>
      </c>
      <c r="L726" s="192" t="s">
        <v>81</v>
      </c>
      <c r="M726" s="146" t="s">
        <v>5</v>
      </c>
      <c r="N726" s="192" t="s">
        <v>934</v>
      </c>
      <c r="O726" s="197" t="s">
        <v>83</v>
      </c>
      <c r="P726" s="197" t="s">
        <v>1366</v>
      </c>
      <c r="Q726" s="145">
        <v>46108</v>
      </c>
      <c r="R726" s="145">
        <v>46111</v>
      </c>
      <c r="S726" s="192"/>
    </row>
    <row r="727" spans="1:19" ht="166.05" customHeight="1" x14ac:dyDescent="0.25">
      <c r="A727" s="197" t="str">
        <f t="shared" si="17"/>
        <v>INC20260327726</v>
      </c>
      <c r="B727" s="193">
        <v>46108.694444444402</v>
      </c>
      <c r="C727" s="192" t="s">
        <v>77</v>
      </c>
      <c r="D727" s="194" t="s">
        <v>78</v>
      </c>
      <c r="E727" s="192" t="s">
        <v>69</v>
      </c>
      <c r="F727" s="192" t="s">
        <v>40</v>
      </c>
      <c r="G727" s="192" t="s">
        <v>60</v>
      </c>
      <c r="H727" s="192" t="s">
        <v>79</v>
      </c>
      <c r="I727" s="192" t="s">
        <v>80</v>
      </c>
      <c r="J727" s="121" t="s">
        <v>2364</v>
      </c>
      <c r="K727" s="192" t="s">
        <v>110</v>
      </c>
      <c r="L727" s="192" t="s">
        <v>81</v>
      </c>
      <c r="M727" s="146" t="s">
        <v>5</v>
      </c>
      <c r="N727" s="192" t="s">
        <v>935</v>
      </c>
      <c r="O727" s="197" t="s">
        <v>83</v>
      </c>
      <c r="P727" s="197" t="s">
        <v>1366</v>
      </c>
      <c r="Q727" s="145">
        <v>46108</v>
      </c>
      <c r="R727" s="145">
        <v>46111</v>
      </c>
      <c r="S727" s="192"/>
    </row>
    <row r="728" spans="1:19" ht="168" customHeight="1" x14ac:dyDescent="0.25">
      <c r="A728" s="197" t="str">
        <f t="shared" si="17"/>
        <v>INC20260329727</v>
      </c>
      <c r="B728" s="193">
        <v>46110.791666666701</v>
      </c>
      <c r="C728" s="192" t="s">
        <v>77</v>
      </c>
      <c r="D728" s="194" t="s">
        <v>78</v>
      </c>
      <c r="E728" s="192" t="s">
        <v>876</v>
      </c>
      <c r="F728" s="192" t="s">
        <v>40</v>
      </c>
      <c r="G728" s="192" t="s">
        <v>41</v>
      </c>
      <c r="H728" s="192" t="s">
        <v>79</v>
      </c>
      <c r="I728" s="192" t="s">
        <v>84</v>
      </c>
      <c r="J728" s="121" t="s">
        <v>2365</v>
      </c>
      <c r="K728" s="192" t="s">
        <v>936</v>
      </c>
      <c r="L728" s="192" t="s">
        <v>81</v>
      </c>
      <c r="M728" s="146" t="s">
        <v>5</v>
      </c>
      <c r="N728" s="192" t="s">
        <v>937</v>
      </c>
      <c r="O728" s="192" t="s">
        <v>86</v>
      </c>
      <c r="P728" s="192" t="s">
        <v>87</v>
      </c>
      <c r="Q728" s="145">
        <v>46108</v>
      </c>
      <c r="R728" s="145">
        <v>46111</v>
      </c>
      <c r="S728" s="192"/>
    </row>
    <row r="729" spans="1:19" ht="172.05" customHeight="1" x14ac:dyDescent="0.25">
      <c r="A729" s="197" t="str">
        <f t="shared" si="17"/>
        <v>INC20260330728</v>
      </c>
      <c r="B729" s="199">
        <v>46111.657638888901</v>
      </c>
      <c r="C729" s="192" t="s">
        <v>37</v>
      </c>
      <c r="D729" s="194" t="s">
        <v>49</v>
      </c>
      <c r="E729" s="192" t="s">
        <v>50</v>
      </c>
      <c r="F729" s="192" t="s">
        <v>40</v>
      </c>
      <c r="G729" s="192" t="s">
        <v>51</v>
      </c>
      <c r="H729" s="192" t="s">
        <v>92</v>
      </c>
      <c r="I729" s="192" t="s">
        <v>93</v>
      </c>
      <c r="J729" s="195" t="s">
        <v>2366</v>
      </c>
      <c r="K729" s="192" t="s">
        <v>54</v>
      </c>
      <c r="L729" s="192" t="s">
        <v>55</v>
      </c>
      <c r="M729" s="146" t="s">
        <v>5</v>
      </c>
      <c r="N729" s="192" t="s">
        <v>938</v>
      </c>
      <c r="O729" s="192" t="s">
        <v>95</v>
      </c>
      <c r="P729" s="192" t="s">
        <v>96</v>
      </c>
      <c r="Q729" s="145">
        <v>46115</v>
      </c>
      <c r="R729" s="145">
        <v>46111</v>
      </c>
      <c r="S729" s="192"/>
    </row>
    <row r="730" spans="1:19" ht="177" customHeight="1" x14ac:dyDescent="0.25">
      <c r="A730" s="197" t="str">
        <f t="shared" si="17"/>
        <v>INC20260330729</v>
      </c>
      <c r="B730" s="199">
        <v>46111.638888888898</v>
      </c>
      <c r="C730" s="192" t="s">
        <v>37</v>
      </c>
      <c r="D730" s="194" t="s">
        <v>49</v>
      </c>
      <c r="E730" s="192" t="s">
        <v>50</v>
      </c>
      <c r="F730" s="192" t="s">
        <v>40</v>
      </c>
      <c r="G730" s="192" t="s">
        <v>51</v>
      </c>
      <c r="H730" s="192" t="s">
        <v>52</v>
      </c>
      <c r="I730" s="192" t="s">
        <v>53</v>
      </c>
      <c r="J730" s="195" t="s">
        <v>2367</v>
      </c>
      <c r="K730" s="192" t="s">
        <v>54</v>
      </c>
      <c r="L730" s="192" t="s">
        <v>55</v>
      </c>
      <c r="M730" s="146" t="s">
        <v>5</v>
      </c>
      <c r="N730" s="192" t="s">
        <v>939</v>
      </c>
      <c r="O730" s="192"/>
      <c r="P730" s="192"/>
      <c r="Q730" s="145">
        <v>46111</v>
      </c>
      <c r="R730" s="145">
        <v>46112</v>
      </c>
      <c r="S730" s="192"/>
    </row>
    <row r="731" spans="1:19" ht="165" customHeight="1" x14ac:dyDescent="0.25">
      <c r="A731" s="197" t="str">
        <f t="shared" si="17"/>
        <v>INC20260330730</v>
      </c>
      <c r="B731" s="199">
        <v>46111.668055555601</v>
      </c>
      <c r="C731" s="192" t="s">
        <v>37</v>
      </c>
      <c r="D731" s="194" t="s">
        <v>49</v>
      </c>
      <c r="E731" s="192" t="s">
        <v>50</v>
      </c>
      <c r="F731" s="192" t="s">
        <v>40</v>
      </c>
      <c r="G731" s="192" t="s">
        <v>51</v>
      </c>
      <c r="H731" s="192" t="s">
        <v>92</v>
      </c>
      <c r="I731" s="192" t="s">
        <v>93</v>
      </c>
      <c r="J731" s="195" t="s">
        <v>2368</v>
      </c>
      <c r="K731" s="192" t="s">
        <v>54</v>
      </c>
      <c r="L731" s="192" t="s">
        <v>55</v>
      </c>
      <c r="M731" s="146" t="s">
        <v>5</v>
      </c>
      <c r="N731" s="192" t="s">
        <v>938</v>
      </c>
      <c r="O731" s="192" t="s">
        <v>95</v>
      </c>
      <c r="P731" s="192" t="s">
        <v>96</v>
      </c>
      <c r="Q731" s="145">
        <v>46115</v>
      </c>
      <c r="R731" s="145">
        <v>46112</v>
      </c>
      <c r="S731" s="192"/>
    </row>
    <row r="732" spans="1:19" ht="138" customHeight="1" x14ac:dyDescent="0.25">
      <c r="A732" s="197" t="str">
        <f t="shared" si="17"/>
        <v>INC20260330731</v>
      </c>
      <c r="B732" s="186">
        <v>46111.706944444399</v>
      </c>
      <c r="C732" s="192" t="s">
        <v>37</v>
      </c>
      <c r="D732" s="187" t="s">
        <v>940</v>
      </c>
      <c r="E732" s="192" t="s">
        <v>50</v>
      </c>
      <c r="F732" s="192" t="s">
        <v>40</v>
      </c>
      <c r="G732" s="192" t="s">
        <v>51</v>
      </c>
      <c r="H732" s="192" t="s">
        <v>92</v>
      </c>
      <c r="I732" s="192" t="s">
        <v>93</v>
      </c>
      <c r="J732" s="195" t="s">
        <v>2369</v>
      </c>
      <c r="K732" s="192" t="s">
        <v>54</v>
      </c>
      <c r="L732" s="192" t="s">
        <v>55</v>
      </c>
      <c r="M732" s="146" t="s">
        <v>5</v>
      </c>
      <c r="N732" s="192" t="s">
        <v>941</v>
      </c>
      <c r="O732" s="192" t="s">
        <v>95</v>
      </c>
      <c r="P732" s="192" t="s">
        <v>96</v>
      </c>
      <c r="Q732" s="145"/>
      <c r="R732" s="145">
        <v>46112</v>
      </c>
      <c r="S732" s="192"/>
    </row>
    <row r="733" spans="1:19" ht="160.94999999999999" customHeight="1" x14ac:dyDescent="0.25">
      <c r="A733" s="197" t="str">
        <f t="shared" si="17"/>
        <v>INC20260331732</v>
      </c>
      <c r="B733" s="199">
        <v>46112.324999999997</v>
      </c>
      <c r="C733" s="192" t="s">
        <v>37</v>
      </c>
      <c r="D733" s="194" t="s">
        <v>38</v>
      </c>
      <c r="E733" s="192" t="s">
        <v>39</v>
      </c>
      <c r="F733" s="192" t="s">
        <v>40</v>
      </c>
      <c r="G733" s="192" t="s">
        <v>41</v>
      </c>
      <c r="H733" s="192" t="s">
        <v>42</v>
      </c>
      <c r="I733" s="192" t="s">
        <v>43</v>
      </c>
      <c r="J733" s="195" t="s">
        <v>2370</v>
      </c>
      <c r="K733" s="192" t="s">
        <v>44</v>
      </c>
      <c r="L733" s="192" t="s">
        <v>45</v>
      </c>
      <c r="M733" s="143" t="s">
        <v>5</v>
      </c>
      <c r="N733" s="198" t="s">
        <v>942</v>
      </c>
      <c r="O733" s="192"/>
      <c r="P733" s="144" t="s">
        <v>47</v>
      </c>
      <c r="Q733" s="145">
        <v>46112</v>
      </c>
      <c r="R733" s="145">
        <v>46112</v>
      </c>
      <c r="S733" s="192"/>
    </row>
    <row r="734" spans="1:19" ht="145.94999999999999" customHeight="1" x14ac:dyDescent="0.25">
      <c r="A734" s="197" t="str">
        <f t="shared" si="17"/>
        <v>INC20260330733</v>
      </c>
      <c r="B734" s="201">
        <v>46111.771527777797</v>
      </c>
      <c r="C734" s="192" t="s">
        <v>77</v>
      </c>
      <c r="D734" s="194" t="s">
        <v>78</v>
      </c>
      <c r="E734" s="192" t="s">
        <v>69</v>
      </c>
      <c r="F734" s="192" t="s">
        <v>40</v>
      </c>
      <c r="G734" s="192" t="s">
        <v>60</v>
      </c>
      <c r="H734" s="192" t="s">
        <v>79</v>
      </c>
      <c r="I734" s="192" t="s">
        <v>80</v>
      </c>
      <c r="J734" s="121" t="s">
        <v>2371</v>
      </c>
      <c r="K734" s="192" t="s">
        <v>110</v>
      </c>
      <c r="L734" s="192" t="s">
        <v>81</v>
      </c>
      <c r="M734" s="146" t="s">
        <v>5</v>
      </c>
      <c r="N734" s="192" t="s">
        <v>943</v>
      </c>
      <c r="O734" s="197" t="s">
        <v>83</v>
      </c>
      <c r="P734" s="197" t="s">
        <v>1366</v>
      </c>
      <c r="Q734" s="145">
        <v>46111</v>
      </c>
      <c r="R734" s="145">
        <v>46112</v>
      </c>
      <c r="S734" s="192"/>
    </row>
    <row r="735" spans="1:19" ht="160.94999999999999" customHeight="1" x14ac:dyDescent="0.25">
      <c r="A735" s="197" t="str">
        <f t="shared" si="17"/>
        <v>INC20260331734</v>
      </c>
      <c r="B735" s="199">
        <v>46112.615277777797</v>
      </c>
      <c r="C735" s="192" t="s">
        <v>37</v>
      </c>
      <c r="D735" s="194" t="s">
        <v>57</v>
      </c>
      <c r="E735" s="192" t="s">
        <v>69</v>
      </c>
      <c r="F735" s="192" t="s">
        <v>59</v>
      </c>
      <c r="G735" s="192" t="s">
        <v>60</v>
      </c>
      <c r="H735" s="192" t="s">
        <v>61</v>
      </c>
      <c r="I735" s="192" t="s">
        <v>62</v>
      </c>
      <c r="J735" s="121" t="s">
        <v>2372</v>
      </c>
      <c r="K735" s="192" t="s">
        <v>63</v>
      </c>
      <c r="L735" s="192" t="s">
        <v>81</v>
      </c>
      <c r="M735" s="146" t="s">
        <v>5</v>
      </c>
      <c r="N735" s="192" t="s">
        <v>944</v>
      </c>
      <c r="O735" s="192" t="s">
        <v>66</v>
      </c>
      <c r="P735" s="192" t="s">
        <v>67</v>
      </c>
      <c r="Q735" s="145"/>
      <c r="R735" s="145">
        <v>46113</v>
      </c>
      <c r="S735" s="192"/>
    </row>
    <row r="736" spans="1:19" ht="174" customHeight="1" x14ac:dyDescent="0.25">
      <c r="A736" s="197" t="str">
        <f t="shared" si="17"/>
        <v>INC20260331735</v>
      </c>
      <c r="B736" s="199">
        <v>46112.640972222202</v>
      </c>
      <c r="C736" s="192" t="s">
        <v>37</v>
      </c>
      <c r="D736" s="194" t="s">
        <v>945</v>
      </c>
      <c r="E736" s="192" t="s">
        <v>50</v>
      </c>
      <c r="F736" s="192" t="s">
        <v>40</v>
      </c>
      <c r="G736" s="192" t="s">
        <v>51</v>
      </c>
      <c r="H736" s="192" t="s">
        <v>42</v>
      </c>
      <c r="I736" s="192" t="s">
        <v>630</v>
      </c>
      <c r="J736" s="195" t="s">
        <v>2373</v>
      </c>
      <c r="K736" s="192" t="s">
        <v>54</v>
      </c>
      <c r="L736" s="192" t="s">
        <v>55</v>
      </c>
      <c r="M736" s="146" t="s">
        <v>5</v>
      </c>
      <c r="N736" s="192" t="s">
        <v>946</v>
      </c>
      <c r="O736" s="192" t="s">
        <v>911</v>
      </c>
      <c r="P736" s="144" t="s">
        <v>912</v>
      </c>
      <c r="Q736" s="145"/>
      <c r="R736" s="145">
        <v>46113</v>
      </c>
      <c r="S736" s="192"/>
    </row>
    <row r="737" spans="1:19" ht="145.05000000000001" customHeight="1" x14ac:dyDescent="0.25">
      <c r="A737" s="197" t="str">
        <f t="shared" si="17"/>
        <v>INC20260401736</v>
      </c>
      <c r="B737" s="199">
        <v>46113.351388888899</v>
      </c>
      <c r="C737" s="192" t="s">
        <v>37</v>
      </c>
      <c r="D737" s="194" t="s">
        <v>38</v>
      </c>
      <c r="E737" s="192" t="s">
        <v>39</v>
      </c>
      <c r="F737" s="192" t="s">
        <v>40</v>
      </c>
      <c r="G737" s="192" t="s">
        <v>41</v>
      </c>
      <c r="H737" s="192" t="s">
        <v>42</v>
      </c>
      <c r="I737" s="192" t="s">
        <v>43</v>
      </c>
      <c r="J737" s="195" t="s">
        <v>2374</v>
      </c>
      <c r="K737" s="192" t="s">
        <v>44</v>
      </c>
      <c r="L737" s="192" t="s">
        <v>45</v>
      </c>
      <c r="M737" s="143" t="s">
        <v>5</v>
      </c>
      <c r="N737" s="198" t="s">
        <v>947</v>
      </c>
      <c r="O737" s="192"/>
      <c r="P737" s="144" t="s">
        <v>47</v>
      </c>
      <c r="Q737" s="145">
        <v>46113</v>
      </c>
      <c r="R737" s="145">
        <v>46113</v>
      </c>
      <c r="S737" s="192"/>
    </row>
    <row r="738" spans="1:19" ht="175.95" customHeight="1" x14ac:dyDescent="0.25">
      <c r="A738" s="197" t="str">
        <f t="shared" si="17"/>
        <v>INC20260401737</v>
      </c>
      <c r="B738" s="199">
        <v>46113.438194444403</v>
      </c>
      <c r="C738" s="192" t="s">
        <v>37</v>
      </c>
      <c r="D738" s="194" t="s">
        <v>262</v>
      </c>
      <c r="E738" s="197" t="s">
        <v>596</v>
      </c>
      <c r="F738" s="192" t="s">
        <v>59</v>
      </c>
      <c r="G738" s="192" t="s">
        <v>60</v>
      </c>
      <c r="H738" s="192" t="s">
        <v>61</v>
      </c>
      <c r="I738" s="192" t="s">
        <v>62</v>
      </c>
      <c r="J738" s="121" t="s">
        <v>2375</v>
      </c>
      <c r="K738" s="192" t="s">
        <v>63</v>
      </c>
      <c r="L738" s="192" t="s">
        <v>64</v>
      </c>
      <c r="M738" s="143" t="s">
        <v>5</v>
      </c>
      <c r="N738" s="192" t="s">
        <v>948</v>
      </c>
      <c r="O738" s="192" t="s">
        <v>66</v>
      </c>
      <c r="P738" s="192" t="s">
        <v>67</v>
      </c>
      <c r="Q738" s="145"/>
      <c r="R738" s="145">
        <v>46113</v>
      </c>
      <c r="S738" s="192"/>
    </row>
    <row r="739" spans="1:19" ht="148.94999999999999" customHeight="1" x14ac:dyDescent="0.25">
      <c r="A739" s="197" t="str">
        <f t="shared" si="17"/>
        <v>INC20260401738</v>
      </c>
      <c r="B739" s="199">
        <v>46113.479166666701</v>
      </c>
      <c r="C739" s="192" t="s">
        <v>37</v>
      </c>
      <c r="D739" s="194" t="s">
        <v>129</v>
      </c>
      <c r="E739" s="192" t="s">
        <v>50</v>
      </c>
      <c r="F739" s="192" t="s">
        <v>40</v>
      </c>
      <c r="G739" s="192" t="s">
        <v>51</v>
      </c>
      <c r="H739" s="192" t="s">
        <v>92</v>
      </c>
      <c r="I739" s="192" t="s">
        <v>93</v>
      </c>
      <c r="J739" s="195" t="s">
        <v>2376</v>
      </c>
      <c r="K739" s="192" t="s">
        <v>54</v>
      </c>
      <c r="L739" s="192" t="s">
        <v>55</v>
      </c>
      <c r="M739" s="146" t="s">
        <v>5</v>
      </c>
      <c r="N739" s="192" t="s">
        <v>1536</v>
      </c>
      <c r="O739" s="192" t="s">
        <v>95</v>
      </c>
      <c r="P739" s="192" t="s">
        <v>96</v>
      </c>
      <c r="Q739" s="145">
        <v>46120</v>
      </c>
      <c r="R739" s="145">
        <v>46113</v>
      </c>
      <c r="S739" s="192"/>
    </row>
    <row r="740" spans="1:19" ht="145.94999999999999" customHeight="1" x14ac:dyDescent="0.25">
      <c r="A740" s="197" t="str">
        <f t="shared" si="17"/>
        <v>INC20260329739</v>
      </c>
      <c r="B740" s="188">
        <v>46110.417361111096</v>
      </c>
      <c r="C740" s="192" t="s">
        <v>77</v>
      </c>
      <c r="D740" s="194" t="s">
        <v>78</v>
      </c>
      <c r="E740" s="192" t="s">
        <v>876</v>
      </c>
      <c r="F740" s="192" t="s">
        <v>40</v>
      </c>
      <c r="G740" s="192" t="s">
        <v>41</v>
      </c>
      <c r="H740" s="192" t="s">
        <v>79</v>
      </c>
      <c r="I740" s="192" t="s">
        <v>84</v>
      </c>
      <c r="J740" s="121" t="s">
        <v>2377</v>
      </c>
      <c r="K740" s="192" t="s">
        <v>936</v>
      </c>
      <c r="L740" s="192" t="s">
        <v>81</v>
      </c>
      <c r="M740" s="146" t="s">
        <v>5</v>
      </c>
      <c r="N740" s="189" t="s">
        <v>949</v>
      </c>
      <c r="O740" s="192" t="s">
        <v>86</v>
      </c>
      <c r="P740" s="192" t="s">
        <v>87</v>
      </c>
      <c r="Q740" s="145">
        <v>46110</v>
      </c>
      <c r="R740" s="145">
        <v>46113</v>
      </c>
      <c r="S740" s="192"/>
    </row>
    <row r="741" spans="1:19" ht="163.95" customHeight="1" x14ac:dyDescent="0.25">
      <c r="A741" s="197" t="str">
        <f t="shared" si="17"/>
        <v>INC20260329740</v>
      </c>
      <c r="B741" s="193">
        <v>46110.791666666701</v>
      </c>
      <c r="C741" s="192" t="s">
        <v>77</v>
      </c>
      <c r="D741" s="194" t="s">
        <v>78</v>
      </c>
      <c r="E741" s="192" t="s">
        <v>876</v>
      </c>
      <c r="F741" s="192" t="s">
        <v>40</v>
      </c>
      <c r="G741" s="192" t="s">
        <v>41</v>
      </c>
      <c r="H741" s="192" t="s">
        <v>79</v>
      </c>
      <c r="I741" s="192" t="s">
        <v>84</v>
      </c>
      <c r="J741" s="121" t="s">
        <v>2378</v>
      </c>
      <c r="K741" s="192" t="s">
        <v>936</v>
      </c>
      <c r="L741" s="192" t="s">
        <v>81</v>
      </c>
      <c r="M741" s="146" t="s">
        <v>5</v>
      </c>
      <c r="N741" s="192" t="s">
        <v>937</v>
      </c>
      <c r="O741" s="192" t="s">
        <v>86</v>
      </c>
      <c r="P741" s="192" t="s">
        <v>87</v>
      </c>
      <c r="Q741" s="145">
        <v>46110</v>
      </c>
      <c r="R741" s="145">
        <v>46113</v>
      </c>
      <c r="S741" s="192"/>
    </row>
    <row r="742" spans="1:19" ht="162" customHeight="1" x14ac:dyDescent="0.25">
      <c r="A742" s="197" t="str">
        <f t="shared" si="17"/>
        <v>INC20260330741</v>
      </c>
      <c r="B742" s="201">
        <v>46111.504166666702</v>
      </c>
      <c r="C742" s="192" t="s">
        <v>77</v>
      </c>
      <c r="D742" s="194" t="s">
        <v>78</v>
      </c>
      <c r="E742" s="192" t="s">
        <v>69</v>
      </c>
      <c r="F742" s="192" t="s">
        <v>40</v>
      </c>
      <c r="G742" s="192" t="s">
        <v>60</v>
      </c>
      <c r="H742" s="192" t="s">
        <v>79</v>
      </c>
      <c r="I742" s="192" t="s">
        <v>80</v>
      </c>
      <c r="J742" s="121" t="s">
        <v>2379</v>
      </c>
      <c r="K742" s="192" t="s">
        <v>110</v>
      </c>
      <c r="L742" s="192" t="s">
        <v>81</v>
      </c>
      <c r="M742" s="146" t="s">
        <v>5</v>
      </c>
      <c r="N742" s="192" t="s">
        <v>950</v>
      </c>
      <c r="O742" s="197" t="s">
        <v>83</v>
      </c>
      <c r="P742" s="197" t="s">
        <v>1366</v>
      </c>
      <c r="Q742" s="145">
        <v>46111</v>
      </c>
      <c r="R742" s="145">
        <v>46113</v>
      </c>
      <c r="S742" s="192"/>
    </row>
    <row r="743" spans="1:19" ht="171" customHeight="1" x14ac:dyDescent="0.25">
      <c r="A743" s="197" t="str">
        <f t="shared" si="17"/>
        <v>INC20260330742</v>
      </c>
      <c r="B743" s="201">
        <v>46111.547222222202</v>
      </c>
      <c r="C743" s="192" t="s">
        <v>77</v>
      </c>
      <c r="D743" s="194" t="s">
        <v>78</v>
      </c>
      <c r="E743" s="192" t="s">
        <v>69</v>
      </c>
      <c r="F743" s="192" t="s">
        <v>40</v>
      </c>
      <c r="G743" s="192" t="s">
        <v>41</v>
      </c>
      <c r="H743" s="192" t="s">
        <v>79</v>
      </c>
      <c r="I743" s="192" t="s">
        <v>80</v>
      </c>
      <c r="J743" s="121" t="s">
        <v>2380</v>
      </c>
      <c r="K743" s="192" t="s">
        <v>44</v>
      </c>
      <c r="L743" s="192" t="s">
        <v>81</v>
      </c>
      <c r="M743" s="146" t="s">
        <v>5</v>
      </c>
      <c r="N743" s="192" t="s">
        <v>951</v>
      </c>
      <c r="O743" s="192" t="s">
        <v>325</v>
      </c>
      <c r="P743" s="197" t="s">
        <v>874</v>
      </c>
      <c r="Q743" s="145">
        <v>46111</v>
      </c>
      <c r="R743" s="145">
        <v>46113</v>
      </c>
      <c r="S743" s="192"/>
    </row>
    <row r="744" spans="1:19" ht="144" customHeight="1" x14ac:dyDescent="0.25">
      <c r="A744" s="197" t="str">
        <f t="shared" si="17"/>
        <v>INC20260330743</v>
      </c>
      <c r="B744" s="201">
        <v>46111.454166666699</v>
      </c>
      <c r="C744" s="192" t="s">
        <v>77</v>
      </c>
      <c r="D744" s="194" t="s">
        <v>78</v>
      </c>
      <c r="E744" s="192" t="s">
        <v>109</v>
      </c>
      <c r="F744" s="192" t="s">
        <v>40</v>
      </c>
      <c r="G744" s="192" t="s">
        <v>60</v>
      </c>
      <c r="H744" s="192" t="s">
        <v>79</v>
      </c>
      <c r="I744" s="192" t="s">
        <v>80</v>
      </c>
      <c r="J744" s="121" t="s">
        <v>2381</v>
      </c>
      <c r="K744" s="192" t="s">
        <v>110</v>
      </c>
      <c r="L744" s="192" t="s">
        <v>81</v>
      </c>
      <c r="M744" s="146" t="s">
        <v>5</v>
      </c>
      <c r="N744" s="192" t="s">
        <v>952</v>
      </c>
      <c r="O744" s="197" t="s">
        <v>83</v>
      </c>
      <c r="P744" s="197" t="s">
        <v>1366</v>
      </c>
      <c r="Q744" s="145">
        <v>46111</v>
      </c>
      <c r="R744" s="145">
        <v>46113</v>
      </c>
      <c r="S744" s="192"/>
    </row>
    <row r="745" spans="1:19" ht="124.05" customHeight="1" x14ac:dyDescent="0.25">
      <c r="A745" s="197" t="str">
        <f t="shared" si="17"/>
        <v>INC20260330744</v>
      </c>
      <c r="B745" s="201">
        <v>46111.461111111101</v>
      </c>
      <c r="C745" s="192" t="s">
        <v>77</v>
      </c>
      <c r="D745" s="194" t="s">
        <v>78</v>
      </c>
      <c r="E745" s="192" t="s">
        <v>109</v>
      </c>
      <c r="F745" s="192" t="s">
        <v>40</v>
      </c>
      <c r="G745" s="192" t="s">
        <v>60</v>
      </c>
      <c r="H745" s="192" t="s">
        <v>79</v>
      </c>
      <c r="I745" s="192" t="s">
        <v>80</v>
      </c>
      <c r="J745" s="121" t="s">
        <v>2381</v>
      </c>
      <c r="K745" s="192" t="s">
        <v>110</v>
      </c>
      <c r="L745" s="192" t="s">
        <v>81</v>
      </c>
      <c r="M745" s="146" t="s">
        <v>5</v>
      </c>
      <c r="N745" s="192" t="s">
        <v>952</v>
      </c>
      <c r="O745" s="197" t="s">
        <v>83</v>
      </c>
      <c r="P745" s="197" t="s">
        <v>1366</v>
      </c>
      <c r="Q745" s="145">
        <v>46111</v>
      </c>
      <c r="R745" s="145">
        <v>46113</v>
      </c>
      <c r="S745" s="192"/>
    </row>
    <row r="746" spans="1:19" ht="150" customHeight="1" x14ac:dyDescent="0.25">
      <c r="A746" s="197" t="str">
        <f t="shared" si="17"/>
        <v>INC20260330745</v>
      </c>
      <c r="B746" s="201">
        <v>46111.771527777797</v>
      </c>
      <c r="C746" s="192" t="s">
        <v>77</v>
      </c>
      <c r="D746" s="194" t="s">
        <v>78</v>
      </c>
      <c r="E746" s="192" t="s">
        <v>109</v>
      </c>
      <c r="F746" s="192" t="s">
        <v>40</v>
      </c>
      <c r="G746" s="192" t="s">
        <v>60</v>
      </c>
      <c r="H746" s="192" t="s">
        <v>79</v>
      </c>
      <c r="I746" s="192" t="s">
        <v>80</v>
      </c>
      <c r="J746" s="121" t="s">
        <v>2382</v>
      </c>
      <c r="K746" s="192" t="s">
        <v>110</v>
      </c>
      <c r="L746" s="192" t="s">
        <v>81</v>
      </c>
      <c r="M746" s="146" t="s">
        <v>5</v>
      </c>
      <c r="N746" s="192" t="s">
        <v>943</v>
      </c>
      <c r="O746" s="197" t="s">
        <v>83</v>
      </c>
      <c r="P746" s="197" t="s">
        <v>1366</v>
      </c>
      <c r="Q746" s="145">
        <v>46111</v>
      </c>
      <c r="R746" s="145">
        <v>46113</v>
      </c>
      <c r="S746" s="192"/>
    </row>
    <row r="747" spans="1:19" ht="136.94999999999999" customHeight="1" x14ac:dyDescent="0.25">
      <c r="A747" s="197" t="str">
        <f t="shared" si="17"/>
        <v>INC20260330746</v>
      </c>
      <c r="B747" s="201">
        <v>46111.649305555598</v>
      </c>
      <c r="C747" s="192" t="s">
        <v>77</v>
      </c>
      <c r="D747" s="194" t="s">
        <v>78</v>
      </c>
      <c r="E747" s="192" t="s">
        <v>69</v>
      </c>
      <c r="F747" s="192" t="s">
        <v>40</v>
      </c>
      <c r="G747" s="192" t="s">
        <v>60</v>
      </c>
      <c r="H747" s="192" t="s">
        <v>79</v>
      </c>
      <c r="I747" s="192" t="s">
        <v>80</v>
      </c>
      <c r="J747" s="121" t="s">
        <v>2383</v>
      </c>
      <c r="K747" s="192" t="s">
        <v>63</v>
      </c>
      <c r="L747" s="192" t="s">
        <v>81</v>
      </c>
      <c r="M747" s="146" t="s">
        <v>5</v>
      </c>
      <c r="N747" s="192" t="s">
        <v>953</v>
      </c>
      <c r="O747" s="197" t="s">
        <v>83</v>
      </c>
      <c r="P747" s="197" t="s">
        <v>1366</v>
      </c>
      <c r="Q747" s="145">
        <v>46113</v>
      </c>
      <c r="R747" s="145">
        <v>46113</v>
      </c>
      <c r="S747" s="192"/>
    </row>
    <row r="748" spans="1:19" ht="148.94999999999999" customHeight="1" x14ac:dyDescent="0.25">
      <c r="A748" s="197" t="str">
        <f t="shared" si="17"/>
        <v>INC20260330747</v>
      </c>
      <c r="B748" s="201">
        <v>46111.810416666704</v>
      </c>
      <c r="C748" s="192" t="s">
        <v>77</v>
      </c>
      <c r="D748" s="194" t="s">
        <v>78</v>
      </c>
      <c r="E748" s="192" t="s">
        <v>225</v>
      </c>
      <c r="F748" s="192" t="s">
        <v>40</v>
      </c>
      <c r="G748" s="192" t="s">
        <v>60</v>
      </c>
      <c r="H748" s="192" t="s">
        <v>79</v>
      </c>
      <c r="I748" s="192" t="s">
        <v>80</v>
      </c>
      <c r="J748" s="121" t="s">
        <v>2384</v>
      </c>
      <c r="K748" s="192" t="s">
        <v>63</v>
      </c>
      <c r="L748" s="192" t="s">
        <v>81</v>
      </c>
      <c r="M748" s="146" t="s">
        <v>5</v>
      </c>
      <c r="N748" s="192" t="s">
        <v>954</v>
      </c>
      <c r="O748" s="197" t="s">
        <v>83</v>
      </c>
      <c r="P748" s="197" t="s">
        <v>1366</v>
      </c>
      <c r="Q748" s="145">
        <v>46113</v>
      </c>
      <c r="R748" s="145">
        <v>46113</v>
      </c>
      <c r="S748" s="192"/>
    </row>
    <row r="749" spans="1:19" ht="175.05" customHeight="1" x14ac:dyDescent="0.25">
      <c r="A749" s="197" t="str">
        <f t="shared" si="17"/>
        <v>INC20260401748</v>
      </c>
      <c r="B749" s="193">
        <v>46113.354166666701</v>
      </c>
      <c r="C749" s="192" t="s">
        <v>77</v>
      </c>
      <c r="D749" s="194" t="s">
        <v>78</v>
      </c>
      <c r="E749" s="192" t="s">
        <v>486</v>
      </c>
      <c r="F749" s="192" t="s">
        <v>40</v>
      </c>
      <c r="G749" s="192" t="s">
        <v>41</v>
      </c>
      <c r="H749" s="192" t="s">
        <v>79</v>
      </c>
      <c r="I749" s="192" t="s">
        <v>80</v>
      </c>
      <c r="J749" s="121" t="s">
        <v>2385</v>
      </c>
      <c r="K749" s="192" t="s">
        <v>44</v>
      </c>
      <c r="L749" s="192" t="s">
        <v>81</v>
      </c>
      <c r="M749" s="146" t="s">
        <v>5</v>
      </c>
      <c r="N749" s="192" t="s">
        <v>951</v>
      </c>
      <c r="O749" s="192" t="s">
        <v>325</v>
      </c>
      <c r="P749" s="197" t="s">
        <v>874</v>
      </c>
      <c r="Q749" s="145">
        <v>46111</v>
      </c>
      <c r="R749" s="145">
        <v>46113</v>
      </c>
      <c r="S749" s="192"/>
    </row>
    <row r="750" spans="1:19" ht="180" customHeight="1" x14ac:dyDescent="0.25">
      <c r="A750" s="197" t="str">
        <f t="shared" si="17"/>
        <v>INC20260401749</v>
      </c>
      <c r="B750" s="193">
        <v>46113.467361111099</v>
      </c>
      <c r="C750" s="192" t="s">
        <v>77</v>
      </c>
      <c r="D750" s="194" t="s">
        <v>78</v>
      </c>
      <c r="E750" s="192" t="s">
        <v>109</v>
      </c>
      <c r="F750" s="192" t="s">
        <v>40</v>
      </c>
      <c r="G750" s="192" t="s">
        <v>41</v>
      </c>
      <c r="H750" s="192" t="s">
        <v>79</v>
      </c>
      <c r="I750" s="192" t="s">
        <v>80</v>
      </c>
      <c r="J750" s="121" t="s">
        <v>2386</v>
      </c>
      <c r="K750" s="192" t="s">
        <v>44</v>
      </c>
      <c r="L750" s="192" t="s">
        <v>81</v>
      </c>
      <c r="M750" s="146" t="s">
        <v>5</v>
      </c>
      <c r="N750" s="192" t="s">
        <v>951</v>
      </c>
      <c r="O750" s="192" t="s">
        <v>325</v>
      </c>
      <c r="P750" s="197" t="s">
        <v>874</v>
      </c>
      <c r="Q750" s="145">
        <v>46111</v>
      </c>
      <c r="R750" s="145">
        <v>46113</v>
      </c>
      <c r="S750" s="192"/>
    </row>
    <row r="751" spans="1:19" ht="165" customHeight="1" x14ac:dyDescent="0.25">
      <c r="A751" s="197" t="str">
        <f t="shared" si="17"/>
        <v>INC20260401750</v>
      </c>
      <c r="B751" s="199">
        <v>46113.656944444403</v>
      </c>
      <c r="C751" s="192" t="s">
        <v>37</v>
      </c>
      <c r="D751" s="194" t="s">
        <v>955</v>
      </c>
      <c r="E751" s="192" t="s">
        <v>50</v>
      </c>
      <c r="F751" s="192" t="s">
        <v>40</v>
      </c>
      <c r="G751" s="192" t="s">
        <v>51</v>
      </c>
      <c r="H751" s="192" t="s">
        <v>92</v>
      </c>
      <c r="I751" s="192" t="s">
        <v>403</v>
      </c>
      <c r="J751" s="195" t="s">
        <v>2387</v>
      </c>
      <c r="K751" s="192" t="s">
        <v>54</v>
      </c>
      <c r="L751" s="192" t="s">
        <v>55</v>
      </c>
      <c r="M751" s="146" t="s">
        <v>5</v>
      </c>
      <c r="N751" s="192" t="s">
        <v>956</v>
      </c>
      <c r="O751" s="192"/>
      <c r="P751" s="192"/>
      <c r="Q751" s="145">
        <v>46113</v>
      </c>
      <c r="R751" s="145">
        <v>46114</v>
      </c>
      <c r="S751" s="192"/>
    </row>
    <row r="752" spans="1:19" ht="136.05000000000001" customHeight="1" x14ac:dyDescent="0.25">
      <c r="A752" s="197" t="str">
        <f t="shared" si="17"/>
        <v>INC20260401751</v>
      </c>
      <c r="B752" s="199">
        <v>46113.706944444399</v>
      </c>
      <c r="C752" s="192" t="s">
        <v>37</v>
      </c>
      <c r="D752" s="194" t="s">
        <v>957</v>
      </c>
      <c r="E752" s="192" t="s">
        <v>50</v>
      </c>
      <c r="F752" s="192" t="s">
        <v>40</v>
      </c>
      <c r="G752" s="192" t="s">
        <v>51</v>
      </c>
      <c r="H752" s="192" t="s">
        <v>42</v>
      </c>
      <c r="I752" s="192" t="s">
        <v>630</v>
      </c>
      <c r="J752" s="195" t="s">
        <v>2388</v>
      </c>
      <c r="K752" s="192" t="s">
        <v>54</v>
      </c>
      <c r="L752" s="192" t="s">
        <v>55</v>
      </c>
      <c r="M752" s="146" t="s">
        <v>5</v>
      </c>
      <c r="N752" s="192" t="s">
        <v>958</v>
      </c>
      <c r="O752" s="192" t="s">
        <v>911</v>
      </c>
      <c r="P752" s="144" t="s">
        <v>912</v>
      </c>
      <c r="Q752" s="145">
        <v>46113</v>
      </c>
      <c r="R752" s="145">
        <v>46114</v>
      </c>
      <c r="S752" s="192"/>
    </row>
    <row r="753" spans="1:19" ht="142.05000000000001" customHeight="1" x14ac:dyDescent="0.25">
      <c r="A753" s="197" t="str">
        <f t="shared" si="17"/>
        <v>INC20260402752</v>
      </c>
      <c r="B753" s="199">
        <v>46114.375694444403</v>
      </c>
      <c r="C753" s="192" t="s">
        <v>37</v>
      </c>
      <c r="D753" s="194" t="s">
        <v>38</v>
      </c>
      <c r="E753" s="192" t="s">
        <v>39</v>
      </c>
      <c r="F753" s="192" t="s">
        <v>40</v>
      </c>
      <c r="G753" s="192" t="s">
        <v>41</v>
      </c>
      <c r="H753" s="192" t="s">
        <v>42</v>
      </c>
      <c r="I753" s="192" t="s">
        <v>43</v>
      </c>
      <c r="J753" s="195" t="s">
        <v>2389</v>
      </c>
      <c r="K753" s="192" t="s">
        <v>44</v>
      </c>
      <c r="L753" s="192" t="s">
        <v>45</v>
      </c>
      <c r="M753" s="143" t="s">
        <v>5</v>
      </c>
      <c r="N753" s="198" t="s">
        <v>959</v>
      </c>
      <c r="O753" s="192"/>
      <c r="P753" s="144" t="s">
        <v>47</v>
      </c>
      <c r="Q753" s="145">
        <v>46114</v>
      </c>
      <c r="R753" s="145">
        <v>46114</v>
      </c>
      <c r="S753" s="192"/>
    </row>
    <row r="754" spans="1:19" ht="141" customHeight="1" x14ac:dyDescent="0.25">
      <c r="A754" s="197" t="str">
        <f t="shared" si="17"/>
        <v>INC20260401753</v>
      </c>
      <c r="B754" s="201">
        <v>46113.831944444399</v>
      </c>
      <c r="C754" s="192" t="s">
        <v>77</v>
      </c>
      <c r="D754" s="194" t="s">
        <v>78</v>
      </c>
      <c r="E754" s="192" t="s">
        <v>876</v>
      </c>
      <c r="F754" s="192" t="s">
        <v>40</v>
      </c>
      <c r="G754" s="192" t="s">
        <v>41</v>
      </c>
      <c r="H754" s="192" t="s">
        <v>79</v>
      </c>
      <c r="I754" s="192" t="s">
        <v>84</v>
      </c>
      <c r="J754" s="121" t="s">
        <v>2390</v>
      </c>
      <c r="K754" s="192" t="s">
        <v>936</v>
      </c>
      <c r="L754" s="192" t="s">
        <v>81</v>
      </c>
      <c r="M754" s="146" t="s">
        <v>5</v>
      </c>
      <c r="N754" s="192" t="s">
        <v>960</v>
      </c>
      <c r="O754" s="192" t="s">
        <v>86</v>
      </c>
      <c r="P754" s="192" t="s">
        <v>87</v>
      </c>
      <c r="Q754" s="145">
        <v>46111</v>
      </c>
      <c r="R754" s="145">
        <v>46114</v>
      </c>
      <c r="S754" s="192"/>
    </row>
    <row r="755" spans="1:19" ht="163.05000000000001" customHeight="1" x14ac:dyDescent="0.25">
      <c r="A755" s="197" t="str">
        <f t="shared" si="17"/>
        <v>INC20260402754</v>
      </c>
      <c r="B755" s="201">
        <v>46114.415972222203</v>
      </c>
      <c r="C755" s="192" t="s">
        <v>37</v>
      </c>
      <c r="D755" s="194" t="s">
        <v>961</v>
      </c>
      <c r="E755" s="192" t="s">
        <v>50</v>
      </c>
      <c r="F755" s="192" t="s">
        <v>40</v>
      </c>
      <c r="G755" s="192" t="s">
        <v>51</v>
      </c>
      <c r="H755" s="192" t="s">
        <v>42</v>
      </c>
      <c r="I755" s="192" t="s">
        <v>630</v>
      </c>
      <c r="J755" s="195" t="s">
        <v>2391</v>
      </c>
      <c r="K755" s="192" t="s">
        <v>54</v>
      </c>
      <c r="L755" s="192" t="s">
        <v>55</v>
      </c>
      <c r="M755" s="146" t="s">
        <v>5</v>
      </c>
      <c r="N755" s="192" t="s">
        <v>962</v>
      </c>
      <c r="O755" s="192" t="s">
        <v>911</v>
      </c>
      <c r="P755" s="144" t="s">
        <v>912</v>
      </c>
      <c r="Q755" s="145">
        <v>46115</v>
      </c>
      <c r="R755" s="145">
        <v>46114</v>
      </c>
      <c r="S755" s="192"/>
    </row>
    <row r="756" spans="1:19" ht="166.95" customHeight="1" x14ac:dyDescent="0.25">
      <c r="A756" s="197" t="str">
        <f t="shared" si="17"/>
        <v>INC20260402755</v>
      </c>
      <c r="B756" s="199">
        <v>46114.59375</v>
      </c>
      <c r="C756" s="192" t="s">
        <v>37</v>
      </c>
      <c r="D756" s="194" t="s">
        <v>49</v>
      </c>
      <c r="E756" s="192" t="s">
        <v>50</v>
      </c>
      <c r="F756" s="192" t="s">
        <v>40</v>
      </c>
      <c r="G756" s="192" t="s">
        <v>51</v>
      </c>
      <c r="H756" s="192" t="s">
        <v>92</v>
      </c>
      <c r="I756" s="192" t="s">
        <v>93</v>
      </c>
      <c r="J756" s="195" t="s">
        <v>2392</v>
      </c>
      <c r="K756" s="192" t="s">
        <v>54</v>
      </c>
      <c r="L756" s="192" t="s">
        <v>55</v>
      </c>
      <c r="M756" s="146" t="s">
        <v>5</v>
      </c>
      <c r="N756" s="192" t="s">
        <v>963</v>
      </c>
      <c r="O756" s="192" t="s">
        <v>95</v>
      </c>
      <c r="P756" s="192" t="s">
        <v>96</v>
      </c>
      <c r="Q756" s="145">
        <v>46118</v>
      </c>
      <c r="R756" s="145">
        <v>46114</v>
      </c>
      <c r="S756" s="192"/>
    </row>
    <row r="757" spans="1:19" ht="165" customHeight="1" x14ac:dyDescent="0.25">
      <c r="A757" s="197" t="str">
        <f t="shared" si="17"/>
        <v>INC20260402756</v>
      </c>
      <c r="B757" s="199">
        <v>46114.632638888899</v>
      </c>
      <c r="C757" s="192" t="s">
        <v>37</v>
      </c>
      <c r="D757" s="194" t="s">
        <v>49</v>
      </c>
      <c r="E757" s="192" t="s">
        <v>50</v>
      </c>
      <c r="F757" s="192" t="s">
        <v>40</v>
      </c>
      <c r="G757" s="192" t="s">
        <v>51</v>
      </c>
      <c r="H757" s="192" t="s">
        <v>92</v>
      </c>
      <c r="I757" s="192" t="s">
        <v>93</v>
      </c>
      <c r="J757" s="195" t="s">
        <v>2393</v>
      </c>
      <c r="K757" s="192" t="s">
        <v>54</v>
      </c>
      <c r="L757" s="192" t="s">
        <v>55</v>
      </c>
      <c r="M757" s="146" t="s">
        <v>5</v>
      </c>
      <c r="N757" s="192" t="s">
        <v>963</v>
      </c>
      <c r="O757" s="192" t="s">
        <v>95</v>
      </c>
      <c r="P757" s="192" t="s">
        <v>96</v>
      </c>
      <c r="Q757" s="145">
        <v>46118</v>
      </c>
      <c r="R757" s="145">
        <v>46114</v>
      </c>
      <c r="S757" s="192"/>
    </row>
    <row r="758" spans="1:19" ht="156" customHeight="1" x14ac:dyDescent="0.25">
      <c r="A758" s="197" t="str">
        <f t="shared" si="17"/>
        <v>INC20260402757</v>
      </c>
      <c r="B758" s="199">
        <v>46114.629861111098</v>
      </c>
      <c r="C758" s="192" t="s">
        <v>37</v>
      </c>
      <c r="D758" s="194" t="s">
        <v>964</v>
      </c>
      <c r="E758" s="192" t="s">
        <v>69</v>
      </c>
      <c r="F758" s="192" t="s">
        <v>59</v>
      </c>
      <c r="G758" s="192" t="s">
        <v>60</v>
      </c>
      <c r="H758" s="192" t="s">
        <v>61</v>
      </c>
      <c r="I758" s="192" t="s">
        <v>62</v>
      </c>
      <c r="J758" s="121" t="s">
        <v>2394</v>
      </c>
      <c r="K758" s="192" t="s">
        <v>63</v>
      </c>
      <c r="L758" s="192" t="s">
        <v>81</v>
      </c>
      <c r="M758" s="146" t="s">
        <v>5</v>
      </c>
      <c r="N758" s="192" t="s">
        <v>965</v>
      </c>
      <c r="O758" s="192" t="s">
        <v>66</v>
      </c>
      <c r="P758" s="192" t="s">
        <v>67</v>
      </c>
      <c r="Q758" s="145"/>
      <c r="R758" s="145">
        <v>46114</v>
      </c>
      <c r="S758" s="192"/>
    </row>
    <row r="759" spans="1:19" ht="168" customHeight="1" x14ac:dyDescent="0.25">
      <c r="A759" s="197" t="str">
        <f t="shared" si="17"/>
        <v>INC20260402758</v>
      </c>
      <c r="B759" s="199">
        <v>46114.634722222203</v>
      </c>
      <c r="C759" s="192" t="s">
        <v>37</v>
      </c>
      <c r="D759" s="194" t="s">
        <v>57</v>
      </c>
      <c r="E759" s="192" t="s">
        <v>69</v>
      </c>
      <c r="F759" s="192" t="s">
        <v>59</v>
      </c>
      <c r="G759" s="192" t="s">
        <v>60</v>
      </c>
      <c r="H759" s="192" t="s">
        <v>61</v>
      </c>
      <c r="I759" s="192" t="s">
        <v>62</v>
      </c>
      <c r="J759" s="121" t="s">
        <v>2395</v>
      </c>
      <c r="K759" s="192" t="s">
        <v>63</v>
      </c>
      <c r="L759" s="192" t="s">
        <v>81</v>
      </c>
      <c r="M759" s="146" t="s">
        <v>5</v>
      </c>
      <c r="N759" s="192" t="s">
        <v>966</v>
      </c>
      <c r="O759" s="192" t="s">
        <v>66</v>
      </c>
      <c r="P759" s="192" t="s">
        <v>67</v>
      </c>
      <c r="Q759" s="145"/>
      <c r="R759" s="145">
        <v>46114</v>
      </c>
      <c r="S759" s="192"/>
    </row>
    <row r="760" spans="1:19" ht="169.95" customHeight="1" x14ac:dyDescent="0.25">
      <c r="A760" s="197" t="str">
        <f t="shared" si="17"/>
        <v>INC20260402759</v>
      </c>
      <c r="B760" s="199">
        <v>46114.661111111098</v>
      </c>
      <c r="C760" s="192" t="s">
        <v>37</v>
      </c>
      <c r="D760" s="194" t="s">
        <v>49</v>
      </c>
      <c r="E760" s="192" t="s">
        <v>50</v>
      </c>
      <c r="F760" s="192" t="s">
        <v>40</v>
      </c>
      <c r="G760" s="192" t="s">
        <v>51</v>
      </c>
      <c r="H760" s="192" t="s">
        <v>52</v>
      </c>
      <c r="I760" s="192" t="s">
        <v>53</v>
      </c>
      <c r="J760" s="195" t="s">
        <v>2396</v>
      </c>
      <c r="K760" s="192" t="s">
        <v>54</v>
      </c>
      <c r="L760" s="192" t="s">
        <v>55</v>
      </c>
      <c r="M760" s="146" t="s">
        <v>5</v>
      </c>
      <c r="N760" s="192" t="s">
        <v>967</v>
      </c>
      <c r="O760" s="192"/>
      <c r="P760" s="192"/>
      <c r="Q760" s="145"/>
      <c r="R760" s="145">
        <v>46114</v>
      </c>
      <c r="S760" s="192"/>
    </row>
    <row r="761" spans="1:19" ht="157.05000000000001" customHeight="1" x14ac:dyDescent="0.25">
      <c r="A761" s="197" t="str">
        <f t="shared" si="17"/>
        <v>INC20260402760</v>
      </c>
      <c r="B761" s="199">
        <v>46114.684722222199</v>
      </c>
      <c r="C761" s="192" t="s">
        <v>37</v>
      </c>
      <c r="D761" s="194" t="s">
        <v>129</v>
      </c>
      <c r="E761" s="192" t="s">
        <v>50</v>
      </c>
      <c r="F761" s="192" t="s">
        <v>40</v>
      </c>
      <c r="G761" s="192" t="s">
        <v>51</v>
      </c>
      <c r="H761" s="192" t="s">
        <v>92</v>
      </c>
      <c r="I761" s="192" t="s">
        <v>93</v>
      </c>
      <c r="J761" s="195" t="s">
        <v>2397</v>
      </c>
      <c r="K761" s="192" t="s">
        <v>54</v>
      </c>
      <c r="L761" s="192" t="s">
        <v>55</v>
      </c>
      <c r="M761" s="146" t="s">
        <v>5</v>
      </c>
      <c r="N761" s="192" t="s">
        <v>963</v>
      </c>
      <c r="O761" s="192" t="s">
        <v>95</v>
      </c>
      <c r="P761" s="192" t="s">
        <v>96</v>
      </c>
      <c r="Q761" s="145">
        <v>46118</v>
      </c>
      <c r="R761" s="145">
        <v>46114</v>
      </c>
      <c r="S761" s="192"/>
    </row>
    <row r="762" spans="1:19" ht="174" customHeight="1" x14ac:dyDescent="0.25">
      <c r="A762" s="197" t="str">
        <f t="shared" si="17"/>
        <v>INC20260402761</v>
      </c>
      <c r="B762" s="199">
        <v>46114.765277777798</v>
      </c>
      <c r="C762" s="192" t="s">
        <v>37</v>
      </c>
      <c r="D762" s="194" t="s">
        <v>917</v>
      </c>
      <c r="E762" s="192" t="s">
        <v>50</v>
      </c>
      <c r="F762" s="192" t="s">
        <v>40</v>
      </c>
      <c r="G762" s="192" t="s">
        <v>51</v>
      </c>
      <c r="H762" s="192" t="s">
        <v>42</v>
      </c>
      <c r="I762" s="192" t="s">
        <v>630</v>
      </c>
      <c r="J762" s="195" t="s">
        <v>2398</v>
      </c>
      <c r="K762" s="192" t="s">
        <v>54</v>
      </c>
      <c r="L762" s="192" t="s">
        <v>55</v>
      </c>
      <c r="M762" s="146" t="s">
        <v>5</v>
      </c>
      <c r="N762" s="192" t="s">
        <v>968</v>
      </c>
      <c r="O762" s="192" t="s">
        <v>911</v>
      </c>
      <c r="P762" s="144" t="s">
        <v>912</v>
      </c>
      <c r="Q762" s="145">
        <v>46114</v>
      </c>
      <c r="R762" s="145">
        <v>46118</v>
      </c>
      <c r="S762" s="192"/>
    </row>
    <row r="763" spans="1:19" ht="160.94999999999999" customHeight="1" x14ac:dyDescent="0.25">
      <c r="A763" s="197" t="str">
        <f t="shared" si="17"/>
        <v>INC20260402762</v>
      </c>
      <c r="B763" s="199">
        <v>46114.860416666699</v>
      </c>
      <c r="C763" s="192" t="s">
        <v>37</v>
      </c>
      <c r="D763" s="192" t="s">
        <v>286</v>
      </c>
      <c r="E763" s="192" t="s">
        <v>69</v>
      </c>
      <c r="F763" s="192" t="s">
        <v>40</v>
      </c>
      <c r="G763" s="192" t="s">
        <v>41</v>
      </c>
      <c r="H763" s="192" t="s">
        <v>79</v>
      </c>
      <c r="I763" s="192" t="s">
        <v>287</v>
      </c>
      <c r="J763" s="195" t="s">
        <v>2399</v>
      </c>
      <c r="K763" s="192" t="s">
        <v>44</v>
      </c>
      <c r="L763" s="192" t="s">
        <v>81</v>
      </c>
      <c r="M763" s="146" t="s">
        <v>5</v>
      </c>
      <c r="N763" s="192" t="s">
        <v>969</v>
      </c>
      <c r="O763" s="192" t="s">
        <v>86</v>
      </c>
      <c r="P763" s="192" t="s">
        <v>290</v>
      </c>
      <c r="Q763" s="145">
        <v>46114</v>
      </c>
      <c r="R763" s="145">
        <v>46118</v>
      </c>
      <c r="S763" s="192"/>
    </row>
    <row r="764" spans="1:19" ht="142.94999999999999" customHeight="1" x14ac:dyDescent="0.25">
      <c r="A764" s="197" t="str">
        <f t="shared" si="17"/>
        <v>INC20260403763</v>
      </c>
      <c r="B764" s="199">
        <v>46115.083333333299</v>
      </c>
      <c r="C764" s="192" t="s">
        <v>37</v>
      </c>
      <c r="D764" s="194" t="s">
        <v>970</v>
      </c>
      <c r="E764" s="192" t="s">
        <v>50</v>
      </c>
      <c r="F764" s="192" t="s">
        <v>40</v>
      </c>
      <c r="G764" s="192" t="s">
        <v>51</v>
      </c>
      <c r="H764" s="192" t="s">
        <v>42</v>
      </c>
      <c r="I764" s="192" t="s">
        <v>630</v>
      </c>
      <c r="J764" s="195" t="s">
        <v>2400</v>
      </c>
      <c r="K764" s="192" t="s">
        <v>54</v>
      </c>
      <c r="L764" s="192" t="s">
        <v>55</v>
      </c>
      <c r="M764" s="146" t="s">
        <v>5</v>
      </c>
      <c r="N764" s="192" t="s">
        <v>971</v>
      </c>
      <c r="O764" s="192" t="s">
        <v>911</v>
      </c>
      <c r="P764" s="144" t="s">
        <v>912</v>
      </c>
      <c r="Q764" s="145">
        <v>46115</v>
      </c>
      <c r="R764" s="145">
        <v>46118</v>
      </c>
      <c r="S764" s="192"/>
    </row>
    <row r="765" spans="1:19" ht="142.94999999999999" customHeight="1" x14ac:dyDescent="0.25">
      <c r="A765" s="197" t="str">
        <f t="shared" si="17"/>
        <v>INC20260403764</v>
      </c>
      <c r="B765" s="199">
        <v>46115.265972222202</v>
      </c>
      <c r="C765" s="192" t="s">
        <v>37</v>
      </c>
      <c r="D765" s="194" t="s">
        <v>972</v>
      </c>
      <c r="E765" s="192" t="s">
        <v>50</v>
      </c>
      <c r="F765" s="192" t="s">
        <v>40</v>
      </c>
      <c r="G765" s="192" t="s">
        <v>51</v>
      </c>
      <c r="H765" s="192" t="s">
        <v>42</v>
      </c>
      <c r="I765" s="192" t="s">
        <v>630</v>
      </c>
      <c r="J765" s="195" t="s">
        <v>2401</v>
      </c>
      <c r="K765" s="192" t="s">
        <v>54</v>
      </c>
      <c r="L765" s="192" t="s">
        <v>55</v>
      </c>
      <c r="M765" s="146" t="s">
        <v>5</v>
      </c>
      <c r="N765" s="192" t="s">
        <v>973</v>
      </c>
      <c r="O765" s="192" t="s">
        <v>911</v>
      </c>
      <c r="P765" s="144" t="s">
        <v>912</v>
      </c>
      <c r="Q765" s="145">
        <v>46115</v>
      </c>
      <c r="R765" s="145">
        <v>46118</v>
      </c>
      <c r="S765" s="192"/>
    </row>
    <row r="766" spans="1:19" ht="139.94999999999999" customHeight="1" x14ac:dyDescent="0.25">
      <c r="A766" s="197" t="str">
        <f t="shared" si="17"/>
        <v>INC20260403765</v>
      </c>
      <c r="B766" s="199">
        <v>46115.333333333299</v>
      </c>
      <c r="C766" s="192" t="s">
        <v>37</v>
      </c>
      <c r="D766" s="194" t="s">
        <v>964</v>
      </c>
      <c r="E766" s="192" t="s">
        <v>69</v>
      </c>
      <c r="F766" s="192" t="s">
        <v>59</v>
      </c>
      <c r="G766" s="192" t="s">
        <v>60</v>
      </c>
      <c r="H766" s="192" t="s">
        <v>61</v>
      </c>
      <c r="I766" s="192" t="s">
        <v>62</v>
      </c>
      <c r="J766" s="121" t="s">
        <v>2402</v>
      </c>
      <c r="K766" s="192" t="s">
        <v>63</v>
      </c>
      <c r="L766" s="192" t="s">
        <v>81</v>
      </c>
      <c r="M766" s="146" t="s">
        <v>5</v>
      </c>
      <c r="N766" s="192" t="s">
        <v>974</v>
      </c>
      <c r="O766" s="192" t="s">
        <v>66</v>
      </c>
      <c r="P766" s="192" t="s">
        <v>67</v>
      </c>
      <c r="Q766" s="145"/>
      <c r="R766" s="145">
        <v>46118</v>
      </c>
      <c r="S766" s="192"/>
    </row>
    <row r="767" spans="1:19" ht="168" customHeight="1" x14ac:dyDescent="0.25">
      <c r="A767" s="197" t="str">
        <f t="shared" si="17"/>
        <v>INC20260403766</v>
      </c>
      <c r="B767" s="199">
        <v>46115.541666666701</v>
      </c>
      <c r="C767" s="192" t="s">
        <v>37</v>
      </c>
      <c r="D767" s="194" t="s">
        <v>901</v>
      </c>
      <c r="E767" s="192" t="s">
        <v>50</v>
      </c>
      <c r="F767" s="192" t="s">
        <v>40</v>
      </c>
      <c r="G767" s="192" t="s">
        <v>51</v>
      </c>
      <c r="H767" s="192" t="s">
        <v>42</v>
      </c>
      <c r="I767" s="192" t="s">
        <v>630</v>
      </c>
      <c r="J767" s="195" t="s">
        <v>2403</v>
      </c>
      <c r="K767" s="192" t="s">
        <v>54</v>
      </c>
      <c r="L767" s="192" t="s">
        <v>55</v>
      </c>
      <c r="M767" s="146" t="s">
        <v>5</v>
      </c>
      <c r="N767" s="192" t="s">
        <v>975</v>
      </c>
      <c r="O767" s="192" t="s">
        <v>911</v>
      </c>
      <c r="P767" s="144" t="s">
        <v>912</v>
      </c>
      <c r="Q767" s="145">
        <v>46115</v>
      </c>
      <c r="R767" s="145">
        <v>46118</v>
      </c>
      <c r="S767" s="192"/>
    </row>
    <row r="768" spans="1:19" ht="171" customHeight="1" x14ac:dyDescent="0.25">
      <c r="A768" s="197" t="str">
        <f t="shared" si="17"/>
        <v>INC20260403767</v>
      </c>
      <c r="B768" s="199">
        <v>46115.715277777803</v>
      </c>
      <c r="C768" s="192" t="s">
        <v>37</v>
      </c>
      <c r="D768" s="192" t="s">
        <v>286</v>
      </c>
      <c r="E768" s="192" t="s">
        <v>69</v>
      </c>
      <c r="F768" s="192" t="s">
        <v>40</v>
      </c>
      <c r="G768" s="192" t="s">
        <v>41</v>
      </c>
      <c r="H768" s="192" t="s">
        <v>79</v>
      </c>
      <c r="I768" s="192" t="s">
        <v>287</v>
      </c>
      <c r="J768" s="195" t="s">
        <v>2404</v>
      </c>
      <c r="K768" s="192" t="s">
        <v>44</v>
      </c>
      <c r="L768" s="192" t="s">
        <v>81</v>
      </c>
      <c r="M768" s="146" t="s">
        <v>5</v>
      </c>
      <c r="N768" s="192" t="s">
        <v>976</v>
      </c>
      <c r="O768" s="192" t="s">
        <v>86</v>
      </c>
      <c r="P768" s="192" t="s">
        <v>290</v>
      </c>
      <c r="Q768" s="145">
        <v>46115</v>
      </c>
      <c r="R768" s="145">
        <v>46118</v>
      </c>
      <c r="S768" s="192"/>
    </row>
    <row r="769" spans="1:19" ht="175.05" customHeight="1" x14ac:dyDescent="0.25">
      <c r="A769" s="197" t="str">
        <f t="shared" si="17"/>
        <v>INC20260403768</v>
      </c>
      <c r="B769" s="199">
        <v>46115.817361111098</v>
      </c>
      <c r="C769" s="192" t="s">
        <v>37</v>
      </c>
      <c r="D769" s="192" t="s">
        <v>286</v>
      </c>
      <c r="E769" s="192" t="s">
        <v>977</v>
      </c>
      <c r="F769" s="192" t="s">
        <v>40</v>
      </c>
      <c r="G769" s="192" t="s">
        <v>41</v>
      </c>
      <c r="H769" s="192" t="s">
        <v>79</v>
      </c>
      <c r="I769" s="192" t="s">
        <v>287</v>
      </c>
      <c r="J769" s="195" t="s">
        <v>2405</v>
      </c>
      <c r="K769" s="192" t="s">
        <v>44</v>
      </c>
      <c r="L769" s="192" t="s">
        <v>81</v>
      </c>
      <c r="M769" s="146" t="s">
        <v>5</v>
      </c>
      <c r="N769" s="192" t="s">
        <v>978</v>
      </c>
      <c r="O769" s="192" t="s">
        <v>86</v>
      </c>
      <c r="P769" s="192" t="s">
        <v>290</v>
      </c>
      <c r="Q769" s="145">
        <v>46115</v>
      </c>
      <c r="R769" s="145">
        <v>46118</v>
      </c>
      <c r="S769" s="192"/>
    </row>
    <row r="770" spans="1:19" ht="142.05000000000001" customHeight="1" x14ac:dyDescent="0.25">
      <c r="A770" s="197" t="str">
        <f t="shared" si="17"/>
        <v>INC20260405769</v>
      </c>
      <c r="B770" s="199">
        <v>46117.489583333299</v>
      </c>
      <c r="C770" s="192" t="s">
        <v>37</v>
      </c>
      <c r="D770" s="194" t="s">
        <v>979</v>
      </c>
      <c r="E770" s="192" t="s">
        <v>50</v>
      </c>
      <c r="F770" s="192" t="s">
        <v>40</v>
      </c>
      <c r="G770" s="192" t="s">
        <v>51</v>
      </c>
      <c r="H770" s="192" t="s">
        <v>42</v>
      </c>
      <c r="I770" s="192" t="s">
        <v>630</v>
      </c>
      <c r="J770" s="195" t="s">
        <v>2406</v>
      </c>
      <c r="K770" s="192" t="s">
        <v>54</v>
      </c>
      <c r="L770" s="192" t="s">
        <v>55</v>
      </c>
      <c r="M770" s="146" t="s">
        <v>5</v>
      </c>
      <c r="N770" s="192" t="s">
        <v>980</v>
      </c>
      <c r="O770" s="192" t="s">
        <v>911</v>
      </c>
      <c r="P770" s="144" t="s">
        <v>912</v>
      </c>
      <c r="Q770" s="145">
        <v>46120</v>
      </c>
      <c r="R770" s="145">
        <v>46118</v>
      </c>
      <c r="S770" s="192"/>
    </row>
    <row r="771" spans="1:19" ht="138" customHeight="1" x14ac:dyDescent="0.25">
      <c r="A771" s="197" t="str">
        <f t="shared" si="17"/>
        <v>INC20260405770</v>
      </c>
      <c r="B771" s="199">
        <v>46117.654861111099</v>
      </c>
      <c r="C771" s="192" t="s">
        <v>37</v>
      </c>
      <c r="D771" s="194" t="s">
        <v>981</v>
      </c>
      <c r="E771" s="192" t="s">
        <v>58</v>
      </c>
      <c r="F771" s="192" t="s">
        <v>59</v>
      </c>
      <c r="G771" s="192" t="s">
        <v>60</v>
      </c>
      <c r="H771" s="192" t="s">
        <v>61</v>
      </c>
      <c r="I771" s="192" t="s">
        <v>62</v>
      </c>
      <c r="J771" s="121" t="s">
        <v>2407</v>
      </c>
      <c r="K771" s="192" t="s">
        <v>63</v>
      </c>
      <c r="L771" s="192" t="s">
        <v>81</v>
      </c>
      <c r="M771" s="146" t="s">
        <v>5</v>
      </c>
      <c r="N771" s="192" t="s">
        <v>982</v>
      </c>
      <c r="O771" s="192" t="s">
        <v>66</v>
      </c>
      <c r="P771" s="192" t="s">
        <v>67</v>
      </c>
      <c r="Q771" s="145"/>
      <c r="R771" s="145">
        <v>46118</v>
      </c>
      <c r="S771" s="192"/>
    </row>
    <row r="772" spans="1:19" ht="147" customHeight="1" x14ac:dyDescent="0.25">
      <c r="A772" s="197" t="str">
        <f t="shared" si="17"/>
        <v>INC20260405771</v>
      </c>
      <c r="B772" s="199">
        <v>46117.668749999997</v>
      </c>
      <c r="C772" s="192" t="s">
        <v>37</v>
      </c>
      <c r="D772" s="194" t="s">
        <v>983</v>
      </c>
      <c r="E772" s="192" t="s">
        <v>50</v>
      </c>
      <c r="F772" s="192" t="s">
        <v>40</v>
      </c>
      <c r="G772" s="192" t="s">
        <v>51</v>
      </c>
      <c r="H772" s="192" t="s">
        <v>42</v>
      </c>
      <c r="I772" s="192" t="s">
        <v>630</v>
      </c>
      <c r="J772" s="195" t="s">
        <v>2408</v>
      </c>
      <c r="K772" s="192" t="s">
        <v>54</v>
      </c>
      <c r="L772" s="192" t="s">
        <v>55</v>
      </c>
      <c r="M772" s="146" t="s">
        <v>5</v>
      </c>
      <c r="N772" s="192" t="s">
        <v>984</v>
      </c>
      <c r="O772" s="192" t="s">
        <v>911</v>
      </c>
      <c r="P772" s="144" t="s">
        <v>912</v>
      </c>
      <c r="Q772" s="145">
        <v>46118</v>
      </c>
      <c r="R772" s="145">
        <v>46118</v>
      </c>
      <c r="S772" s="192"/>
    </row>
    <row r="773" spans="1:19" ht="166.95" customHeight="1" x14ac:dyDescent="0.25">
      <c r="A773" s="197" t="str">
        <f t="shared" si="17"/>
        <v>INC20260405772</v>
      </c>
      <c r="B773" s="199">
        <v>46117.853472222203</v>
      </c>
      <c r="C773" s="192" t="s">
        <v>37</v>
      </c>
      <c r="D773" s="194" t="s">
        <v>985</v>
      </c>
      <c r="E773" s="192" t="s">
        <v>50</v>
      </c>
      <c r="F773" s="192" t="s">
        <v>40</v>
      </c>
      <c r="G773" s="192" t="s">
        <v>51</v>
      </c>
      <c r="H773" s="192" t="s">
        <v>42</v>
      </c>
      <c r="I773" s="192" t="s">
        <v>630</v>
      </c>
      <c r="J773" s="195" t="s">
        <v>2409</v>
      </c>
      <c r="K773" s="192" t="s">
        <v>54</v>
      </c>
      <c r="L773" s="192" t="s">
        <v>55</v>
      </c>
      <c r="M773" s="146" t="s">
        <v>5</v>
      </c>
      <c r="N773" s="192" t="s">
        <v>986</v>
      </c>
      <c r="O773" s="192" t="s">
        <v>911</v>
      </c>
      <c r="P773" s="144" t="s">
        <v>912</v>
      </c>
      <c r="Q773" s="145">
        <v>46118</v>
      </c>
      <c r="R773" s="145">
        <v>46118</v>
      </c>
      <c r="S773" s="192"/>
    </row>
    <row r="774" spans="1:19" ht="157.94999999999999" customHeight="1" x14ac:dyDescent="0.25">
      <c r="A774" s="197" t="str">
        <f t="shared" si="17"/>
        <v>INC20260406773</v>
      </c>
      <c r="B774" s="199">
        <v>46118.368750000001</v>
      </c>
      <c r="C774" s="192" t="s">
        <v>37</v>
      </c>
      <c r="D774" s="194" t="s">
        <v>38</v>
      </c>
      <c r="E774" s="192" t="s">
        <v>39</v>
      </c>
      <c r="F774" s="192" t="s">
        <v>40</v>
      </c>
      <c r="G774" s="192" t="s">
        <v>41</v>
      </c>
      <c r="H774" s="192" t="s">
        <v>42</v>
      </c>
      <c r="I774" s="192" t="s">
        <v>43</v>
      </c>
      <c r="J774" s="195" t="s">
        <v>2410</v>
      </c>
      <c r="K774" s="192" t="s">
        <v>44</v>
      </c>
      <c r="L774" s="192" t="s">
        <v>45</v>
      </c>
      <c r="M774" s="143" t="s">
        <v>5</v>
      </c>
      <c r="N774" s="198" t="s">
        <v>987</v>
      </c>
      <c r="O774" s="192"/>
      <c r="P774" s="144" t="s">
        <v>47</v>
      </c>
      <c r="Q774" s="145">
        <v>46118</v>
      </c>
      <c r="R774" s="145">
        <v>46118</v>
      </c>
      <c r="S774" s="192"/>
    </row>
    <row r="775" spans="1:19" ht="136.94999999999999" customHeight="1" x14ac:dyDescent="0.25">
      <c r="A775" s="197" t="str">
        <f t="shared" si="17"/>
        <v>INC20260406774</v>
      </c>
      <c r="B775" s="200">
        <v>46118.15</v>
      </c>
      <c r="C775" s="192" t="s">
        <v>37</v>
      </c>
      <c r="D775" s="194" t="s">
        <v>988</v>
      </c>
      <c r="E775" s="192" t="s">
        <v>50</v>
      </c>
      <c r="F775" s="192" t="s">
        <v>40</v>
      </c>
      <c r="G775" s="192" t="s">
        <v>51</v>
      </c>
      <c r="H775" s="192" t="s">
        <v>92</v>
      </c>
      <c r="I775" s="192" t="s">
        <v>403</v>
      </c>
      <c r="J775" s="195" t="s">
        <v>2411</v>
      </c>
      <c r="K775" s="192" t="s">
        <v>54</v>
      </c>
      <c r="L775" s="192" t="s">
        <v>55</v>
      </c>
      <c r="M775" s="146" t="s">
        <v>5</v>
      </c>
      <c r="N775" s="192" t="s">
        <v>989</v>
      </c>
      <c r="O775" s="192"/>
      <c r="P775" s="192"/>
      <c r="Q775" s="145">
        <v>46118</v>
      </c>
      <c r="R775" s="145">
        <v>46118</v>
      </c>
      <c r="S775" s="192"/>
    </row>
    <row r="776" spans="1:19" ht="160.94999999999999" customHeight="1" x14ac:dyDescent="0.25">
      <c r="A776" s="197" t="str">
        <f t="shared" si="17"/>
        <v>INC20260406775</v>
      </c>
      <c r="B776" s="199">
        <v>46118.382638888899</v>
      </c>
      <c r="C776" s="192" t="s">
        <v>37</v>
      </c>
      <c r="D776" s="194" t="s">
        <v>49</v>
      </c>
      <c r="E776" s="192" t="s">
        <v>50</v>
      </c>
      <c r="F776" s="192" t="s">
        <v>40</v>
      </c>
      <c r="G776" s="192" t="s">
        <v>51</v>
      </c>
      <c r="H776" s="192" t="s">
        <v>52</v>
      </c>
      <c r="I776" s="192" t="s">
        <v>53</v>
      </c>
      <c r="J776" s="195" t="s">
        <v>2412</v>
      </c>
      <c r="K776" s="192" t="s">
        <v>54</v>
      </c>
      <c r="L776" s="192" t="s">
        <v>55</v>
      </c>
      <c r="M776" s="146" t="s">
        <v>5</v>
      </c>
      <c r="N776" s="192" t="s">
        <v>56</v>
      </c>
      <c r="O776" s="192"/>
      <c r="P776" s="192"/>
      <c r="Q776" s="145"/>
      <c r="R776" s="145">
        <v>46118</v>
      </c>
      <c r="S776" s="192"/>
    </row>
    <row r="777" spans="1:19" ht="157.05000000000001" customHeight="1" x14ac:dyDescent="0.25">
      <c r="A777" s="197" t="str">
        <f t="shared" si="17"/>
        <v>INC20260406776</v>
      </c>
      <c r="B777" s="199">
        <v>46118.373611111099</v>
      </c>
      <c r="C777" s="192" t="s">
        <v>37</v>
      </c>
      <c r="D777" s="194" t="s">
        <v>129</v>
      </c>
      <c r="E777" s="192" t="s">
        <v>50</v>
      </c>
      <c r="F777" s="192" t="s">
        <v>40</v>
      </c>
      <c r="G777" s="192" t="s">
        <v>51</v>
      </c>
      <c r="H777" s="192" t="s">
        <v>92</v>
      </c>
      <c r="I777" s="192" t="s">
        <v>93</v>
      </c>
      <c r="J777" s="195" t="s">
        <v>2413</v>
      </c>
      <c r="K777" s="192" t="s">
        <v>54</v>
      </c>
      <c r="L777" s="192" t="s">
        <v>55</v>
      </c>
      <c r="M777" s="146" t="s">
        <v>5</v>
      </c>
      <c r="N777" s="192" t="s">
        <v>990</v>
      </c>
      <c r="O777" s="192" t="s">
        <v>95</v>
      </c>
      <c r="P777" s="192" t="s">
        <v>96</v>
      </c>
      <c r="Q777" s="145">
        <v>46120</v>
      </c>
      <c r="R777" s="145">
        <v>46118</v>
      </c>
      <c r="S777" s="192"/>
    </row>
    <row r="778" spans="1:19" ht="136.05000000000001" customHeight="1" x14ac:dyDescent="0.25">
      <c r="A778" s="197" t="str">
        <f t="shared" si="17"/>
        <v>INC20260402777</v>
      </c>
      <c r="B778" s="193">
        <v>46114.637499999997</v>
      </c>
      <c r="C778" s="192" t="s">
        <v>77</v>
      </c>
      <c r="D778" s="194" t="s">
        <v>78</v>
      </c>
      <c r="E778" s="192" t="s">
        <v>109</v>
      </c>
      <c r="F778" s="192" t="s">
        <v>40</v>
      </c>
      <c r="G778" s="192" t="s">
        <v>60</v>
      </c>
      <c r="H778" s="192" t="s">
        <v>79</v>
      </c>
      <c r="I778" s="192" t="s">
        <v>80</v>
      </c>
      <c r="J778" s="121" t="s">
        <v>2414</v>
      </c>
      <c r="K778" s="192" t="s">
        <v>107</v>
      </c>
      <c r="L778" s="192" t="s">
        <v>81</v>
      </c>
      <c r="M778" s="146" t="s">
        <v>5</v>
      </c>
      <c r="N778" s="192" t="s">
        <v>991</v>
      </c>
      <c r="O778" s="197" t="s">
        <v>83</v>
      </c>
      <c r="P778" s="197" t="s">
        <v>1366</v>
      </c>
      <c r="Q778" s="145">
        <v>46114</v>
      </c>
      <c r="R778" s="145">
        <v>46118</v>
      </c>
      <c r="S778" s="192"/>
    </row>
    <row r="779" spans="1:19" ht="169.05" customHeight="1" x14ac:dyDescent="0.25">
      <c r="A779" s="197" t="str">
        <f t="shared" si="17"/>
        <v>INC20260402778</v>
      </c>
      <c r="B779" s="193">
        <v>46114.6381944444</v>
      </c>
      <c r="C779" s="192" t="s">
        <v>77</v>
      </c>
      <c r="D779" s="194" t="s">
        <v>78</v>
      </c>
      <c r="E779" s="192" t="s">
        <v>69</v>
      </c>
      <c r="F779" s="192" t="s">
        <v>40</v>
      </c>
      <c r="G779" s="192" t="s">
        <v>41</v>
      </c>
      <c r="H779" s="192" t="s">
        <v>79</v>
      </c>
      <c r="I779" s="192" t="s">
        <v>80</v>
      </c>
      <c r="J779" s="121" t="s">
        <v>2415</v>
      </c>
      <c r="K779" s="192" t="s">
        <v>44</v>
      </c>
      <c r="L779" s="192" t="s">
        <v>81</v>
      </c>
      <c r="M779" s="146" t="s">
        <v>5</v>
      </c>
      <c r="N779" s="192" t="s">
        <v>992</v>
      </c>
      <c r="O779" s="192" t="s">
        <v>325</v>
      </c>
      <c r="P779" s="197" t="s">
        <v>874</v>
      </c>
      <c r="Q779" s="145">
        <v>46114</v>
      </c>
      <c r="R779" s="145">
        <v>46118</v>
      </c>
      <c r="S779" s="192"/>
    </row>
    <row r="780" spans="1:19" ht="139.94999999999999" customHeight="1" x14ac:dyDescent="0.25">
      <c r="A780" s="197" t="str">
        <f t="shared" ref="A780:A800" si="18">"INC"&amp;TEXT(B780,"yyyymmdd")&amp;TEXT(ROW(A780)-1,"000")</f>
        <v>INC20260402779</v>
      </c>
      <c r="B780" s="193">
        <v>46114.813888888901</v>
      </c>
      <c r="C780" s="192" t="s">
        <v>77</v>
      </c>
      <c r="D780" s="194" t="s">
        <v>78</v>
      </c>
      <c r="E780" s="192" t="s">
        <v>69</v>
      </c>
      <c r="F780" s="192" t="s">
        <v>40</v>
      </c>
      <c r="G780" s="192" t="s">
        <v>41</v>
      </c>
      <c r="H780" s="192" t="s">
        <v>79</v>
      </c>
      <c r="I780" s="192" t="s">
        <v>84</v>
      </c>
      <c r="J780" s="121" t="s">
        <v>2416</v>
      </c>
      <c r="K780" s="192" t="s">
        <v>936</v>
      </c>
      <c r="L780" s="192" t="s">
        <v>81</v>
      </c>
      <c r="M780" s="146" t="s">
        <v>5</v>
      </c>
      <c r="N780" s="192" t="s">
        <v>993</v>
      </c>
      <c r="O780" s="192" t="s">
        <v>86</v>
      </c>
      <c r="P780" s="192" t="s">
        <v>87</v>
      </c>
      <c r="Q780" s="145">
        <v>46114</v>
      </c>
      <c r="R780" s="145">
        <v>46118</v>
      </c>
      <c r="S780" s="192"/>
    </row>
    <row r="781" spans="1:19" ht="130.94999999999999" customHeight="1" x14ac:dyDescent="0.25">
      <c r="A781" s="197" t="str">
        <f t="shared" si="18"/>
        <v>INC20260403780</v>
      </c>
      <c r="B781" s="201">
        <v>46115.350694444402</v>
      </c>
      <c r="C781" s="192" t="s">
        <v>77</v>
      </c>
      <c r="D781" s="194" t="s">
        <v>78</v>
      </c>
      <c r="E781" s="192" t="s">
        <v>116</v>
      </c>
      <c r="F781" s="192" t="s">
        <v>40</v>
      </c>
      <c r="G781" s="192" t="s">
        <v>60</v>
      </c>
      <c r="H781" s="192" t="s">
        <v>79</v>
      </c>
      <c r="I781" s="192" t="s">
        <v>84</v>
      </c>
      <c r="J781" s="121" t="s">
        <v>2417</v>
      </c>
      <c r="K781" s="192" t="s">
        <v>63</v>
      </c>
      <c r="L781" s="192" t="s">
        <v>81</v>
      </c>
      <c r="M781" s="146" t="s">
        <v>5</v>
      </c>
      <c r="N781" s="192" t="s">
        <v>994</v>
      </c>
      <c r="O781" s="192" t="s">
        <v>86</v>
      </c>
      <c r="P781" s="192" t="s">
        <v>87</v>
      </c>
      <c r="Q781" s="145">
        <v>46115</v>
      </c>
      <c r="R781" s="145">
        <v>46118</v>
      </c>
      <c r="S781" s="192"/>
    </row>
    <row r="782" spans="1:19" ht="154.94999999999999" customHeight="1" x14ac:dyDescent="0.25">
      <c r="A782" s="197" t="str">
        <f t="shared" si="18"/>
        <v>INC20260403781</v>
      </c>
      <c r="B782" s="201">
        <v>46115.371527777803</v>
      </c>
      <c r="C782" s="192" t="s">
        <v>77</v>
      </c>
      <c r="D782" s="194" t="s">
        <v>78</v>
      </c>
      <c r="E782" s="192" t="s">
        <v>69</v>
      </c>
      <c r="F782" s="192" t="s">
        <v>40</v>
      </c>
      <c r="G782" s="192" t="s">
        <v>60</v>
      </c>
      <c r="H782" s="192" t="s">
        <v>79</v>
      </c>
      <c r="I782" s="192" t="s">
        <v>84</v>
      </c>
      <c r="J782" s="121" t="s">
        <v>2418</v>
      </c>
      <c r="K782" s="192" t="s">
        <v>63</v>
      </c>
      <c r="L782" s="192" t="s">
        <v>81</v>
      </c>
      <c r="M782" s="146" t="s">
        <v>5</v>
      </c>
      <c r="N782" s="192" t="s">
        <v>995</v>
      </c>
      <c r="O782" s="192" t="s">
        <v>86</v>
      </c>
      <c r="P782" s="192" t="s">
        <v>87</v>
      </c>
      <c r="Q782" s="145">
        <v>46115</v>
      </c>
      <c r="R782" s="145">
        <v>46118</v>
      </c>
      <c r="S782" s="192"/>
    </row>
    <row r="783" spans="1:19" ht="163.05000000000001" customHeight="1" x14ac:dyDescent="0.25">
      <c r="A783" s="197" t="str">
        <f t="shared" si="18"/>
        <v>INC20260404782</v>
      </c>
      <c r="B783" s="201">
        <v>46116.912499999999</v>
      </c>
      <c r="C783" s="192" t="s">
        <v>77</v>
      </c>
      <c r="D783" s="194" t="s">
        <v>78</v>
      </c>
      <c r="E783" s="192" t="s">
        <v>69</v>
      </c>
      <c r="F783" s="192" t="s">
        <v>40</v>
      </c>
      <c r="G783" s="192" t="s">
        <v>41</v>
      </c>
      <c r="H783" s="192" t="s">
        <v>79</v>
      </c>
      <c r="I783" s="192" t="s">
        <v>84</v>
      </c>
      <c r="J783" s="121" t="s">
        <v>2419</v>
      </c>
      <c r="K783" s="192" t="s">
        <v>44</v>
      </c>
      <c r="L783" s="192" t="s">
        <v>81</v>
      </c>
      <c r="M783" s="146" t="s">
        <v>5</v>
      </c>
      <c r="N783" s="192" t="s">
        <v>996</v>
      </c>
      <c r="O783" s="192" t="s">
        <v>86</v>
      </c>
      <c r="P783" s="192" t="s">
        <v>87</v>
      </c>
      <c r="Q783" s="145">
        <v>46116</v>
      </c>
      <c r="R783" s="145">
        <v>46118</v>
      </c>
      <c r="S783" s="192"/>
    </row>
    <row r="784" spans="1:19" ht="166.95" customHeight="1" x14ac:dyDescent="0.25">
      <c r="A784" s="197" t="str">
        <f t="shared" si="18"/>
        <v>INC20260404783</v>
      </c>
      <c r="B784" s="201">
        <v>46116.868055555598</v>
      </c>
      <c r="C784" s="192" t="s">
        <v>77</v>
      </c>
      <c r="D784" s="194" t="s">
        <v>78</v>
      </c>
      <c r="E784" s="192" t="s">
        <v>69</v>
      </c>
      <c r="F784" s="192" t="s">
        <v>40</v>
      </c>
      <c r="G784" s="192" t="s">
        <v>41</v>
      </c>
      <c r="H784" s="192" t="s">
        <v>79</v>
      </c>
      <c r="I784" s="192" t="s">
        <v>84</v>
      </c>
      <c r="J784" s="121" t="s">
        <v>2420</v>
      </c>
      <c r="K784" s="192" t="s">
        <v>44</v>
      </c>
      <c r="L784" s="192" t="s">
        <v>81</v>
      </c>
      <c r="M784" s="146" t="s">
        <v>5</v>
      </c>
      <c r="N784" s="192" t="s">
        <v>997</v>
      </c>
      <c r="O784" s="192" t="s">
        <v>86</v>
      </c>
      <c r="P784" s="192" t="s">
        <v>87</v>
      </c>
      <c r="Q784" s="145">
        <v>46116</v>
      </c>
      <c r="R784" s="145">
        <v>46118</v>
      </c>
      <c r="S784" s="192"/>
    </row>
    <row r="785" spans="1:19" ht="160.94999999999999" customHeight="1" x14ac:dyDescent="0.25">
      <c r="A785" s="197" t="str">
        <f t="shared" si="18"/>
        <v>INC20260406784</v>
      </c>
      <c r="B785" s="199">
        <v>46118.474999999999</v>
      </c>
      <c r="C785" s="192" t="s">
        <v>37</v>
      </c>
      <c r="D785" s="194" t="s">
        <v>998</v>
      </c>
      <c r="E785" s="192" t="s">
        <v>50</v>
      </c>
      <c r="F785" s="192" t="s">
        <v>40</v>
      </c>
      <c r="G785" s="192" t="s">
        <v>51</v>
      </c>
      <c r="H785" s="192" t="s">
        <v>42</v>
      </c>
      <c r="I785" s="192" t="s">
        <v>630</v>
      </c>
      <c r="J785" s="195" t="s">
        <v>2421</v>
      </c>
      <c r="K785" s="192" t="s">
        <v>54</v>
      </c>
      <c r="L785" s="192" t="s">
        <v>55</v>
      </c>
      <c r="M785" s="146" t="s">
        <v>5</v>
      </c>
      <c r="N785" s="192" t="s">
        <v>999</v>
      </c>
      <c r="O785" s="192" t="s">
        <v>911</v>
      </c>
      <c r="P785" s="144" t="s">
        <v>912</v>
      </c>
      <c r="Q785" s="145">
        <v>46118</v>
      </c>
      <c r="R785" s="145">
        <v>46119</v>
      </c>
      <c r="S785" s="192"/>
    </row>
    <row r="786" spans="1:19" ht="166.05" customHeight="1" x14ac:dyDescent="0.25">
      <c r="A786" s="197" t="str">
        <f t="shared" si="18"/>
        <v>INC20260406785</v>
      </c>
      <c r="B786" s="199">
        <v>46118.576388888898</v>
      </c>
      <c r="C786" s="192" t="s">
        <v>37</v>
      </c>
      <c r="D786" s="194" t="s">
        <v>1000</v>
      </c>
      <c r="E786" s="192" t="s">
        <v>50</v>
      </c>
      <c r="F786" s="192" t="s">
        <v>40</v>
      </c>
      <c r="G786" s="192" t="s">
        <v>51</v>
      </c>
      <c r="H786" s="192" t="s">
        <v>42</v>
      </c>
      <c r="I786" s="192" t="s">
        <v>630</v>
      </c>
      <c r="J786" s="195" t="s">
        <v>2422</v>
      </c>
      <c r="K786" s="192" t="s">
        <v>54</v>
      </c>
      <c r="L786" s="192" t="s">
        <v>55</v>
      </c>
      <c r="M786" s="146" t="s">
        <v>5</v>
      </c>
      <c r="N786" s="192" t="s">
        <v>999</v>
      </c>
      <c r="O786" s="192" t="s">
        <v>911</v>
      </c>
      <c r="P786" s="144" t="s">
        <v>912</v>
      </c>
      <c r="Q786" s="145">
        <v>46118</v>
      </c>
      <c r="R786" s="145">
        <v>46119</v>
      </c>
      <c r="S786" s="192"/>
    </row>
    <row r="787" spans="1:19" ht="148.05000000000001" customHeight="1" x14ac:dyDescent="0.25">
      <c r="A787" s="197" t="str">
        <f t="shared" si="18"/>
        <v>INC20260406786</v>
      </c>
      <c r="B787" s="199">
        <v>46118.651388888902</v>
      </c>
      <c r="C787" s="192" t="s">
        <v>37</v>
      </c>
      <c r="D787" s="194" t="s">
        <v>57</v>
      </c>
      <c r="E787" s="192" t="s">
        <v>69</v>
      </c>
      <c r="F787" s="192" t="s">
        <v>59</v>
      </c>
      <c r="G787" s="192" t="s">
        <v>60</v>
      </c>
      <c r="H787" s="192" t="s">
        <v>61</v>
      </c>
      <c r="I787" s="192" t="s">
        <v>62</v>
      </c>
      <c r="J787" s="121" t="s">
        <v>2423</v>
      </c>
      <c r="K787" s="192" t="s">
        <v>63</v>
      </c>
      <c r="L787" s="192" t="s">
        <v>81</v>
      </c>
      <c r="M787" s="146" t="s">
        <v>5</v>
      </c>
      <c r="N787" s="192" t="s">
        <v>1001</v>
      </c>
      <c r="O787" s="192" t="s">
        <v>66</v>
      </c>
      <c r="P787" s="192" t="s">
        <v>67</v>
      </c>
      <c r="Q787" s="145"/>
      <c r="R787" s="145">
        <v>46119</v>
      </c>
      <c r="S787" s="192"/>
    </row>
    <row r="788" spans="1:19" ht="150" customHeight="1" x14ac:dyDescent="0.25">
      <c r="A788" s="197" t="str">
        <f t="shared" si="18"/>
        <v>INC20260406787</v>
      </c>
      <c r="B788" s="199">
        <v>46118.653472222199</v>
      </c>
      <c r="C788" s="192" t="s">
        <v>37</v>
      </c>
      <c r="D788" s="194" t="s">
        <v>57</v>
      </c>
      <c r="E788" s="192" t="s">
        <v>74</v>
      </c>
      <c r="F788" s="192" t="s">
        <v>59</v>
      </c>
      <c r="G788" s="192" t="s">
        <v>60</v>
      </c>
      <c r="H788" s="192" t="s">
        <v>61</v>
      </c>
      <c r="I788" s="192" t="s">
        <v>62</v>
      </c>
      <c r="J788" s="121" t="s">
        <v>2424</v>
      </c>
      <c r="K788" s="192" t="s">
        <v>63</v>
      </c>
      <c r="L788" s="192" t="s">
        <v>81</v>
      </c>
      <c r="M788" s="146" t="s">
        <v>5</v>
      </c>
      <c r="N788" s="192" t="s">
        <v>1001</v>
      </c>
      <c r="O788" s="192" t="s">
        <v>66</v>
      </c>
      <c r="P788" s="192" t="s">
        <v>67</v>
      </c>
      <c r="Q788" s="145"/>
      <c r="R788" s="145">
        <v>46119</v>
      </c>
      <c r="S788" s="192"/>
    </row>
    <row r="789" spans="1:19" ht="150" customHeight="1" x14ac:dyDescent="0.25">
      <c r="A789" s="197" t="str">
        <f t="shared" si="18"/>
        <v>INC20260406788</v>
      </c>
      <c r="B789" s="199">
        <v>46118.981249999997</v>
      </c>
      <c r="C789" s="192" t="s">
        <v>37</v>
      </c>
      <c r="D789" s="194" t="s">
        <v>1002</v>
      </c>
      <c r="E789" s="192" t="s">
        <v>50</v>
      </c>
      <c r="F789" s="192" t="s">
        <v>40</v>
      </c>
      <c r="G789" s="192" t="s">
        <v>51</v>
      </c>
      <c r="H789" s="192" t="s">
        <v>42</v>
      </c>
      <c r="I789" s="192" t="s">
        <v>630</v>
      </c>
      <c r="J789" s="195" t="s">
        <v>2425</v>
      </c>
      <c r="K789" s="192" t="s">
        <v>54</v>
      </c>
      <c r="L789" s="192" t="s">
        <v>55</v>
      </c>
      <c r="M789" s="146" t="s">
        <v>5</v>
      </c>
      <c r="N789" s="192" t="s">
        <v>1003</v>
      </c>
      <c r="O789" s="192" t="s">
        <v>911</v>
      </c>
      <c r="P789" s="144" t="s">
        <v>912</v>
      </c>
      <c r="Q789" s="145">
        <v>46119</v>
      </c>
      <c r="R789" s="145">
        <v>46119</v>
      </c>
      <c r="S789" s="192"/>
    </row>
    <row r="790" spans="1:19" ht="136.05000000000001" customHeight="1" x14ac:dyDescent="0.25">
      <c r="A790" s="197" t="str">
        <f t="shared" si="18"/>
        <v>INC20260407789</v>
      </c>
      <c r="B790" s="199">
        <v>46119.332638888904</v>
      </c>
      <c r="C790" s="192" t="s">
        <v>37</v>
      </c>
      <c r="D790" s="194" t="s">
        <v>1004</v>
      </c>
      <c r="E790" s="192" t="s">
        <v>50</v>
      </c>
      <c r="F790" s="192" t="s">
        <v>40</v>
      </c>
      <c r="G790" s="192" t="s">
        <v>51</v>
      </c>
      <c r="H790" s="192" t="s">
        <v>42</v>
      </c>
      <c r="I790" s="192" t="s">
        <v>630</v>
      </c>
      <c r="J790" s="195" t="s">
        <v>2426</v>
      </c>
      <c r="K790" s="192" t="s">
        <v>54</v>
      </c>
      <c r="L790" s="192" t="s">
        <v>55</v>
      </c>
      <c r="M790" s="146" t="s">
        <v>5</v>
      </c>
      <c r="N790" s="192" t="s">
        <v>1005</v>
      </c>
      <c r="O790" s="192" t="s">
        <v>911</v>
      </c>
      <c r="P790" s="144" t="s">
        <v>912</v>
      </c>
      <c r="Q790" s="145">
        <v>46119</v>
      </c>
      <c r="R790" s="145">
        <v>46119</v>
      </c>
      <c r="S790" s="192"/>
    </row>
    <row r="791" spans="1:19" ht="148.05000000000001" customHeight="1" x14ac:dyDescent="0.25">
      <c r="A791" s="197" t="str">
        <f t="shared" si="18"/>
        <v>INC20260407790</v>
      </c>
      <c r="B791" s="199">
        <v>46119.389583333301</v>
      </c>
      <c r="C791" s="192" t="s">
        <v>37</v>
      </c>
      <c r="D791" s="194" t="s">
        <v>1006</v>
      </c>
      <c r="E791" s="192" t="s">
        <v>50</v>
      </c>
      <c r="F791" s="192" t="s">
        <v>40</v>
      </c>
      <c r="G791" s="192" t="s">
        <v>51</v>
      </c>
      <c r="H791" s="192" t="s">
        <v>92</v>
      </c>
      <c r="I791" s="192" t="s">
        <v>403</v>
      </c>
      <c r="J791" s="195" t="s">
        <v>2427</v>
      </c>
      <c r="K791" s="192" t="s">
        <v>54</v>
      </c>
      <c r="L791" s="192" t="s">
        <v>55</v>
      </c>
      <c r="M791" s="146" t="s">
        <v>5</v>
      </c>
      <c r="N791" s="192" t="s">
        <v>1007</v>
      </c>
      <c r="O791" s="192" t="s">
        <v>911</v>
      </c>
      <c r="P791" s="144" t="s">
        <v>912</v>
      </c>
      <c r="Q791" s="145">
        <v>46119</v>
      </c>
      <c r="R791" s="145">
        <v>46119</v>
      </c>
      <c r="S791" s="192"/>
    </row>
    <row r="792" spans="1:19" ht="138" customHeight="1" x14ac:dyDescent="0.25">
      <c r="A792" s="197" t="str">
        <f t="shared" si="18"/>
        <v>INC20260407791</v>
      </c>
      <c r="B792" s="199">
        <v>46119.391666666699</v>
      </c>
      <c r="C792" s="192" t="s">
        <v>37</v>
      </c>
      <c r="D792" s="194" t="s">
        <v>38</v>
      </c>
      <c r="E792" s="192" t="s">
        <v>39</v>
      </c>
      <c r="F792" s="192" t="s">
        <v>40</v>
      </c>
      <c r="G792" s="192" t="s">
        <v>41</v>
      </c>
      <c r="H792" s="192" t="s">
        <v>42</v>
      </c>
      <c r="I792" s="192" t="s">
        <v>43</v>
      </c>
      <c r="J792" s="195" t="s">
        <v>2428</v>
      </c>
      <c r="K792" s="192" t="s">
        <v>44</v>
      </c>
      <c r="L792" s="192" t="s">
        <v>45</v>
      </c>
      <c r="M792" s="143" t="s">
        <v>5</v>
      </c>
      <c r="N792" s="198" t="s">
        <v>1008</v>
      </c>
      <c r="O792" s="192"/>
      <c r="P792" s="144" t="s">
        <v>47</v>
      </c>
      <c r="Q792" s="145">
        <v>46119</v>
      </c>
      <c r="R792" s="145">
        <v>46119</v>
      </c>
      <c r="S792" s="192"/>
    </row>
    <row r="793" spans="1:19" ht="127.05" customHeight="1" x14ac:dyDescent="0.25">
      <c r="A793" s="197" t="str">
        <f t="shared" si="18"/>
        <v>INC20260407792</v>
      </c>
      <c r="B793" s="199">
        <v>46119.423611111102</v>
      </c>
      <c r="C793" s="192" t="s">
        <v>37</v>
      </c>
      <c r="D793" s="194" t="s">
        <v>1700</v>
      </c>
      <c r="E793" s="192" t="s">
        <v>50</v>
      </c>
      <c r="F793" s="192" t="s">
        <v>40</v>
      </c>
      <c r="G793" s="192" t="s">
        <v>51</v>
      </c>
      <c r="H793" s="192" t="s">
        <v>92</v>
      </c>
      <c r="I793" s="192" t="s">
        <v>403</v>
      </c>
      <c r="J793" s="195" t="s">
        <v>2429</v>
      </c>
      <c r="K793" s="192" t="s">
        <v>54</v>
      </c>
      <c r="L793" s="192" t="s">
        <v>55</v>
      </c>
      <c r="M793" s="146" t="s">
        <v>5</v>
      </c>
      <c r="N793" s="192" t="s">
        <v>1009</v>
      </c>
      <c r="O793" s="192" t="s">
        <v>911</v>
      </c>
      <c r="P793" s="144" t="s">
        <v>912</v>
      </c>
      <c r="Q793" s="145">
        <v>46119</v>
      </c>
      <c r="R793" s="145">
        <v>46119</v>
      </c>
      <c r="S793" s="192"/>
    </row>
    <row r="794" spans="1:19" ht="136.94999999999999" customHeight="1" x14ac:dyDescent="0.25">
      <c r="A794" s="197" t="str">
        <f t="shared" si="18"/>
        <v>INC20260407793</v>
      </c>
      <c r="B794" s="199">
        <v>46119.417361111096</v>
      </c>
      <c r="C794" s="192" t="s">
        <v>37</v>
      </c>
      <c r="D794" s="194" t="s">
        <v>1010</v>
      </c>
      <c r="E794" s="192" t="s">
        <v>50</v>
      </c>
      <c r="F794" s="192" t="s">
        <v>40</v>
      </c>
      <c r="G794" s="192" t="s">
        <v>51</v>
      </c>
      <c r="H794" s="192" t="s">
        <v>42</v>
      </c>
      <c r="I794" s="192" t="s">
        <v>630</v>
      </c>
      <c r="J794" s="195" t="s">
        <v>2430</v>
      </c>
      <c r="K794" s="192" t="s">
        <v>54</v>
      </c>
      <c r="L794" s="192" t="s">
        <v>55</v>
      </c>
      <c r="M794" s="146" t="s">
        <v>5</v>
      </c>
      <c r="N794" s="192" t="s">
        <v>1011</v>
      </c>
      <c r="O794" s="192" t="s">
        <v>911</v>
      </c>
      <c r="P794" s="144" t="s">
        <v>912</v>
      </c>
      <c r="Q794" s="145">
        <v>46120</v>
      </c>
      <c r="R794" s="145">
        <v>46119</v>
      </c>
      <c r="S794" s="192"/>
    </row>
    <row r="795" spans="1:19" ht="142.05000000000001" customHeight="1" x14ac:dyDescent="0.25">
      <c r="A795" s="197" t="str">
        <f t="shared" si="18"/>
        <v>INC20260407794</v>
      </c>
      <c r="B795" s="199">
        <v>46119.46875</v>
      </c>
      <c r="C795" s="192" t="s">
        <v>37</v>
      </c>
      <c r="D795" s="194" t="s">
        <v>129</v>
      </c>
      <c r="E795" s="192" t="s">
        <v>50</v>
      </c>
      <c r="F795" s="192" t="s">
        <v>40</v>
      </c>
      <c r="G795" s="192" t="s">
        <v>51</v>
      </c>
      <c r="H795" s="192" t="s">
        <v>92</v>
      </c>
      <c r="I795" s="192" t="s">
        <v>93</v>
      </c>
      <c r="J795" s="195" t="s">
        <v>2431</v>
      </c>
      <c r="K795" s="192" t="s">
        <v>54</v>
      </c>
      <c r="L795" s="192" t="s">
        <v>55</v>
      </c>
      <c r="M795" s="146" t="s">
        <v>5</v>
      </c>
      <c r="N795" s="192" t="s">
        <v>990</v>
      </c>
      <c r="O795" s="192" t="s">
        <v>95</v>
      </c>
      <c r="P795" s="192" t="s">
        <v>96</v>
      </c>
      <c r="Q795" s="145">
        <v>46120</v>
      </c>
      <c r="R795" s="145">
        <v>46119</v>
      </c>
      <c r="S795" s="192"/>
    </row>
    <row r="796" spans="1:19" ht="162" customHeight="1" x14ac:dyDescent="0.25">
      <c r="A796" s="197" t="str">
        <f t="shared" si="18"/>
        <v>INC20260407795</v>
      </c>
      <c r="B796" s="199">
        <v>46119.6</v>
      </c>
      <c r="C796" s="192" t="s">
        <v>37</v>
      </c>
      <c r="D796" s="194" t="s">
        <v>57</v>
      </c>
      <c r="E796" s="192" t="s">
        <v>74</v>
      </c>
      <c r="F796" s="192" t="s">
        <v>59</v>
      </c>
      <c r="G796" s="192" t="s">
        <v>60</v>
      </c>
      <c r="H796" s="192" t="s">
        <v>61</v>
      </c>
      <c r="I796" s="192" t="s">
        <v>62</v>
      </c>
      <c r="J796" s="121" t="s">
        <v>2432</v>
      </c>
      <c r="K796" s="192" t="s">
        <v>63</v>
      </c>
      <c r="L796" s="192" t="s">
        <v>81</v>
      </c>
      <c r="M796" s="146" t="s">
        <v>5</v>
      </c>
      <c r="N796" s="192" t="s">
        <v>1012</v>
      </c>
      <c r="O796" s="192" t="s">
        <v>66</v>
      </c>
      <c r="P796" s="192" t="s">
        <v>67</v>
      </c>
      <c r="Q796" s="145"/>
      <c r="R796" s="145">
        <v>46119</v>
      </c>
      <c r="S796" s="192"/>
    </row>
    <row r="797" spans="1:19" ht="142.05000000000001" customHeight="1" x14ac:dyDescent="0.25">
      <c r="A797" s="197" t="str">
        <f t="shared" si="18"/>
        <v>INC20260407796</v>
      </c>
      <c r="B797" s="199">
        <v>46119.613888888904</v>
      </c>
      <c r="C797" s="192" t="s">
        <v>37</v>
      </c>
      <c r="D797" s="194" t="s">
        <v>1013</v>
      </c>
      <c r="E797" s="192" t="s">
        <v>69</v>
      </c>
      <c r="F797" s="192" t="s">
        <v>40</v>
      </c>
      <c r="G797" s="192" t="s">
        <v>60</v>
      </c>
      <c r="H797" s="192" t="s">
        <v>79</v>
      </c>
      <c r="I797" s="192" t="s">
        <v>84</v>
      </c>
      <c r="J797" s="121" t="s">
        <v>2433</v>
      </c>
      <c r="K797" s="192" t="s">
        <v>1014</v>
      </c>
      <c r="L797" s="192" t="s">
        <v>81</v>
      </c>
      <c r="M797" s="146" t="s">
        <v>5</v>
      </c>
      <c r="N797" s="193" t="s">
        <v>1015</v>
      </c>
      <c r="O797" s="192" t="s">
        <v>86</v>
      </c>
      <c r="P797" s="192" t="s">
        <v>87</v>
      </c>
      <c r="Q797" s="145">
        <v>46119</v>
      </c>
      <c r="R797" s="145">
        <v>46119</v>
      </c>
      <c r="S797" s="192"/>
    </row>
    <row r="798" spans="1:19" ht="144" customHeight="1" x14ac:dyDescent="0.25">
      <c r="A798" s="197" t="str">
        <f t="shared" si="18"/>
        <v>INC20260407797</v>
      </c>
      <c r="B798" s="199">
        <v>46119.675694444399</v>
      </c>
      <c r="C798" s="192" t="s">
        <v>37</v>
      </c>
      <c r="D798" s="194" t="s">
        <v>57</v>
      </c>
      <c r="E798" s="192" t="s">
        <v>58</v>
      </c>
      <c r="F798" s="192" t="s">
        <v>59</v>
      </c>
      <c r="G798" s="192" t="s">
        <v>60</v>
      </c>
      <c r="H798" s="192" t="s">
        <v>61</v>
      </c>
      <c r="I798" s="192" t="s">
        <v>62</v>
      </c>
      <c r="J798" s="121" t="s">
        <v>2434</v>
      </c>
      <c r="K798" s="192" t="s">
        <v>63</v>
      </c>
      <c r="L798" s="192" t="s">
        <v>81</v>
      </c>
      <c r="M798" s="146" t="s">
        <v>5</v>
      </c>
      <c r="N798" s="192" t="s">
        <v>1012</v>
      </c>
      <c r="O798" s="192" t="s">
        <v>66</v>
      </c>
      <c r="P798" s="192" t="s">
        <v>67</v>
      </c>
      <c r="Q798" s="145"/>
      <c r="R798" s="145">
        <v>46119</v>
      </c>
      <c r="S798" s="192"/>
    </row>
    <row r="799" spans="1:19" ht="135" customHeight="1" x14ac:dyDescent="0.25">
      <c r="A799" s="197" t="str">
        <f t="shared" si="18"/>
        <v>INC20260407798</v>
      </c>
      <c r="B799" s="199">
        <v>46119.717361111099</v>
      </c>
      <c r="C799" s="192" t="s">
        <v>37</v>
      </c>
      <c r="D799" s="194" t="s">
        <v>57</v>
      </c>
      <c r="E799" s="192" t="s">
        <v>279</v>
      </c>
      <c r="F799" s="192" t="s">
        <v>59</v>
      </c>
      <c r="G799" s="192" t="s">
        <v>60</v>
      </c>
      <c r="H799" s="192" t="s">
        <v>61</v>
      </c>
      <c r="I799" s="192" t="s">
        <v>62</v>
      </c>
      <c r="J799" s="121" t="s">
        <v>2435</v>
      </c>
      <c r="K799" s="192" t="s">
        <v>63</v>
      </c>
      <c r="L799" s="192" t="s">
        <v>81</v>
      </c>
      <c r="M799" s="146" t="s">
        <v>5</v>
      </c>
      <c r="N799" s="192" t="s">
        <v>1012</v>
      </c>
      <c r="O799" s="192" t="s">
        <v>66</v>
      </c>
      <c r="P799" s="192" t="s">
        <v>67</v>
      </c>
      <c r="Q799" s="145"/>
      <c r="R799" s="145">
        <v>46119</v>
      </c>
      <c r="S799" s="192"/>
    </row>
    <row r="800" spans="1:19" ht="138" customHeight="1" x14ac:dyDescent="0.25">
      <c r="A800" s="197" t="str">
        <f t="shared" si="18"/>
        <v>INC20260407799</v>
      </c>
      <c r="B800" s="199">
        <v>46119.745138888902</v>
      </c>
      <c r="C800" s="192" t="s">
        <v>37</v>
      </c>
      <c r="D800" s="194" t="s">
        <v>57</v>
      </c>
      <c r="E800" s="192" t="s">
        <v>58</v>
      </c>
      <c r="F800" s="192" t="s">
        <v>59</v>
      </c>
      <c r="G800" s="192" t="s">
        <v>60</v>
      </c>
      <c r="H800" s="192" t="s">
        <v>61</v>
      </c>
      <c r="I800" s="192" t="s">
        <v>62</v>
      </c>
      <c r="J800" s="121" t="s">
        <v>2436</v>
      </c>
      <c r="K800" s="192" t="s">
        <v>63</v>
      </c>
      <c r="L800" s="192" t="s">
        <v>81</v>
      </c>
      <c r="M800" s="146" t="s">
        <v>5</v>
      </c>
      <c r="N800" s="192" t="s">
        <v>1012</v>
      </c>
      <c r="O800" s="192" t="s">
        <v>66</v>
      </c>
      <c r="P800" s="192" t="s">
        <v>67</v>
      </c>
      <c r="Q800" s="145"/>
      <c r="R800" s="145">
        <v>46119</v>
      </c>
      <c r="S800" s="192"/>
    </row>
    <row r="801" spans="1:19" ht="133.05000000000001" customHeight="1" x14ac:dyDescent="0.25">
      <c r="A801" s="197" t="str">
        <f t="shared" ref="A801:A831" si="19">"INC"&amp;TEXT(B801,"yyyymmdd")&amp;TEXT(ROW(A801)-1,"000")</f>
        <v>INC20260408800</v>
      </c>
      <c r="B801" s="199">
        <v>46120.184722222199</v>
      </c>
      <c r="C801" s="192" t="s">
        <v>37</v>
      </c>
      <c r="D801" s="194" t="s">
        <v>1016</v>
      </c>
      <c r="E801" s="192" t="s">
        <v>50</v>
      </c>
      <c r="F801" s="192" t="s">
        <v>40</v>
      </c>
      <c r="G801" s="192" t="s">
        <v>51</v>
      </c>
      <c r="H801" s="192" t="s">
        <v>42</v>
      </c>
      <c r="I801" s="192" t="s">
        <v>630</v>
      </c>
      <c r="J801" s="195" t="s">
        <v>2437</v>
      </c>
      <c r="K801" s="192" t="s">
        <v>54</v>
      </c>
      <c r="L801" s="192" t="s">
        <v>55</v>
      </c>
      <c r="M801" s="146" t="s">
        <v>5</v>
      </c>
      <c r="N801" s="192" t="s">
        <v>1017</v>
      </c>
      <c r="O801" s="192" t="s">
        <v>911</v>
      </c>
      <c r="P801" s="144" t="s">
        <v>912</v>
      </c>
      <c r="Q801" s="145">
        <v>46120</v>
      </c>
      <c r="R801" s="145">
        <v>46119</v>
      </c>
      <c r="S801" s="192"/>
    </row>
    <row r="802" spans="1:19" ht="121.05" customHeight="1" x14ac:dyDescent="0.25">
      <c r="A802" s="197" t="str">
        <f t="shared" si="19"/>
        <v>INC20260408801</v>
      </c>
      <c r="B802" s="199">
        <v>46120.322916666701</v>
      </c>
      <c r="C802" s="192" t="s">
        <v>37</v>
      </c>
      <c r="D802" s="194" t="s">
        <v>764</v>
      </c>
      <c r="E802" s="192" t="s">
        <v>58</v>
      </c>
      <c r="F802" s="192" t="s">
        <v>59</v>
      </c>
      <c r="G802" s="192" t="s">
        <v>60</v>
      </c>
      <c r="H802" s="192" t="s">
        <v>61</v>
      </c>
      <c r="I802" s="192" t="s">
        <v>62</v>
      </c>
      <c r="J802" s="121" t="s">
        <v>2438</v>
      </c>
      <c r="K802" s="192" t="s">
        <v>63</v>
      </c>
      <c r="L802" s="192" t="s">
        <v>81</v>
      </c>
      <c r="M802" s="146" t="s">
        <v>5</v>
      </c>
      <c r="N802" s="192" t="s">
        <v>1012</v>
      </c>
      <c r="O802" s="192" t="s">
        <v>66</v>
      </c>
      <c r="P802" s="192" t="s">
        <v>67</v>
      </c>
      <c r="Q802" s="145"/>
      <c r="R802" s="145">
        <v>46119</v>
      </c>
      <c r="S802" s="192"/>
    </row>
    <row r="803" spans="1:19" ht="120" customHeight="1" x14ac:dyDescent="0.25">
      <c r="A803" s="197" t="str">
        <f t="shared" si="19"/>
        <v>INC20260408802</v>
      </c>
      <c r="B803" s="199">
        <v>46120.3256944444</v>
      </c>
      <c r="C803" s="192" t="s">
        <v>37</v>
      </c>
      <c r="D803" s="194" t="s">
        <v>1018</v>
      </c>
      <c r="E803" s="192" t="s">
        <v>50</v>
      </c>
      <c r="F803" s="192" t="s">
        <v>40</v>
      </c>
      <c r="G803" s="192" t="s">
        <v>51</v>
      </c>
      <c r="H803" s="192" t="s">
        <v>92</v>
      </c>
      <c r="I803" s="192" t="s">
        <v>403</v>
      </c>
      <c r="J803" s="195" t="s">
        <v>2439</v>
      </c>
      <c r="K803" s="192" t="s">
        <v>54</v>
      </c>
      <c r="L803" s="192" t="s">
        <v>55</v>
      </c>
      <c r="M803" s="146" t="s">
        <v>5</v>
      </c>
      <c r="N803" s="192" t="s">
        <v>1508</v>
      </c>
      <c r="O803" s="192"/>
      <c r="P803" s="192"/>
      <c r="Q803" s="145">
        <v>46127</v>
      </c>
      <c r="R803" s="145">
        <v>46119</v>
      </c>
      <c r="S803" s="192"/>
    </row>
    <row r="804" spans="1:19" ht="111" customHeight="1" x14ac:dyDescent="0.25">
      <c r="A804" s="197" t="str">
        <f t="shared" si="19"/>
        <v>INC20260408803</v>
      </c>
      <c r="B804" s="199">
        <v>46120.366666666698</v>
      </c>
      <c r="C804" s="192" t="s">
        <v>37</v>
      </c>
      <c r="D804" s="194" t="s">
        <v>38</v>
      </c>
      <c r="E804" s="192" t="s">
        <v>39</v>
      </c>
      <c r="F804" s="192" t="s">
        <v>40</v>
      </c>
      <c r="G804" s="192" t="s">
        <v>41</v>
      </c>
      <c r="H804" s="192" t="s">
        <v>42</v>
      </c>
      <c r="I804" s="192" t="s">
        <v>43</v>
      </c>
      <c r="J804" s="195" t="s">
        <v>2440</v>
      </c>
      <c r="K804" s="192" t="s">
        <v>44</v>
      </c>
      <c r="L804" s="192" t="s">
        <v>45</v>
      </c>
      <c r="M804" s="143" t="s">
        <v>5</v>
      </c>
      <c r="N804" s="198" t="s">
        <v>1506</v>
      </c>
      <c r="O804" s="192"/>
      <c r="P804" s="144" t="s">
        <v>47</v>
      </c>
      <c r="Q804" s="145">
        <v>46120</v>
      </c>
      <c r="R804" s="145">
        <v>46119</v>
      </c>
      <c r="S804" s="192"/>
    </row>
    <row r="805" spans="1:19" ht="154.19999999999999" customHeight="1" x14ac:dyDescent="0.25">
      <c r="A805" s="197" t="str">
        <f t="shared" si="19"/>
        <v>INC20260408804</v>
      </c>
      <c r="B805" s="199">
        <v>46120.677083333299</v>
      </c>
      <c r="C805" s="192" t="s">
        <v>37</v>
      </c>
      <c r="D805" s="194" t="s">
        <v>57</v>
      </c>
      <c r="E805" s="192" t="s">
        <v>74</v>
      </c>
      <c r="F805" s="192" t="s">
        <v>59</v>
      </c>
      <c r="G805" s="192" t="s">
        <v>60</v>
      </c>
      <c r="H805" s="192" t="s">
        <v>61</v>
      </c>
      <c r="I805" s="192" t="s">
        <v>62</v>
      </c>
      <c r="J805" s="121" t="s">
        <v>2441</v>
      </c>
      <c r="K805" s="192" t="s">
        <v>63</v>
      </c>
      <c r="L805" s="192" t="s">
        <v>81</v>
      </c>
      <c r="M805" s="146" t="s">
        <v>6</v>
      </c>
      <c r="N805" s="40" t="s">
        <v>2770</v>
      </c>
      <c r="O805" s="192" t="s">
        <v>66</v>
      </c>
      <c r="P805" s="192" t="s">
        <v>67</v>
      </c>
      <c r="Q805" s="145"/>
      <c r="R805" s="145">
        <v>46119</v>
      </c>
      <c r="S805" s="192"/>
    </row>
    <row r="806" spans="1:19" ht="120" customHeight="1" x14ac:dyDescent="0.25">
      <c r="A806" s="197" t="str">
        <f t="shared" si="19"/>
        <v>INC20260408805</v>
      </c>
      <c r="B806" s="199">
        <v>46120.702777777798</v>
      </c>
      <c r="C806" s="192" t="s">
        <v>37</v>
      </c>
      <c r="D806" s="194" t="s">
        <v>57</v>
      </c>
      <c r="E806" s="192" t="s">
        <v>225</v>
      </c>
      <c r="F806" s="192" t="s">
        <v>59</v>
      </c>
      <c r="G806" s="192" t="s">
        <v>60</v>
      </c>
      <c r="H806" s="192" t="s">
        <v>61</v>
      </c>
      <c r="I806" s="192" t="s">
        <v>62</v>
      </c>
      <c r="J806" s="121" t="s">
        <v>2442</v>
      </c>
      <c r="K806" s="192" t="s">
        <v>63</v>
      </c>
      <c r="L806" s="192" t="s">
        <v>81</v>
      </c>
      <c r="M806" s="146" t="s">
        <v>5</v>
      </c>
      <c r="N806" s="192" t="s">
        <v>1019</v>
      </c>
      <c r="O806" s="192" t="s">
        <v>66</v>
      </c>
      <c r="P806" s="192" t="s">
        <v>67</v>
      </c>
      <c r="Q806" s="145"/>
      <c r="R806" s="145">
        <v>46119</v>
      </c>
      <c r="S806" s="192"/>
    </row>
    <row r="807" spans="1:19" ht="112.95" customHeight="1" x14ac:dyDescent="0.25">
      <c r="A807" s="197" t="str">
        <f t="shared" si="19"/>
        <v>INC20260408806</v>
      </c>
      <c r="B807" s="199">
        <v>46120.895833333299</v>
      </c>
      <c r="C807" s="192" t="s">
        <v>37</v>
      </c>
      <c r="D807" s="194" t="s">
        <v>1020</v>
      </c>
      <c r="E807" s="192" t="s">
        <v>50</v>
      </c>
      <c r="F807" s="192" t="s">
        <v>40</v>
      </c>
      <c r="G807" s="192" t="s">
        <v>51</v>
      </c>
      <c r="H807" s="192" t="s">
        <v>92</v>
      </c>
      <c r="I807" s="192" t="s">
        <v>403</v>
      </c>
      <c r="J807" s="195" t="s">
        <v>2443</v>
      </c>
      <c r="K807" s="192" t="s">
        <v>54</v>
      </c>
      <c r="L807" s="192" t="s">
        <v>55</v>
      </c>
      <c r="M807" s="146" t="s">
        <v>5</v>
      </c>
      <c r="N807" s="192" t="s">
        <v>1021</v>
      </c>
      <c r="O807" s="192"/>
      <c r="P807" s="192"/>
      <c r="Q807" s="145">
        <v>46121</v>
      </c>
      <c r="R807" s="145">
        <v>46119</v>
      </c>
      <c r="S807" s="192"/>
    </row>
    <row r="808" spans="1:19" ht="121.95" customHeight="1" x14ac:dyDescent="0.25">
      <c r="A808" s="197" t="str">
        <f t="shared" si="19"/>
        <v>INC20260408807</v>
      </c>
      <c r="B808" s="199">
        <v>46120.945833333302</v>
      </c>
      <c r="C808" s="192" t="s">
        <v>37</v>
      </c>
      <c r="D808" s="194" t="s">
        <v>1022</v>
      </c>
      <c r="E808" s="192" t="s">
        <v>50</v>
      </c>
      <c r="F808" s="192" t="s">
        <v>40</v>
      </c>
      <c r="G808" s="192" t="s">
        <v>51</v>
      </c>
      <c r="H808" s="192" t="s">
        <v>42</v>
      </c>
      <c r="I808" s="192" t="s">
        <v>630</v>
      </c>
      <c r="J808" s="195" t="s">
        <v>2437</v>
      </c>
      <c r="K808" s="192" t="s">
        <v>54</v>
      </c>
      <c r="L808" s="192" t="s">
        <v>55</v>
      </c>
      <c r="M808" s="146" t="s">
        <v>5</v>
      </c>
      <c r="N808" s="192" t="s">
        <v>1023</v>
      </c>
      <c r="O808" s="192" t="s">
        <v>911</v>
      </c>
      <c r="P808" s="144" t="s">
        <v>912</v>
      </c>
      <c r="Q808" s="145">
        <v>46120</v>
      </c>
      <c r="R808" s="145">
        <v>46119</v>
      </c>
      <c r="S808" s="192"/>
    </row>
    <row r="809" spans="1:19" ht="130.05000000000001" customHeight="1" x14ac:dyDescent="0.25">
      <c r="A809" s="197" t="str">
        <f t="shared" si="19"/>
        <v>INC20260409808</v>
      </c>
      <c r="B809" s="199">
        <v>46121.364583333299</v>
      </c>
      <c r="C809" s="192" t="s">
        <v>37</v>
      </c>
      <c r="D809" s="194" t="s">
        <v>38</v>
      </c>
      <c r="E809" s="192" t="s">
        <v>39</v>
      </c>
      <c r="F809" s="192" t="s">
        <v>40</v>
      </c>
      <c r="G809" s="192" t="s">
        <v>41</v>
      </c>
      <c r="H809" s="192" t="s">
        <v>42</v>
      </c>
      <c r="I809" s="192" t="s">
        <v>43</v>
      </c>
      <c r="J809" s="195" t="s">
        <v>2444</v>
      </c>
      <c r="K809" s="192" t="s">
        <v>44</v>
      </c>
      <c r="L809" s="192" t="s">
        <v>45</v>
      </c>
      <c r="M809" s="143" t="s">
        <v>5</v>
      </c>
      <c r="N809" s="198" t="s">
        <v>1024</v>
      </c>
      <c r="O809" s="192"/>
      <c r="P809" s="144" t="s">
        <v>47</v>
      </c>
      <c r="Q809" s="145">
        <v>46122</v>
      </c>
      <c r="R809" s="145">
        <v>46119</v>
      </c>
      <c r="S809" s="192"/>
    </row>
    <row r="810" spans="1:19" ht="124.05" customHeight="1" x14ac:dyDescent="0.25">
      <c r="A810" s="197" t="str">
        <f t="shared" si="19"/>
        <v>INC20260408809</v>
      </c>
      <c r="B810" s="199">
        <v>46120.577777777798</v>
      </c>
      <c r="C810" s="192" t="s">
        <v>37</v>
      </c>
      <c r="D810" s="194" t="s">
        <v>129</v>
      </c>
      <c r="E810" s="192" t="s">
        <v>50</v>
      </c>
      <c r="F810" s="192" t="s">
        <v>40</v>
      </c>
      <c r="G810" s="192" t="s">
        <v>51</v>
      </c>
      <c r="H810" s="192" t="s">
        <v>92</v>
      </c>
      <c r="I810" s="192" t="s">
        <v>93</v>
      </c>
      <c r="J810" s="195" t="s">
        <v>2445</v>
      </c>
      <c r="K810" s="192" t="s">
        <v>54</v>
      </c>
      <c r="L810" s="192" t="s">
        <v>55</v>
      </c>
      <c r="M810" s="146" t="s">
        <v>5</v>
      </c>
      <c r="N810" s="192" t="s">
        <v>1507</v>
      </c>
      <c r="O810" s="192" t="s">
        <v>95</v>
      </c>
      <c r="P810" s="192" t="s">
        <v>96</v>
      </c>
      <c r="Q810" s="145">
        <v>46121</v>
      </c>
      <c r="R810" s="145">
        <v>46119</v>
      </c>
      <c r="S810" s="192"/>
    </row>
    <row r="811" spans="1:19" ht="127.95" customHeight="1" x14ac:dyDescent="0.25">
      <c r="A811" s="197" t="str">
        <f t="shared" si="19"/>
        <v>INC20260409810</v>
      </c>
      <c r="B811" s="199">
        <v>46121.484722222202</v>
      </c>
      <c r="C811" s="192" t="s">
        <v>37</v>
      </c>
      <c r="D811" s="194" t="s">
        <v>1025</v>
      </c>
      <c r="E811" s="192" t="s">
        <v>50</v>
      </c>
      <c r="F811" s="192" t="s">
        <v>40</v>
      </c>
      <c r="G811" s="192" t="s">
        <v>51</v>
      </c>
      <c r="H811" s="192" t="s">
        <v>42</v>
      </c>
      <c r="I811" s="192" t="s">
        <v>630</v>
      </c>
      <c r="J811" s="195" t="s">
        <v>2446</v>
      </c>
      <c r="K811" s="192" t="s">
        <v>54</v>
      </c>
      <c r="L811" s="192" t="s">
        <v>55</v>
      </c>
      <c r="M811" s="146" t="s">
        <v>5</v>
      </c>
      <c r="N811" s="192" t="s">
        <v>1026</v>
      </c>
      <c r="O811" s="192" t="s">
        <v>911</v>
      </c>
      <c r="P811" s="144" t="s">
        <v>912</v>
      </c>
      <c r="Q811" s="145">
        <v>46122</v>
      </c>
      <c r="R811" s="145">
        <v>46119</v>
      </c>
      <c r="S811" s="192"/>
    </row>
    <row r="812" spans="1:19" ht="124.05" customHeight="1" x14ac:dyDescent="0.25">
      <c r="A812" s="197" t="str">
        <f t="shared" si="19"/>
        <v>INC20260409811</v>
      </c>
      <c r="B812" s="199">
        <v>46121.618750000001</v>
      </c>
      <c r="C812" s="192" t="s">
        <v>37</v>
      </c>
      <c r="D812" s="194" t="s">
        <v>1027</v>
      </c>
      <c r="E812" s="192" t="s">
        <v>50</v>
      </c>
      <c r="F812" s="192" t="s">
        <v>40</v>
      </c>
      <c r="G812" s="192" t="s">
        <v>51</v>
      </c>
      <c r="H812" s="192" t="s">
        <v>42</v>
      </c>
      <c r="I812" s="192" t="s">
        <v>630</v>
      </c>
      <c r="J812" s="195" t="s">
        <v>2447</v>
      </c>
      <c r="K812" s="192" t="s">
        <v>54</v>
      </c>
      <c r="L812" s="192" t="s">
        <v>55</v>
      </c>
      <c r="M812" s="146" t="s">
        <v>5</v>
      </c>
      <c r="N812" s="192" t="s">
        <v>1028</v>
      </c>
      <c r="O812" s="192" t="s">
        <v>911</v>
      </c>
      <c r="P812" s="144" t="s">
        <v>912</v>
      </c>
      <c r="Q812" s="145">
        <v>46121</v>
      </c>
      <c r="R812" s="145">
        <v>46119</v>
      </c>
      <c r="S812" s="192"/>
    </row>
    <row r="813" spans="1:19" ht="348.6" customHeight="1" x14ac:dyDescent="0.25">
      <c r="A813" s="197" t="str">
        <f t="shared" si="19"/>
        <v>INC20260409812</v>
      </c>
      <c r="B813" s="199">
        <v>46121.651388888902</v>
      </c>
      <c r="C813" s="192" t="s">
        <v>37</v>
      </c>
      <c r="D813" s="194" t="s">
        <v>57</v>
      </c>
      <c r="E813" s="192" t="s">
        <v>225</v>
      </c>
      <c r="F813" s="192" t="s">
        <v>59</v>
      </c>
      <c r="G813" s="192" t="s">
        <v>60</v>
      </c>
      <c r="H813" s="192" t="s">
        <v>61</v>
      </c>
      <c r="I813" s="192" t="s">
        <v>62</v>
      </c>
      <c r="J813" s="121" t="s">
        <v>2448</v>
      </c>
      <c r="K813" s="192" t="s">
        <v>63</v>
      </c>
      <c r="L813" s="192" t="s">
        <v>81</v>
      </c>
      <c r="M813" s="146" t="s">
        <v>5</v>
      </c>
      <c r="N813" s="192" t="s">
        <v>2762</v>
      </c>
      <c r="O813" s="192" t="s">
        <v>66</v>
      </c>
      <c r="P813" s="192" t="s">
        <v>67</v>
      </c>
      <c r="Q813" s="145"/>
      <c r="R813" s="145">
        <v>46119</v>
      </c>
      <c r="S813" s="192"/>
    </row>
    <row r="814" spans="1:19" ht="121.05" customHeight="1" x14ac:dyDescent="0.25">
      <c r="A814" s="197" t="str">
        <f t="shared" si="19"/>
        <v>INC20260409813</v>
      </c>
      <c r="B814" s="199">
        <v>46121.656944444403</v>
      </c>
      <c r="C814" s="192" t="s">
        <v>37</v>
      </c>
      <c r="D814" s="194" t="s">
        <v>57</v>
      </c>
      <c r="E814" s="192" t="s">
        <v>225</v>
      </c>
      <c r="F814" s="192" t="s">
        <v>59</v>
      </c>
      <c r="G814" s="192" t="s">
        <v>60</v>
      </c>
      <c r="H814" s="192" t="s">
        <v>61</v>
      </c>
      <c r="I814" s="192" t="s">
        <v>62</v>
      </c>
      <c r="J814" s="121" t="s">
        <v>2449</v>
      </c>
      <c r="K814" s="192" t="s">
        <v>63</v>
      </c>
      <c r="L814" s="192" t="s">
        <v>81</v>
      </c>
      <c r="M814" s="146" t="s">
        <v>5</v>
      </c>
      <c r="N814" s="192" t="s">
        <v>1029</v>
      </c>
      <c r="O814" s="192" t="s">
        <v>66</v>
      </c>
      <c r="P814" s="192" t="s">
        <v>67</v>
      </c>
      <c r="Q814" s="145"/>
      <c r="R814" s="145">
        <v>46119</v>
      </c>
      <c r="S814" s="192"/>
    </row>
    <row r="815" spans="1:19" ht="117" customHeight="1" x14ac:dyDescent="0.25">
      <c r="A815" s="197" t="str">
        <f t="shared" si="19"/>
        <v>INC20260409814</v>
      </c>
      <c r="B815" s="199">
        <v>46121.664583333302</v>
      </c>
      <c r="C815" s="192" t="s">
        <v>37</v>
      </c>
      <c r="D815" s="192" t="s">
        <v>286</v>
      </c>
      <c r="E815" s="192" t="s">
        <v>125</v>
      </c>
      <c r="F815" s="192" t="s">
        <v>40</v>
      </c>
      <c r="G815" s="192" t="s">
        <v>41</v>
      </c>
      <c r="H815" s="192" t="s">
        <v>79</v>
      </c>
      <c r="I815" s="192" t="s">
        <v>287</v>
      </c>
      <c r="J815" s="195" t="s">
        <v>2450</v>
      </c>
      <c r="K815" s="192" t="s">
        <v>44</v>
      </c>
      <c r="L815" s="192" t="s">
        <v>81</v>
      </c>
      <c r="M815" s="146" t="s">
        <v>5</v>
      </c>
      <c r="N815" s="192" t="s">
        <v>1030</v>
      </c>
      <c r="O815" s="192" t="s">
        <v>86</v>
      </c>
      <c r="P815" s="192" t="s">
        <v>290</v>
      </c>
      <c r="Q815" s="145">
        <v>46049</v>
      </c>
      <c r="R815" s="145">
        <v>46119</v>
      </c>
      <c r="S815" s="192"/>
    </row>
    <row r="816" spans="1:19" ht="130.05000000000001" customHeight="1" x14ac:dyDescent="0.25">
      <c r="A816" s="197" t="str">
        <f t="shared" si="19"/>
        <v>INC20260409815</v>
      </c>
      <c r="B816" s="199">
        <v>46121.663194444402</v>
      </c>
      <c r="C816" s="192" t="s">
        <v>37</v>
      </c>
      <c r="D816" s="192" t="s">
        <v>1031</v>
      </c>
      <c r="E816" s="192" t="s">
        <v>50</v>
      </c>
      <c r="F816" s="192" t="s">
        <v>40</v>
      </c>
      <c r="G816" s="192" t="s">
        <v>51</v>
      </c>
      <c r="H816" s="192" t="s">
        <v>92</v>
      </c>
      <c r="I816" s="192" t="s">
        <v>403</v>
      </c>
      <c r="J816" s="195" t="s">
        <v>2451</v>
      </c>
      <c r="K816" s="192" t="s">
        <v>54</v>
      </c>
      <c r="L816" s="192" t="s">
        <v>55</v>
      </c>
      <c r="M816" s="146" t="s">
        <v>5</v>
      </c>
      <c r="N816" s="192" t="s">
        <v>1032</v>
      </c>
      <c r="O816" s="192"/>
      <c r="P816" s="192"/>
      <c r="Q816" s="145">
        <v>46121</v>
      </c>
      <c r="R816" s="145">
        <v>46119</v>
      </c>
      <c r="S816" s="192"/>
    </row>
    <row r="817" spans="1:19" ht="187.2" customHeight="1" x14ac:dyDescent="0.25">
      <c r="A817" s="197" t="str">
        <f t="shared" si="19"/>
        <v>INC20260409816</v>
      </c>
      <c r="B817" s="199">
        <v>46121.719444444403</v>
      </c>
      <c r="C817" s="192" t="s">
        <v>37</v>
      </c>
      <c r="D817" s="194" t="s">
        <v>1033</v>
      </c>
      <c r="E817" s="192" t="s">
        <v>50</v>
      </c>
      <c r="F817" s="192" t="s">
        <v>40</v>
      </c>
      <c r="G817" s="192" t="s">
        <v>51</v>
      </c>
      <c r="H817" s="192" t="s">
        <v>42</v>
      </c>
      <c r="I817" s="192" t="s">
        <v>630</v>
      </c>
      <c r="J817" s="195" t="s">
        <v>2452</v>
      </c>
      <c r="K817" s="192" t="s">
        <v>54</v>
      </c>
      <c r="L817" s="192" t="s">
        <v>55</v>
      </c>
      <c r="M817" s="146" t="s">
        <v>5</v>
      </c>
      <c r="N817" s="192" t="s">
        <v>1529</v>
      </c>
      <c r="O817" s="192" t="s">
        <v>911</v>
      </c>
      <c r="P817" s="144" t="s">
        <v>912</v>
      </c>
      <c r="Q817" s="145"/>
      <c r="R817" s="145">
        <v>46119</v>
      </c>
      <c r="S817" s="192"/>
    </row>
    <row r="818" spans="1:19" ht="148.05000000000001" customHeight="1" x14ac:dyDescent="0.25">
      <c r="A818" s="197" t="str">
        <f t="shared" si="19"/>
        <v>INC20260410817</v>
      </c>
      <c r="B818" s="199">
        <v>46122.223611111098</v>
      </c>
      <c r="C818" s="192" t="s">
        <v>37</v>
      </c>
      <c r="D818" s="194" t="s">
        <v>38</v>
      </c>
      <c r="E818" s="192" t="s">
        <v>39</v>
      </c>
      <c r="F818" s="192" t="s">
        <v>40</v>
      </c>
      <c r="G818" s="192" t="s">
        <v>41</v>
      </c>
      <c r="H818" s="192" t="s">
        <v>42</v>
      </c>
      <c r="I818" s="192" t="s">
        <v>43</v>
      </c>
      <c r="J818" s="195" t="s">
        <v>2453</v>
      </c>
      <c r="K818" s="192" t="s">
        <v>44</v>
      </c>
      <c r="L818" s="192" t="s">
        <v>45</v>
      </c>
      <c r="M818" s="143" t="s">
        <v>5</v>
      </c>
      <c r="N818" s="198" t="s">
        <v>1034</v>
      </c>
      <c r="O818" s="192"/>
      <c r="P818" s="144" t="s">
        <v>47</v>
      </c>
      <c r="Q818" s="145">
        <v>46122</v>
      </c>
      <c r="R818" s="145">
        <v>46119</v>
      </c>
      <c r="S818" s="192"/>
    </row>
    <row r="819" spans="1:19" ht="139.05000000000001" customHeight="1" x14ac:dyDescent="0.25">
      <c r="A819" s="197" t="str">
        <f t="shared" si="19"/>
        <v>INC20260410818</v>
      </c>
      <c r="B819" s="199">
        <v>46122.367361111101</v>
      </c>
      <c r="C819" s="192" t="s">
        <v>37</v>
      </c>
      <c r="D819" s="194" t="s">
        <v>57</v>
      </c>
      <c r="E819" s="192" t="s">
        <v>225</v>
      </c>
      <c r="F819" s="192" t="s">
        <v>59</v>
      </c>
      <c r="G819" s="192" t="s">
        <v>60</v>
      </c>
      <c r="H819" s="192" t="s">
        <v>61</v>
      </c>
      <c r="I819" s="192" t="s">
        <v>62</v>
      </c>
      <c r="J819" s="121" t="s">
        <v>2454</v>
      </c>
      <c r="K819" s="192" t="s">
        <v>63</v>
      </c>
      <c r="L819" s="192" t="s">
        <v>81</v>
      </c>
      <c r="M819" s="146" t="s">
        <v>5</v>
      </c>
      <c r="N819" s="192" t="s">
        <v>1035</v>
      </c>
      <c r="O819" s="192" t="s">
        <v>66</v>
      </c>
      <c r="P819" s="192" t="s">
        <v>67</v>
      </c>
      <c r="Q819" s="145"/>
      <c r="R819" s="145">
        <v>46119</v>
      </c>
      <c r="S819" s="192"/>
    </row>
    <row r="820" spans="1:19" ht="127.05" customHeight="1" x14ac:dyDescent="0.25">
      <c r="A820" s="197" t="str">
        <f t="shared" si="19"/>
        <v>INC20260410819</v>
      </c>
      <c r="B820" s="199">
        <v>46122.394444444399</v>
      </c>
      <c r="C820" s="192" t="s">
        <v>37</v>
      </c>
      <c r="D820" s="194" t="s">
        <v>1036</v>
      </c>
      <c r="E820" s="192" t="s">
        <v>50</v>
      </c>
      <c r="F820" s="192" t="s">
        <v>40</v>
      </c>
      <c r="G820" s="192" t="s">
        <v>51</v>
      </c>
      <c r="H820" s="192" t="s">
        <v>92</v>
      </c>
      <c r="I820" s="192" t="s">
        <v>93</v>
      </c>
      <c r="J820" s="195" t="s">
        <v>2455</v>
      </c>
      <c r="K820" s="192" t="s">
        <v>54</v>
      </c>
      <c r="L820" s="192" t="s">
        <v>55</v>
      </c>
      <c r="M820" s="146" t="s">
        <v>5</v>
      </c>
      <c r="N820" s="192" t="s">
        <v>1037</v>
      </c>
      <c r="O820" s="192" t="s">
        <v>95</v>
      </c>
      <c r="P820" s="192" t="s">
        <v>96</v>
      </c>
      <c r="Q820" s="145">
        <v>46122</v>
      </c>
      <c r="R820" s="145">
        <v>46119</v>
      </c>
      <c r="S820" s="192"/>
    </row>
    <row r="821" spans="1:19" ht="133.94999999999999" customHeight="1" x14ac:dyDescent="0.25">
      <c r="A821" s="197" t="str">
        <f t="shared" si="19"/>
        <v>INC20260410820</v>
      </c>
      <c r="B821" s="199">
        <v>46122.462500000001</v>
      </c>
      <c r="C821" s="192" t="s">
        <v>37</v>
      </c>
      <c r="D821" s="194" t="s">
        <v>49</v>
      </c>
      <c r="E821" s="192" t="s">
        <v>50</v>
      </c>
      <c r="F821" s="192" t="s">
        <v>40</v>
      </c>
      <c r="G821" s="192" t="s">
        <v>51</v>
      </c>
      <c r="H821" s="192" t="s">
        <v>52</v>
      </c>
      <c r="I821" s="192" t="s">
        <v>53</v>
      </c>
      <c r="J821" s="195" t="s">
        <v>2456</v>
      </c>
      <c r="K821" s="192" t="s">
        <v>54</v>
      </c>
      <c r="L821" s="192" t="s">
        <v>55</v>
      </c>
      <c r="M821" s="146" t="s">
        <v>5</v>
      </c>
      <c r="N821" s="192" t="s">
        <v>1038</v>
      </c>
      <c r="O821" s="192"/>
      <c r="P821" s="192"/>
      <c r="Q821" s="145">
        <v>46122</v>
      </c>
      <c r="R821" s="145">
        <v>46119</v>
      </c>
      <c r="S821" s="192"/>
    </row>
    <row r="822" spans="1:19" ht="136.94999999999999" customHeight="1" x14ac:dyDescent="0.25">
      <c r="A822" s="197" t="str">
        <f t="shared" si="19"/>
        <v>INC20260410821</v>
      </c>
      <c r="B822" s="199">
        <v>46122.473611111098</v>
      </c>
      <c r="C822" s="192" t="s">
        <v>37</v>
      </c>
      <c r="D822" s="194" t="s">
        <v>1039</v>
      </c>
      <c r="E822" s="192" t="s">
        <v>50</v>
      </c>
      <c r="F822" s="192" t="s">
        <v>40</v>
      </c>
      <c r="G822" s="192" t="s">
        <v>51</v>
      </c>
      <c r="H822" s="192" t="s">
        <v>42</v>
      </c>
      <c r="I822" s="192" t="s">
        <v>630</v>
      </c>
      <c r="J822" s="195" t="s">
        <v>2457</v>
      </c>
      <c r="K822" s="192" t="s">
        <v>54</v>
      </c>
      <c r="L822" s="192" t="s">
        <v>55</v>
      </c>
      <c r="M822" s="146" t="s">
        <v>5</v>
      </c>
      <c r="N822" s="192" t="s">
        <v>1040</v>
      </c>
      <c r="O822" s="192" t="s">
        <v>911</v>
      </c>
      <c r="P822" s="144" t="s">
        <v>912</v>
      </c>
      <c r="Q822" s="145">
        <v>46122</v>
      </c>
      <c r="R822" s="145">
        <v>46119</v>
      </c>
      <c r="S822" s="192"/>
    </row>
    <row r="823" spans="1:19" ht="141" customHeight="1" x14ac:dyDescent="0.25">
      <c r="A823" s="197" t="str">
        <f t="shared" si="19"/>
        <v>INC20260410822</v>
      </c>
      <c r="B823" s="199">
        <v>46122.586111111101</v>
      </c>
      <c r="C823" s="192" t="s">
        <v>37</v>
      </c>
      <c r="D823" s="194" t="s">
        <v>1041</v>
      </c>
      <c r="E823" s="192" t="s">
        <v>50</v>
      </c>
      <c r="F823" s="192" t="s">
        <v>40</v>
      </c>
      <c r="G823" s="192" t="s">
        <v>51</v>
      </c>
      <c r="H823" s="192" t="s">
        <v>42</v>
      </c>
      <c r="I823" s="192" t="s">
        <v>630</v>
      </c>
      <c r="J823" s="195" t="s">
        <v>2458</v>
      </c>
      <c r="K823" s="192" t="s">
        <v>54</v>
      </c>
      <c r="L823" s="192" t="s">
        <v>55</v>
      </c>
      <c r="M823" s="146" t="s">
        <v>5</v>
      </c>
      <c r="N823" s="192" t="s">
        <v>1042</v>
      </c>
      <c r="O823" s="192" t="s">
        <v>911</v>
      </c>
      <c r="P823" s="144" t="s">
        <v>912</v>
      </c>
      <c r="Q823" s="145">
        <v>46122</v>
      </c>
      <c r="R823" s="145">
        <v>46119</v>
      </c>
      <c r="S823" s="192"/>
    </row>
    <row r="824" spans="1:19" ht="262.8" customHeight="1" x14ac:dyDescent="0.25">
      <c r="A824" s="197" t="str">
        <f t="shared" si="19"/>
        <v>INC20260410823</v>
      </c>
      <c r="B824" s="199">
        <v>46122.631944444402</v>
      </c>
      <c r="C824" s="192" t="s">
        <v>37</v>
      </c>
      <c r="D824" s="194" t="s">
        <v>1043</v>
      </c>
      <c r="E824" s="192" t="s">
        <v>134</v>
      </c>
      <c r="F824" s="192" t="s">
        <v>59</v>
      </c>
      <c r="G824" s="192" t="s">
        <v>60</v>
      </c>
      <c r="H824" s="192" t="s">
        <v>61</v>
      </c>
      <c r="I824" s="192" t="s">
        <v>62</v>
      </c>
      <c r="J824" s="121" t="s">
        <v>2459</v>
      </c>
      <c r="K824" s="192" t="s">
        <v>107</v>
      </c>
      <c r="L824" s="192" t="s">
        <v>81</v>
      </c>
      <c r="M824" s="146" t="s">
        <v>6</v>
      </c>
      <c r="N824" s="192" t="s">
        <v>1532</v>
      </c>
      <c r="O824" s="192" t="s">
        <v>66</v>
      </c>
      <c r="P824" s="192" t="s">
        <v>67</v>
      </c>
      <c r="Q824" s="145"/>
      <c r="R824" s="145">
        <v>46119</v>
      </c>
      <c r="S824" s="192"/>
    </row>
    <row r="825" spans="1:19" ht="139.05000000000001" customHeight="1" x14ac:dyDescent="0.25">
      <c r="A825" s="197" t="str">
        <f t="shared" si="19"/>
        <v>INC20260410824</v>
      </c>
      <c r="B825" s="199">
        <v>46122.654166666704</v>
      </c>
      <c r="C825" s="192" t="s">
        <v>37</v>
      </c>
      <c r="D825" s="194" t="s">
        <v>332</v>
      </c>
      <c r="E825" s="192" t="s">
        <v>279</v>
      </c>
      <c r="F825" s="192" t="s">
        <v>59</v>
      </c>
      <c r="G825" s="192" t="s">
        <v>60</v>
      </c>
      <c r="H825" s="192" t="s">
        <v>61</v>
      </c>
      <c r="I825" s="192" t="s">
        <v>62</v>
      </c>
      <c r="J825" s="121" t="s">
        <v>2460</v>
      </c>
      <c r="K825" s="192" t="s">
        <v>63</v>
      </c>
      <c r="L825" s="192" t="s">
        <v>81</v>
      </c>
      <c r="M825" s="146" t="s">
        <v>5</v>
      </c>
      <c r="N825" s="192" t="s">
        <v>1509</v>
      </c>
      <c r="O825" s="192" t="s">
        <v>66</v>
      </c>
      <c r="P825" s="192" t="s">
        <v>67</v>
      </c>
      <c r="Q825" s="145"/>
      <c r="R825" s="145">
        <v>46119</v>
      </c>
      <c r="S825" s="192"/>
    </row>
    <row r="826" spans="1:19" ht="211.2" customHeight="1" x14ac:dyDescent="0.25">
      <c r="A826" s="197" t="str">
        <f t="shared" si="19"/>
        <v>INC20260410825</v>
      </c>
      <c r="B826" s="199">
        <v>46122.663194444402</v>
      </c>
      <c r="C826" s="192" t="s">
        <v>37</v>
      </c>
      <c r="D826" s="194" t="s">
        <v>1044</v>
      </c>
      <c r="E826" s="192" t="s">
        <v>134</v>
      </c>
      <c r="F826" s="192" t="s">
        <v>59</v>
      </c>
      <c r="G826" s="192" t="s">
        <v>60</v>
      </c>
      <c r="H826" s="192" t="s">
        <v>61</v>
      </c>
      <c r="I826" s="192" t="s">
        <v>62</v>
      </c>
      <c r="J826" s="121" t="s">
        <v>2461</v>
      </c>
      <c r="K826" s="192" t="s">
        <v>107</v>
      </c>
      <c r="L826" s="192" t="s">
        <v>81</v>
      </c>
      <c r="M826" s="146" t="s">
        <v>6</v>
      </c>
      <c r="N826" s="192" t="s">
        <v>1617</v>
      </c>
      <c r="O826" s="192" t="s">
        <v>66</v>
      </c>
      <c r="P826" s="192" t="s">
        <v>67</v>
      </c>
      <c r="Q826" s="145"/>
      <c r="R826" s="145">
        <v>46119</v>
      </c>
      <c r="S826" s="192"/>
    </row>
    <row r="827" spans="1:19" ht="148.05000000000001" customHeight="1" x14ac:dyDescent="0.25">
      <c r="A827" s="197" t="str">
        <f t="shared" si="19"/>
        <v>INC20260410826</v>
      </c>
      <c r="B827" s="199">
        <v>46122.677777777797</v>
      </c>
      <c r="C827" s="192" t="s">
        <v>37</v>
      </c>
      <c r="D827" s="194" t="s">
        <v>49</v>
      </c>
      <c r="E827" s="192" t="s">
        <v>50</v>
      </c>
      <c r="F827" s="192" t="s">
        <v>40</v>
      </c>
      <c r="G827" s="192" t="s">
        <v>51</v>
      </c>
      <c r="H827" s="192" t="s">
        <v>92</v>
      </c>
      <c r="I827" s="192" t="s">
        <v>93</v>
      </c>
      <c r="J827" s="195" t="s">
        <v>2462</v>
      </c>
      <c r="K827" s="192" t="s">
        <v>54</v>
      </c>
      <c r="L827" s="192" t="s">
        <v>55</v>
      </c>
      <c r="M827" s="146" t="s">
        <v>5</v>
      </c>
      <c r="N827" s="192" t="s">
        <v>1522</v>
      </c>
      <c r="O827" s="192" t="s">
        <v>95</v>
      </c>
      <c r="P827" s="192" t="s">
        <v>96</v>
      </c>
      <c r="Q827" s="145">
        <v>46127</v>
      </c>
      <c r="R827" s="145">
        <v>46119</v>
      </c>
      <c r="S827" s="192"/>
    </row>
    <row r="828" spans="1:19" ht="133.05000000000001" customHeight="1" x14ac:dyDescent="0.25">
      <c r="A828" s="197" t="str">
        <f t="shared" si="19"/>
        <v>INC20260410827</v>
      </c>
      <c r="B828" s="199">
        <v>46122.684722222199</v>
      </c>
      <c r="C828" s="192" t="s">
        <v>37</v>
      </c>
      <c r="D828" s="192" t="s">
        <v>286</v>
      </c>
      <c r="E828" s="192" t="s">
        <v>125</v>
      </c>
      <c r="F828" s="192" t="s">
        <v>40</v>
      </c>
      <c r="G828" s="192" t="s">
        <v>41</v>
      </c>
      <c r="H828" s="192" t="s">
        <v>79</v>
      </c>
      <c r="I828" s="192" t="s">
        <v>287</v>
      </c>
      <c r="J828" s="195" t="s">
        <v>2463</v>
      </c>
      <c r="K828" s="192" t="s">
        <v>44</v>
      </c>
      <c r="L828" s="192" t="s">
        <v>81</v>
      </c>
      <c r="M828" s="146" t="s">
        <v>5</v>
      </c>
      <c r="N828" s="192" t="s">
        <v>1045</v>
      </c>
      <c r="O828" s="192"/>
      <c r="P828" s="192"/>
      <c r="Q828" s="145"/>
      <c r="R828" s="145">
        <v>46119</v>
      </c>
      <c r="S828" s="192"/>
    </row>
    <row r="829" spans="1:19" ht="156" customHeight="1" x14ac:dyDescent="0.25">
      <c r="A829" s="197" t="str">
        <f t="shared" si="19"/>
        <v>INC20260412828</v>
      </c>
      <c r="B829" s="199">
        <v>46124.506249999999</v>
      </c>
      <c r="C829" s="192" t="s">
        <v>37</v>
      </c>
      <c r="D829" s="192" t="s">
        <v>286</v>
      </c>
      <c r="E829" s="192" t="s">
        <v>125</v>
      </c>
      <c r="F829" s="192" t="s">
        <v>40</v>
      </c>
      <c r="G829" s="192" t="s">
        <v>41</v>
      </c>
      <c r="H829" s="192" t="s">
        <v>79</v>
      </c>
      <c r="I829" s="192" t="s">
        <v>287</v>
      </c>
      <c r="J829" s="195" t="s">
        <v>2464</v>
      </c>
      <c r="K829" s="192" t="s">
        <v>44</v>
      </c>
      <c r="L829" s="192" t="s">
        <v>81</v>
      </c>
      <c r="M829" s="146" t="s">
        <v>5</v>
      </c>
      <c r="N829" s="192" t="s">
        <v>1046</v>
      </c>
      <c r="O829" s="192"/>
      <c r="P829" s="192"/>
      <c r="Q829" s="145">
        <v>46124</v>
      </c>
      <c r="R829" s="145">
        <v>46126</v>
      </c>
      <c r="S829" s="192"/>
    </row>
    <row r="830" spans="1:19" ht="154.94999999999999" customHeight="1" x14ac:dyDescent="0.25">
      <c r="A830" s="197" t="str">
        <f t="shared" si="19"/>
        <v>INC20260413829</v>
      </c>
      <c r="B830" s="199">
        <v>46125.261805555601</v>
      </c>
      <c r="C830" s="192" t="s">
        <v>37</v>
      </c>
      <c r="D830" s="194" t="s">
        <v>38</v>
      </c>
      <c r="E830" s="192" t="s">
        <v>39</v>
      </c>
      <c r="F830" s="192" t="s">
        <v>40</v>
      </c>
      <c r="G830" s="192" t="s">
        <v>41</v>
      </c>
      <c r="H830" s="192" t="s">
        <v>42</v>
      </c>
      <c r="I830" s="192" t="s">
        <v>43</v>
      </c>
      <c r="J830" s="195" t="s">
        <v>2465</v>
      </c>
      <c r="K830" s="192" t="s">
        <v>44</v>
      </c>
      <c r="L830" s="192" t="s">
        <v>45</v>
      </c>
      <c r="M830" s="143" t="s">
        <v>5</v>
      </c>
      <c r="N830" s="198" t="s">
        <v>1047</v>
      </c>
      <c r="O830" s="192"/>
      <c r="P830" s="144" t="s">
        <v>47</v>
      </c>
      <c r="Q830" s="145">
        <v>46125</v>
      </c>
      <c r="R830" s="145">
        <v>46126</v>
      </c>
      <c r="S830" s="192"/>
    </row>
    <row r="831" spans="1:19" ht="156" customHeight="1" x14ac:dyDescent="0.25">
      <c r="A831" s="197" t="str">
        <f t="shared" si="19"/>
        <v>INC20260410830</v>
      </c>
      <c r="B831" s="199">
        <v>46122.409027777801</v>
      </c>
      <c r="C831" s="192" t="s">
        <v>37</v>
      </c>
      <c r="D831" s="194" t="s">
        <v>129</v>
      </c>
      <c r="E831" s="192" t="s">
        <v>50</v>
      </c>
      <c r="F831" s="192" t="s">
        <v>40</v>
      </c>
      <c r="G831" s="192" t="s">
        <v>51</v>
      </c>
      <c r="H831" s="192" t="s">
        <v>92</v>
      </c>
      <c r="I831" s="192" t="s">
        <v>93</v>
      </c>
      <c r="J831" s="195" t="s">
        <v>2466</v>
      </c>
      <c r="K831" s="192" t="s">
        <v>54</v>
      </c>
      <c r="L831" s="192" t="s">
        <v>55</v>
      </c>
      <c r="M831" s="146" t="s">
        <v>5</v>
      </c>
      <c r="N831" s="192" t="s">
        <v>1537</v>
      </c>
      <c r="O831" s="192" t="s">
        <v>95</v>
      </c>
      <c r="P831" s="192" t="s">
        <v>96</v>
      </c>
      <c r="Q831" s="145">
        <v>46122</v>
      </c>
      <c r="R831" s="145">
        <v>46126</v>
      </c>
      <c r="S831" s="192"/>
    </row>
    <row r="832" spans="1:19" ht="156" customHeight="1" x14ac:dyDescent="0.25">
      <c r="A832" s="197" t="str">
        <f t="shared" ref="A832:A837" si="20">"INC"&amp;TEXT(B832,"yyyymmdd")&amp;TEXT(ROW(A832)-1,"000")</f>
        <v>INC20260410831</v>
      </c>
      <c r="B832" s="199">
        <v>46122.654166666704</v>
      </c>
      <c r="C832" s="192" t="s">
        <v>37</v>
      </c>
      <c r="D832" s="194" t="s">
        <v>49</v>
      </c>
      <c r="E832" s="192" t="s">
        <v>50</v>
      </c>
      <c r="F832" s="192" t="s">
        <v>40</v>
      </c>
      <c r="G832" s="192" t="s">
        <v>51</v>
      </c>
      <c r="H832" s="192" t="s">
        <v>92</v>
      </c>
      <c r="I832" s="192" t="s">
        <v>93</v>
      </c>
      <c r="J832" s="195" t="s">
        <v>2467</v>
      </c>
      <c r="K832" s="192" t="s">
        <v>54</v>
      </c>
      <c r="L832" s="192" t="s">
        <v>55</v>
      </c>
      <c r="M832" s="146" t="s">
        <v>5</v>
      </c>
      <c r="N832" s="192" t="s">
        <v>1522</v>
      </c>
      <c r="O832" s="192" t="s">
        <v>95</v>
      </c>
      <c r="P832" s="192" t="s">
        <v>96</v>
      </c>
      <c r="Q832" s="145">
        <v>46127</v>
      </c>
      <c r="R832" s="145">
        <v>46126</v>
      </c>
      <c r="S832" s="192"/>
    </row>
    <row r="833" spans="1:19" ht="150" customHeight="1" x14ac:dyDescent="0.25">
      <c r="A833" s="197" t="str">
        <f t="shared" si="20"/>
        <v>INC20260406832</v>
      </c>
      <c r="B833" s="201">
        <v>46118.702777777798</v>
      </c>
      <c r="C833" s="192" t="s">
        <v>77</v>
      </c>
      <c r="D833" s="194" t="s">
        <v>78</v>
      </c>
      <c r="E833" s="192" t="s">
        <v>116</v>
      </c>
      <c r="F833" s="192" t="s">
        <v>40</v>
      </c>
      <c r="G833" s="192" t="s">
        <v>60</v>
      </c>
      <c r="H833" s="192" t="s">
        <v>79</v>
      </c>
      <c r="I833" s="192" t="s">
        <v>84</v>
      </c>
      <c r="J833" s="121" t="s">
        <v>2468</v>
      </c>
      <c r="K833" s="192" t="s">
        <v>151</v>
      </c>
      <c r="L833" s="192" t="s">
        <v>81</v>
      </c>
      <c r="M833" s="146" t="s">
        <v>5</v>
      </c>
      <c r="N833" s="192" t="s">
        <v>1048</v>
      </c>
      <c r="O833" s="192" t="s">
        <v>86</v>
      </c>
      <c r="P833" s="192" t="s">
        <v>87</v>
      </c>
      <c r="Q833" s="145">
        <v>46120</v>
      </c>
      <c r="R833" s="145">
        <v>46126</v>
      </c>
      <c r="S833" s="192"/>
    </row>
    <row r="834" spans="1:19" ht="133.05000000000001" customHeight="1" x14ac:dyDescent="0.25">
      <c r="A834" s="197" t="str">
        <f t="shared" si="20"/>
        <v>INC20260406833</v>
      </c>
      <c r="B834" s="201">
        <v>46118.96875</v>
      </c>
      <c r="C834" s="192" t="s">
        <v>77</v>
      </c>
      <c r="D834" s="194" t="s">
        <v>78</v>
      </c>
      <c r="E834" s="192" t="s">
        <v>69</v>
      </c>
      <c r="F834" s="192" t="s">
        <v>40</v>
      </c>
      <c r="G834" s="192" t="s">
        <v>60</v>
      </c>
      <c r="H834" s="192" t="s">
        <v>79</v>
      </c>
      <c r="I834" s="192" t="s">
        <v>84</v>
      </c>
      <c r="J834" s="121" t="s">
        <v>2469</v>
      </c>
      <c r="K834" s="192" t="s">
        <v>110</v>
      </c>
      <c r="L834" s="192" t="s">
        <v>81</v>
      </c>
      <c r="M834" s="146" t="s">
        <v>5</v>
      </c>
      <c r="N834" s="192" t="s">
        <v>1049</v>
      </c>
      <c r="O834" s="192" t="s">
        <v>86</v>
      </c>
      <c r="P834" s="192" t="s">
        <v>87</v>
      </c>
      <c r="Q834" s="145">
        <v>46120</v>
      </c>
      <c r="R834" s="145">
        <v>46126</v>
      </c>
      <c r="S834" s="192"/>
    </row>
    <row r="835" spans="1:19" ht="138" customHeight="1" x14ac:dyDescent="0.25">
      <c r="A835" s="197" t="str">
        <f t="shared" si="20"/>
        <v>INC20260407834</v>
      </c>
      <c r="B835" s="193">
        <v>46119.474999999999</v>
      </c>
      <c r="C835" s="192" t="s">
        <v>77</v>
      </c>
      <c r="D835" s="194" t="s">
        <v>78</v>
      </c>
      <c r="E835" s="192" t="s">
        <v>134</v>
      </c>
      <c r="F835" s="192" t="s">
        <v>40</v>
      </c>
      <c r="G835" s="192" t="s">
        <v>60</v>
      </c>
      <c r="H835" s="192" t="s">
        <v>79</v>
      </c>
      <c r="I835" s="192" t="s">
        <v>84</v>
      </c>
      <c r="J835" s="121" t="s">
        <v>2470</v>
      </c>
      <c r="K835" s="192" t="s">
        <v>110</v>
      </c>
      <c r="L835" s="192" t="s">
        <v>81</v>
      </c>
      <c r="M835" s="146" t="s">
        <v>5</v>
      </c>
      <c r="N835" s="192" t="s">
        <v>1050</v>
      </c>
      <c r="O835" s="192" t="s">
        <v>86</v>
      </c>
      <c r="P835" s="192" t="s">
        <v>87</v>
      </c>
      <c r="Q835" s="145">
        <v>46119</v>
      </c>
      <c r="R835" s="145">
        <v>46126</v>
      </c>
      <c r="S835" s="192"/>
    </row>
    <row r="836" spans="1:19" ht="150" customHeight="1" x14ac:dyDescent="0.25">
      <c r="A836" s="197" t="str">
        <f t="shared" si="20"/>
        <v>INC20260407835</v>
      </c>
      <c r="B836" s="193">
        <v>46119.481249999997</v>
      </c>
      <c r="C836" s="192" t="s">
        <v>77</v>
      </c>
      <c r="D836" s="194" t="s">
        <v>78</v>
      </c>
      <c r="E836" s="192" t="s">
        <v>69</v>
      </c>
      <c r="F836" s="192" t="s">
        <v>40</v>
      </c>
      <c r="G836" s="192" t="s">
        <v>41</v>
      </c>
      <c r="H836" s="192" t="s">
        <v>79</v>
      </c>
      <c r="I836" s="192" t="s">
        <v>84</v>
      </c>
      <c r="J836" s="121" t="s">
        <v>2471</v>
      </c>
      <c r="K836" s="192" t="s">
        <v>44</v>
      </c>
      <c r="L836" s="192" t="s">
        <v>81</v>
      </c>
      <c r="M836" s="146" t="s">
        <v>5</v>
      </c>
      <c r="N836" s="192" t="s">
        <v>1051</v>
      </c>
      <c r="O836" s="192" t="s">
        <v>86</v>
      </c>
      <c r="P836" s="192" t="s">
        <v>87</v>
      </c>
      <c r="Q836" s="145">
        <v>46119</v>
      </c>
      <c r="R836" s="145">
        <v>46126</v>
      </c>
      <c r="S836" s="192"/>
    </row>
    <row r="837" spans="1:19" ht="153" customHeight="1" x14ac:dyDescent="0.25">
      <c r="A837" s="197" t="str">
        <f t="shared" si="20"/>
        <v>INC20260407836</v>
      </c>
      <c r="B837" s="193">
        <v>46119.484027777798</v>
      </c>
      <c r="C837" s="192" t="s">
        <v>77</v>
      </c>
      <c r="D837" s="194" t="s">
        <v>78</v>
      </c>
      <c r="E837" s="192" t="s">
        <v>69</v>
      </c>
      <c r="F837" s="192" t="s">
        <v>40</v>
      </c>
      <c r="G837" s="192" t="s">
        <v>41</v>
      </c>
      <c r="H837" s="192" t="s">
        <v>79</v>
      </c>
      <c r="I837" s="192" t="s">
        <v>84</v>
      </c>
      <c r="J837" s="121" t="s">
        <v>2472</v>
      </c>
      <c r="K837" s="192" t="s">
        <v>44</v>
      </c>
      <c r="L837" s="192" t="s">
        <v>81</v>
      </c>
      <c r="M837" s="146" t="s">
        <v>5</v>
      </c>
      <c r="N837" s="192" t="s">
        <v>1052</v>
      </c>
      <c r="O837" s="192" t="s">
        <v>86</v>
      </c>
      <c r="P837" s="192" t="s">
        <v>87</v>
      </c>
      <c r="Q837" s="145">
        <v>46119</v>
      </c>
      <c r="R837" s="145">
        <v>46126</v>
      </c>
      <c r="S837" s="192"/>
    </row>
    <row r="838" spans="1:19" ht="156" customHeight="1" x14ac:dyDescent="0.25">
      <c r="A838" s="197" t="str">
        <f t="shared" ref="A838:A854" si="21">"INC"&amp;TEXT(B838,"yyyymmdd")&amp;TEXT(ROW(A838)-1,"000")</f>
        <v>INC20260407837</v>
      </c>
      <c r="B838" s="193">
        <v>46119.597916666702</v>
      </c>
      <c r="C838" s="192" t="s">
        <v>77</v>
      </c>
      <c r="D838" s="194" t="s">
        <v>78</v>
      </c>
      <c r="E838" s="192" t="s">
        <v>116</v>
      </c>
      <c r="F838" s="192" t="s">
        <v>40</v>
      </c>
      <c r="G838" s="192" t="s">
        <v>41</v>
      </c>
      <c r="H838" s="192" t="s">
        <v>79</v>
      </c>
      <c r="I838" s="192" t="s">
        <v>84</v>
      </c>
      <c r="J838" s="121" t="s">
        <v>2473</v>
      </c>
      <c r="K838" s="192" t="s">
        <v>63</v>
      </c>
      <c r="L838" s="192" t="s">
        <v>81</v>
      </c>
      <c r="M838" s="146" t="s">
        <v>5</v>
      </c>
      <c r="N838" s="192" t="s">
        <v>1053</v>
      </c>
      <c r="O838" s="192" t="s">
        <v>86</v>
      </c>
      <c r="P838" s="192" t="s">
        <v>87</v>
      </c>
      <c r="Q838" s="145">
        <v>46120</v>
      </c>
      <c r="R838" s="145">
        <v>46126</v>
      </c>
      <c r="S838" s="192"/>
    </row>
    <row r="839" spans="1:19" ht="160.94999999999999" customHeight="1" x14ac:dyDescent="0.25">
      <c r="A839" s="197" t="str">
        <f t="shared" si="21"/>
        <v>INC20260407838</v>
      </c>
      <c r="B839" s="193">
        <v>46119.563194444403</v>
      </c>
      <c r="C839" s="192" t="s">
        <v>77</v>
      </c>
      <c r="D839" s="194" t="s">
        <v>78</v>
      </c>
      <c r="E839" s="192" t="s">
        <v>116</v>
      </c>
      <c r="F839" s="192" t="s">
        <v>40</v>
      </c>
      <c r="G839" s="192" t="s">
        <v>41</v>
      </c>
      <c r="H839" s="192" t="s">
        <v>79</v>
      </c>
      <c r="I839" s="192" t="s">
        <v>84</v>
      </c>
      <c r="J839" s="121" t="s">
        <v>2474</v>
      </c>
      <c r="K839" s="192" t="s">
        <v>63</v>
      </c>
      <c r="L839" s="192" t="s">
        <v>81</v>
      </c>
      <c r="M839" s="146" t="s">
        <v>5</v>
      </c>
      <c r="N839" s="192" t="s">
        <v>1054</v>
      </c>
      <c r="O839" s="192" t="s">
        <v>86</v>
      </c>
      <c r="P839" s="192" t="s">
        <v>87</v>
      </c>
      <c r="Q839" s="145">
        <v>46119</v>
      </c>
      <c r="R839" s="145">
        <v>46126</v>
      </c>
      <c r="S839" s="192"/>
    </row>
    <row r="840" spans="1:19" ht="139.05000000000001" customHeight="1" x14ac:dyDescent="0.25">
      <c r="A840" s="197" t="str">
        <f t="shared" si="21"/>
        <v>INC20260407839</v>
      </c>
      <c r="B840" s="193">
        <v>46119.892361111102</v>
      </c>
      <c r="C840" s="192" t="s">
        <v>77</v>
      </c>
      <c r="D840" s="194" t="s">
        <v>78</v>
      </c>
      <c r="E840" s="192" t="s">
        <v>69</v>
      </c>
      <c r="F840" s="192" t="s">
        <v>40</v>
      </c>
      <c r="G840" s="192" t="s">
        <v>41</v>
      </c>
      <c r="H840" s="192" t="s">
        <v>79</v>
      </c>
      <c r="I840" s="192" t="s">
        <v>84</v>
      </c>
      <c r="J840" s="121" t="s">
        <v>2475</v>
      </c>
      <c r="K840" s="192" t="s">
        <v>110</v>
      </c>
      <c r="L840" s="192" t="s">
        <v>81</v>
      </c>
      <c r="M840" s="146" t="s">
        <v>5</v>
      </c>
      <c r="N840" s="192" t="s">
        <v>1055</v>
      </c>
      <c r="O840" s="192" t="s">
        <v>86</v>
      </c>
      <c r="P840" s="192" t="s">
        <v>87</v>
      </c>
      <c r="Q840" s="145">
        <v>46120</v>
      </c>
      <c r="R840" s="145">
        <v>46126</v>
      </c>
      <c r="S840" s="192"/>
    </row>
    <row r="841" spans="1:19" ht="165" customHeight="1" x14ac:dyDescent="0.25">
      <c r="A841" s="197" t="str">
        <f t="shared" si="21"/>
        <v>INC20260408840</v>
      </c>
      <c r="B841" s="193">
        <v>46120.533333333296</v>
      </c>
      <c r="C841" s="192" t="s">
        <v>77</v>
      </c>
      <c r="D841" s="194" t="s">
        <v>78</v>
      </c>
      <c r="E841" s="192" t="s">
        <v>69</v>
      </c>
      <c r="F841" s="192" t="s">
        <v>40</v>
      </c>
      <c r="G841" s="192" t="s">
        <v>60</v>
      </c>
      <c r="H841" s="192" t="s">
        <v>79</v>
      </c>
      <c r="I841" s="192" t="s">
        <v>80</v>
      </c>
      <c r="J841" s="121" t="s">
        <v>2476</v>
      </c>
      <c r="K841" s="192" t="s">
        <v>110</v>
      </c>
      <c r="L841" s="192" t="s">
        <v>81</v>
      </c>
      <c r="M841" s="146" t="s">
        <v>5</v>
      </c>
      <c r="N841" s="192" t="s">
        <v>1056</v>
      </c>
      <c r="O841" s="197" t="s">
        <v>83</v>
      </c>
      <c r="P841" s="197" t="s">
        <v>1366</v>
      </c>
      <c r="Q841" s="145">
        <v>46121</v>
      </c>
      <c r="R841" s="145">
        <v>46126</v>
      </c>
      <c r="S841" s="192"/>
    </row>
    <row r="842" spans="1:19" ht="166.05" customHeight="1" x14ac:dyDescent="0.25">
      <c r="A842" s="197" t="str">
        <f t="shared" si="21"/>
        <v>INC20260408841</v>
      </c>
      <c r="B842" s="193">
        <v>46120.600694444402</v>
      </c>
      <c r="C842" s="192" t="s">
        <v>77</v>
      </c>
      <c r="D842" s="194" t="s">
        <v>78</v>
      </c>
      <c r="E842" s="192" t="s">
        <v>69</v>
      </c>
      <c r="F842" s="192" t="s">
        <v>40</v>
      </c>
      <c r="G842" s="192" t="s">
        <v>41</v>
      </c>
      <c r="H842" s="192" t="s">
        <v>79</v>
      </c>
      <c r="I842" s="192" t="s">
        <v>80</v>
      </c>
      <c r="J842" s="121" t="s">
        <v>2477</v>
      </c>
      <c r="K842" s="192" t="s">
        <v>44</v>
      </c>
      <c r="L842" s="192" t="s">
        <v>81</v>
      </c>
      <c r="M842" s="146" t="s">
        <v>5</v>
      </c>
      <c r="N842" s="192" t="s">
        <v>1057</v>
      </c>
      <c r="O842" s="192" t="s">
        <v>325</v>
      </c>
      <c r="P842" s="197" t="s">
        <v>874</v>
      </c>
      <c r="Q842" s="145">
        <v>46113</v>
      </c>
      <c r="R842" s="145">
        <v>46126</v>
      </c>
      <c r="S842" s="192"/>
    </row>
    <row r="843" spans="1:19" ht="136.05000000000001" customHeight="1" x14ac:dyDescent="0.25">
      <c r="A843" s="197" t="str">
        <f t="shared" si="21"/>
        <v>INC20260409842</v>
      </c>
      <c r="B843" s="193">
        <v>46121.35</v>
      </c>
      <c r="C843" s="192" t="s">
        <v>77</v>
      </c>
      <c r="D843" s="194" t="s">
        <v>78</v>
      </c>
      <c r="E843" s="192" t="s">
        <v>69</v>
      </c>
      <c r="F843" s="192" t="s">
        <v>40</v>
      </c>
      <c r="G843" s="192" t="s">
        <v>41</v>
      </c>
      <c r="H843" s="192" t="s">
        <v>79</v>
      </c>
      <c r="I843" s="192" t="s">
        <v>80</v>
      </c>
      <c r="J843" s="121" t="s">
        <v>2478</v>
      </c>
      <c r="K843" s="192" t="s">
        <v>44</v>
      </c>
      <c r="L843" s="192" t="s">
        <v>81</v>
      </c>
      <c r="M843" s="146" t="s">
        <v>5</v>
      </c>
      <c r="N843" s="192" t="s">
        <v>1058</v>
      </c>
      <c r="O843" s="192" t="s">
        <v>325</v>
      </c>
      <c r="P843" s="197" t="s">
        <v>874</v>
      </c>
      <c r="Q843" s="145">
        <v>46121</v>
      </c>
      <c r="R843" s="145">
        <v>46126</v>
      </c>
      <c r="S843" s="192"/>
    </row>
    <row r="844" spans="1:19" ht="145.94999999999999" customHeight="1" x14ac:dyDescent="0.25">
      <c r="A844" s="197" t="str">
        <f t="shared" si="21"/>
        <v>INC20260409843</v>
      </c>
      <c r="B844" s="201">
        <v>46121.3618055556</v>
      </c>
      <c r="C844" s="192" t="s">
        <v>77</v>
      </c>
      <c r="D844" s="194" t="s">
        <v>78</v>
      </c>
      <c r="E844" s="192" t="s">
        <v>69</v>
      </c>
      <c r="F844" s="192" t="s">
        <v>40</v>
      </c>
      <c r="G844" s="192" t="s">
        <v>60</v>
      </c>
      <c r="H844" s="192" t="s">
        <v>79</v>
      </c>
      <c r="I844" s="192" t="s">
        <v>80</v>
      </c>
      <c r="J844" s="121" t="s">
        <v>2479</v>
      </c>
      <c r="K844" s="192" t="s">
        <v>63</v>
      </c>
      <c r="L844" s="192" t="s">
        <v>81</v>
      </c>
      <c r="M844" s="146" t="s">
        <v>5</v>
      </c>
      <c r="N844" s="192" t="s">
        <v>1059</v>
      </c>
      <c r="O844" s="197" t="s">
        <v>83</v>
      </c>
      <c r="P844" s="197" t="s">
        <v>1366</v>
      </c>
      <c r="Q844" s="145">
        <v>46121</v>
      </c>
      <c r="R844" s="145">
        <v>46126</v>
      </c>
      <c r="S844" s="192"/>
    </row>
    <row r="845" spans="1:19" ht="151.05000000000001" customHeight="1" x14ac:dyDescent="0.25">
      <c r="A845" s="197" t="str">
        <f t="shared" si="21"/>
        <v>INC20260409844</v>
      </c>
      <c r="B845" s="201">
        <v>46121.418749999997</v>
      </c>
      <c r="C845" s="192" t="s">
        <v>77</v>
      </c>
      <c r="D845" s="194" t="s">
        <v>78</v>
      </c>
      <c r="E845" s="192" t="s">
        <v>116</v>
      </c>
      <c r="F845" s="192" t="s">
        <v>40</v>
      </c>
      <c r="G845" s="192" t="s">
        <v>60</v>
      </c>
      <c r="H845" s="192" t="s">
        <v>79</v>
      </c>
      <c r="I845" s="192" t="s">
        <v>80</v>
      </c>
      <c r="J845" s="121" t="s">
        <v>2480</v>
      </c>
      <c r="K845" s="192" t="s">
        <v>63</v>
      </c>
      <c r="L845" s="192" t="s">
        <v>81</v>
      </c>
      <c r="M845" s="146" t="s">
        <v>5</v>
      </c>
      <c r="N845" s="192" t="s">
        <v>1060</v>
      </c>
      <c r="O845" s="197" t="s">
        <v>83</v>
      </c>
      <c r="P845" s="197" t="s">
        <v>1366</v>
      </c>
      <c r="Q845" s="145">
        <v>46121</v>
      </c>
      <c r="R845" s="145">
        <v>46126</v>
      </c>
      <c r="S845" s="192"/>
    </row>
    <row r="846" spans="1:19" ht="144" customHeight="1" x14ac:dyDescent="0.25">
      <c r="A846" s="197" t="str">
        <f t="shared" si="21"/>
        <v>INC20260410845</v>
      </c>
      <c r="B846" s="201">
        <v>46122.308333333298</v>
      </c>
      <c r="C846" s="192" t="s">
        <v>77</v>
      </c>
      <c r="D846" s="194" t="s">
        <v>78</v>
      </c>
      <c r="E846" s="192" t="s">
        <v>69</v>
      </c>
      <c r="F846" s="192" t="s">
        <v>40</v>
      </c>
      <c r="G846" s="192" t="s">
        <v>60</v>
      </c>
      <c r="H846" s="192" t="s">
        <v>79</v>
      </c>
      <c r="I846" s="192" t="s">
        <v>84</v>
      </c>
      <c r="J846" s="121" t="s">
        <v>2481</v>
      </c>
      <c r="K846" s="192" t="s">
        <v>110</v>
      </c>
      <c r="L846" s="192" t="s">
        <v>81</v>
      </c>
      <c r="M846" s="146" t="s">
        <v>5</v>
      </c>
      <c r="N846" s="192" t="s">
        <v>1061</v>
      </c>
      <c r="O846" s="192" t="s">
        <v>86</v>
      </c>
      <c r="P846" s="192" t="s">
        <v>87</v>
      </c>
      <c r="Q846" s="145">
        <v>46122</v>
      </c>
      <c r="R846" s="145">
        <v>46126</v>
      </c>
      <c r="S846" s="192"/>
    </row>
    <row r="847" spans="1:19" ht="138" customHeight="1" x14ac:dyDescent="0.25">
      <c r="A847" s="197" t="str">
        <f t="shared" si="21"/>
        <v>INC20260410846</v>
      </c>
      <c r="B847" s="201">
        <v>46122.6430555556</v>
      </c>
      <c r="C847" s="192" t="s">
        <v>77</v>
      </c>
      <c r="D847" s="194" t="s">
        <v>78</v>
      </c>
      <c r="E847" s="192" t="s">
        <v>116</v>
      </c>
      <c r="F847" s="192" t="s">
        <v>40</v>
      </c>
      <c r="G847" s="192" t="s">
        <v>60</v>
      </c>
      <c r="H847" s="192" t="s">
        <v>79</v>
      </c>
      <c r="I847" s="192" t="s">
        <v>84</v>
      </c>
      <c r="J847" s="121" t="s">
        <v>2482</v>
      </c>
      <c r="K847" s="192" t="s">
        <v>63</v>
      </c>
      <c r="L847" s="192" t="s">
        <v>81</v>
      </c>
      <c r="M847" s="146" t="s">
        <v>5</v>
      </c>
      <c r="N847" s="192" t="s">
        <v>1062</v>
      </c>
      <c r="O847" s="192" t="s">
        <v>86</v>
      </c>
      <c r="P847" s="192" t="s">
        <v>87</v>
      </c>
      <c r="Q847" s="145">
        <v>46122</v>
      </c>
      <c r="R847" s="145">
        <v>46126</v>
      </c>
      <c r="S847" s="192"/>
    </row>
    <row r="848" spans="1:19" ht="142.05000000000001" customHeight="1" x14ac:dyDescent="0.25">
      <c r="A848" s="197" t="str">
        <f t="shared" si="21"/>
        <v>INC20260410847</v>
      </c>
      <c r="B848" s="193">
        <v>46122.684722222199</v>
      </c>
      <c r="C848" s="192" t="s">
        <v>77</v>
      </c>
      <c r="D848" s="194" t="s">
        <v>78</v>
      </c>
      <c r="E848" s="192" t="s">
        <v>116</v>
      </c>
      <c r="F848" s="192" t="s">
        <v>40</v>
      </c>
      <c r="G848" s="192" t="s">
        <v>60</v>
      </c>
      <c r="H848" s="192" t="s">
        <v>79</v>
      </c>
      <c r="I848" s="192" t="s">
        <v>84</v>
      </c>
      <c r="J848" s="121" t="s">
        <v>2483</v>
      </c>
      <c r="K848" s="192" t="s">
        <v>63</v>
      </c>
      <c r="L848" s="192" t="s">
        <v>81</v>
      </c>
      <c r="M848" s="146" t="s">
        <v>5</v>
      </c>
      <c r="N848" s="192" t="s">
        <v>1063</v>
      </c>
      <c r="O848" s="192" t="s">
        <v>86</v>
      </c>
      <c r="P848" s="192" t="s">
        <v>87</v>
      </c>
      <c r="Q848" s="145">
        <v>46122</v>
      </c>
      <c r="R848" s="145">
        <v>46126</v>
      </c>
      <c r="S848" s="192"/>
    </row>
    <row r="849" spans="1:19" ht="142.05000000000001" customHeight="1" x14ac:dyDescent="0.25">
      <c r="A849" s="197" t="str">
        <f t="shared" si="21"/>
        <v>INC20260410848</v>
      </c>
      <c r="B849" s="193">
        <v>46122.7722222222</v>
      </c>
      <c r="C849" s="192" t="s">
        <v>77</v>
      </c>
      <c r="D849" s="194" t="s">
        <v>78</v>
      </c>
      <c r="E849" s="192" t="s">
        <v>116</v>
      </c>
      <c r="F849" s="192" t="s">
        <v>40</v>
      </c>
      <c r="G849" s="192" t="s">
        <v>60</v>
      </c>
      <c r="H849" s="192" t="s">
        <v>79</v>
      </c>
      <c r="I849" s="192" t="s">
        <v>84</v>
      </c>
      <c r="J849" s="121" t="s">
        <v>2484</v>
      </c>
      <c r="K849" s="192" t="s">
        <v>151</v>
      </c>
      <c r="L849" s="192" t="s">
        <v>81</v>
      </c>
      <c r="M849" s="146" t="s">
        <v>5</v>
      </c>
      <c r="N849" s="192" t="s">
        <v>1063</v>
      </c>
      <c r="O849" s="192" t="s">
        <v>86</v>
      </c>
      <c r="P849" s="192" t="s">
        <v>87</v>
      </c>
      <c r="Q849" s="145">
        <v>46122</v>
      </c>
      <c r="R849" s="145">
        <v>46126</v>
      </c>
      <c r="S849" s="192"/>
    </row>
    <row r="850" spans="1:19" ht="148.05000000000001" customHeight="1" x14ac:dyDescent="0.25">
      <c r="A850" s="197" t="str">
        <f t="shared" si="21"/>
        <v>INC20260410849</v>
      </c>
      <c r="B850" s="193">
        <v>46122.7097222222</v>
      </c>
      <c r="C850" s="192" t="s">
        <v>77</v>
      </c>
      <c r="D850" s="194" t="s">
        <v>78</v>
      </c>
      <c r="E850" s="192" t="s">
        <v>486</v>
      </c>
      <c r="F850" s="192" t="s">
        <v>40</v>
      </c>
      <c r="G850" s="192" t="s">
        <v>41</v>
      </c>
      <c r="H850" s="192" t="s">
        <v>79</v>
      </c>
      <c r="I850" s="192" t="s">
        <v>80</v>
      </c>
      <c r="J850" s="121" t="s">
        <v>2485</v>
      </c>
      <c r="K850" s="192" t="s">
        <v>44</v>
      </c>
      <c r="L850" s="192" t="s">
        <v>81</v>
      </c>
      <c r="M850" s="146" t="s">
        <v>5</v>
      </c>
      <c r="N850" s="192" t="s">
        <v>1064</v>
      </c>
      <c r="O850" s="192" t="s">
        <v>325</v>
      </c>
      <c r="P850" s="197" t="s">
        <v>874</v>
      </c>
      <c r="Q850" s="145">
        <v>46122</v>
      </c>
      <c r="R850" s="145">
        <v>46126</v>
      </c>
      <c r="S850" s="192"/>
    </row>
    <row r="851" spans="1:19" ht="166.05" customHeight="1" x14ac:dyDescent="0.25">
      <c r="A851" s="197" t="str">
        <f t="shared" si="21"/>
        <v>INC20260410850</v>
      </c>
      <c r="B851" s="193">
        <v>46122.8840277778</v>
      </c>
      <c r="C851" s="192" t="s">
        <v>77</v>
      </c>
      <c r="D851" s="194" t="s">
        <v>78</v>
      </c>
      <c r="E851" s="192" t="s">
        <v>69</v>
      </c>
      <c r="F851" s="192" t="s">
        <v>40</v>
      </c>
      <c r="G851" s="192" t="s">
        <v>60</v>
      </c>
      <c r="H851" s="192" t="s">
        <v>79</v>
      </c>
      <c r="I851" s="192" t="s">
        <v>84</v>
      </c>
      <c r="J851" s="121" t="s">
        <v>2486</v>
      </c>
      <c r="K851" s="192" t="s">
        <v>63</v>
      </c>
      <c r="L851" s="192" t="s">
        <v>81</v>
      </c>
      <c r="M851" s="146" t="s">
        <v>5</v>
      </c>
      <c r="N851" s="192" t="s">
        <v>1065</v>
      </c>
      <c r="O851" s="192" t="s">
        <v>86</v>
      </c>
      <c r="P851" s="192" t="s">
        <v>87</v>
      </c>
      <c r="Q851" s="145">
        <v>46122</v>
      </c>
      <c r="R851" s="145">
        <v>46126</v>
      </c>
      <c r="S851" s="192"/>
    </row>
    <row r="852" spans="1:19" ht="145.94999999999999" customHeight="1" x14ac:dyDescent="0.25">
      <c r="A852" s="197" t="str">
        <f t="shared" si="21"/>
        <v>INC20260411851</v>
      </c>
      <c r="B852" s="193">
        <v>46123.012499999997</v>
      </c>
      <c r="C852" s="192" t="s">
        <v>77</v>
      </c>
      <c r="D852" s="194" t="s">
        <v>78</v>
      </c>
      <c r="E852" s="192" t="s">
        <v>486</v>
      </c>
      <c r="F852" s="192" t="s">
        <v>40</v>
      </c>
      <c r="G852" s="192" t="s">
        <v>41</v>
      </c>
      <c r="H852" s="192" t="s">
        <v>79</v>
      </c>
      <c r="I852" s="192" t="s">
        <v>80</v>
      </c>
      <c r="J852" s="121" t="s">
        <v>2487</v>
      </c>
      <c r="K852" s="192" t="s">
        <v>44</v>
      </c>
      <c r="L852" s="192" t="s">
        <v>81</v>
      </c>
      <c r="M852" s="146" t="s">
        <v>5</v>
      </c>
      <c r="N852" s="192" t="s">
        <v>1066</v>
      </c>
      <c r="O852" s="192" t="s">
        <v>325</v>
      </c>
      <c r="P852" s="197" t="s">
        <v>874</v>
      </c>
      <c r="Q852" s="145">
        <v>46123</v>
      </c>
      <c r="R852" s="145">
        <v>46126</v>
      </c>
      <c r="S852" s="192"/>
    </row>
    <row r="853" spans="1:19" ht="160.94999999999999" customHeight="1" x14ac:dyDescent="0.25">
      <c r="A853" s="197" t="str">
        <f t="shared" si="21"/>
        <v>INC20260412852</v>
      </c>
      <c r="B853" s="193">
        <v>46124.252777777801</v>
      </c>
      <c r="C853" s="192" t="s">
        <v>77</v>
      </c>
      <c r="D853" s="194" t="s">
        <v>78</v>
      </c>
      <c r="E853" s="192" t="s">
        <v>58</v>
      </c>
      <c r="F853" s="192" t="s">
        <v>40</v>
      </c>
      <c r="G853" s="192" t="s">
        <v>60</v>
      </c>
      <c r="H853" s="192" t="s">
        <v>79</v>
      </c>
      <c r="I853" s="192" t="s">
        <v>84</v>
      </c>
      <c r="J853" s="121" t="s">
        <v>2488</v>
      </c>
      <c r="K853" s="192" t="s">
        <v>151</v>
      </c>
      <c r="L853" s="192" t="s">
        <v>81</v>
      </c>
      <c r="M853" s="146" t="s">
        <v>5</v>
      </c>
      <c r="N853" s="192" t="s">
        <v>1067</v>
      </c>
      <c r="O853" s="192" t="s">
        <v>86</v>
      </c>
      <c r="P853" s="192" t="s">
        <v>87</v>
      </c>
      <c r="Q853" s="145">
        <v>46124</v>
      </c>
      <c r="R853" s="145">
        <v>46126</v>
      </c>
      <c r="S853" s="192"/>
    </row>
    <row r="854" spans="1:19" ht="151.94999999999999" customHeight="1" x14ac:dyDescent="0.25">
      <c r="A854" s="197" t="str">
        <f t="shared" si="21"/>
        <v>INC20260412853</v>
      </c>
      <c r="B854" s="193">
        <v>46124.261805555601</v>
      </c>
      <c r="C854" s="192" t="s">
        <v>77</v>
      </c>
      <c r="D854" s="194" t="s">
        <v>78</v>
      </c>
      <c r="E854" s="192" t="s">
        <v>58</v>
      </c>
      <c r="F854" s="192" t="s">
        <v>40</v>
      </c>
      <c r="G854" s="192" t="s">
        <v>60</v>
      </c>
      <c r="H854" s="192" t="s">
        <v>79</v>
      </c>
      <c r="I854" s="192" t="s">
        <v>84</v>
      </c>
      <c r="J854" s="121" t="s">
        <v>2489</v>
      </c>
      <c r="K854" s="192" t="s">
        <v>151</v>
      </c>
      <c r="L854" s="192" t="s">
        <v>81</v>
      </c>
      <c r="M854" s="146" t="s">
        <v>5</v>
      </c>
      <c r="N854" s="192" t="s">
        <v>1068</v>
      </c>
      <c r="O854" s="192" t="s">
        <v>86</v>
      </c>
      <c r="P854" s="192" t="s">
        <v>87</v>
      </c>
      <c r="Q854" s="145">
        <v>46124</v>
      </c>
      <c r="R854" s="145">
        <v>46126</v>
      </c>
      <c r="S854" s="192"/>
    </row>
    <row r="855" spans="1:19" ht="142.94999999999999" customHeight="1" x14ac:dyDescent="0.25">
      <c r="A855" s="197" t="str">
        <f t="shared" ref="A855:A916" si="22">"INC"&amp;TEXT(B855,"yyyymmdd")&amp;TEXT(ROW(A855)-1,"000")</f>
        <v>INC20260413854</v>
      </c>
      <c r="B855" s="199">
        <v>46125.609722222202</v>
      </c>
      <c r="C855" s="192" t="s">
        <v>37</v>
      </c>
      <c r="D855" s="194" t="s">
        <v>57</v>
      </c>
      <c r="E855" s="192" t="s">
        <v>69</v>
      </c>
      <c r="F855" s="192" t="s">
        <v>59</v>
      </c>
      <c r="G855" s="192" t="s">
        <v>60</v>
      </c>
      <c r="H855" s="192" t="s">
        <v>61</v>
      </c>
      <c r="I855" s="192" t="s">
        <v>62</v>
      </c>
      <c r="J855" s="121" t="s">
        <v>2490</v>
      </c>
      <c r="K855" s="192" t="s">
        <v>63</v>
      </c>
      <c r="L855" s="192" t="s">
        <v>81</v>
      </c>
      <c r="M855" s="146" t="s">
        <v>5</v>
      </c>
      <c r="N855" s="192" t="s">
        <v>1538</v>
      </c>
      <c r="O855" s="192" t="s">
        <v>66</v>
      </c>
      <c r="P855" s="192" t="s">
        <v>67</v>
      </c>
      <c r="Q855" s="145"/>
      <c r="R855" s="145">
        <v>46126</v>
      </c>
      <c r="S855" s="192"/>
    </row>
    <row r="856" spans="1:19" ht="138" customHeight="1" x14ac:dyDescent="0.25">
      <c r="A856" s="197" t="str">
        <f t="shared" si="22"/>
        <v>INC20260413855</v>
      </c>
      <c r="B856" s="199">
        <v>46125.625</v>
      </c>
      <c r="C856" s="192" t="s">
        <v>37</v>
      </c>
      <c r="D856" s="194" t="s">
        <v>1069</v>
      </c>
      <c r="E856" s="192" t="s">
        <v>74</v>
      </c>
      <c r="F856" s="192" t="s">
        <v>59</v>
      </c>
      <c r="G856" s="192" t="s">
        <v>60</v>
      </c>
      <c r="H856" s="192" t="s">
        <v>61</v>
      </c>
      <c r="I856" s="192" t="s">
        <v>62</v>
      </c>
      <c r="J856" s="121" t="s">
        <v>2491</v>
      </c>
      <c r="K856" s="192" t="s">
        <v>63</v>
      </c>
      <c r="L856" s="192" t="s">
        <v>81</v>
      </c>
      <c r="M856" s="146" t="s">
        <v>5</v>
      </c>
      <c r="N856" s="192" t="s">
        <v>1539</v>
      </c>
      <c r="O856" s="192" t="s">
        <v>66</v>
      </c>
      <c r="P856" s="192" t="s">
        <v>67</v>
      </c>
      <c r="Q856" s="145"/>
      <c r="R856" s="145">
        <v>46126</v>
      </c>
      <c r="S856" s="192"/>
    </row>
    <row r="857" spans="1:19" ht="218.4" customHeight="1" x14ac:dyDescent="0.25">
      <c r="A857" s="197" t="str">
        <f t="shared" si="22"/>
        <v>INC20260413856</v>
      </c>
      <c r="B857" s="199">
        <v>46125.649305555598</v>
      </c>
      <c r="C857" s="192" t="s">
        <v>37</v>
      </c>
      <c r="D857" s="194" t="s">
        <v>57</v>
      </c>
      <c r="E857" s="192" t="s">
        <v>225</v>
      </c>
      <c r="F857" s="192" t="s">
        <v>59</v>
      </c>
      <c r="G857" s="192" t="s">
        <v>60</v>
      </c>
      <c r="H857" s="192" t="s">
        <v>61</v>
      </c>
      <c r="I857" s="192" t="s">
        <v>62</v>
      </c>
      <c r="J857" s="121" t="s">
        <v>2492</v>
      </c>
      <c r="K857" s="192" t="s">
        <v>63</v>
      </c>
      <c r="L857" s="192" t="s">
        <v>81</v>
      </c>
      <c r="M857" s="146" t="s">
        <v>5</v>
      </c>
      <c r="N857" s="192" t="s">
        <v>2763</v>
      </c>
      <c r="O857" s="192" t="s">
        <v>66</v>
      </c>
      <c r="P857" s="192" t="s">
        <v>67</v>
      </c>
      <c r="Q857" s="145"/>
      <c r="R857" s="145">
        <v>46126</v>
      </c>
      <c r="S857" s="192"/>
    </row>
    <row r="858" spans="1:19" ht="163.05000000000001" customHeight="1" x14ac:dyDescent="0.25">
      <c r="A858" s="197" t="str">
        <f t="shared" si="22"/>
        <v>INC20260413857</v>
      </c>
      <c r="B858" s="199">
        <v>46125.662499999999</v>
      </c>
      <c r="C858" s="192" t="s">
        <v>37</v>
      </c>
      <c r="D858" s="194" t="s">
        <v>57</v>
      </c>
      <c r="E858" s="192" t="s">
        <v>225</v>
      </c>
      <c r="F858" s="192" t="s">
        <v>59</v>
      </c>
      <c r="G858" s="192" t="s">
        <v>60</v>
      </c>
      <c r="H858" s="192" t="s">
        <v>61</v>
      </c>
      <c r="I858" s="192" t="s">
        <v>62</v>
      </c>
      <c r="J858" s="121" t="s">
        <v>2492</v>
      </c>
      <c r="K858" s="192" t="s">
        <v>63</v>
      </c>
      <c r="L858" s="192" t="s">
        <v>81</v>
      </c>
      <c r="M858" s="146" t="s">
        <v>5</v>
      </c>
      <c r="N858" s="192" t="s">
        <v>1538</v>
      </c>
      <c r="O858" s="192" t="s">
        <v>66</v>
      </c>
      <c r="P858" s="192" t="s">
        <v>67</v>
      </c>
      <c r="Q858" s="145"/>
      <c r="R858" s="145">
        <v>46126</v>
      </c>
      <c r="S858" s="192"/>
    </row>
    <row r="859" spans="1:19" ht="139.94999999999999" customHeight="1" x14ac:dyDescent="0.25">
      <c r="A859" s="197" t="str">
        <f t="shared" si="22"/>
        <v>INC20260413858</v>
      </c>
      <c r="B859" s="199">
        <v>46125.662499999999</v>
      </c>
      <c r="C859" s="192" t="s">
        <v>37</v>
      </c>
      <c r="D859" s="194" t="s">
        <v>57</v>
      </c>
      <c r="E859" s="192" t="s">
        <v>225</v>
      </c>
      <c r="F859" s="192" t="s">
        <v>59</v>
      </c>
      <c r="G859" s="192" t="s">
        <v>60</v>
      </c>
      <c r="H859" s="192" t="s">
        <v>61</v>
      </c>
      <c r="I859" s="192" t="s">
        <v>62</v>
      </c>
      <c r="J859" s="121" t="s">
        <v>2492</v>
      </c>
      <c r="K859" s="192" t="s">
        <v>63</v>
      </c>
      <c r="L859" s="192" t="s">
        <v>81</v>
      </c>
      <c r="M859" s="146" t="s">
        <v>5</v>
      </c>
      <c r="N859" s="192" t="s">
        <v>1538</v>
      </c>
      <c r="O859" s="192" t="s">
        <v>66</v>
      </c>
      <c r="P859" s="192" t="s">
        <v>67</v>
      </c>
      <c r="Q859" s="145"/>
      <c r="R859" s="145">
        <v>46126</v>
      </c>
      <c r="S859" s="192"/>
    </row>
    <row r="860" spans="1:19" ht="151.05000000000001" customHeight="1" x14ac:dyDescent="0.25">
      <c r="A860" s="197" t="str">
        <f t="shared" si="22"/>
        <v>INC20260413859</v>
      </c>
      <c r="B860" s="199">
        <v>46125.662499999999</v>
      </c>
      <c r="C860" s="192" t="s">
        <v>37</v>
      </c>
      <c r="D860" s="194" t="s">
        <v>57</v>
      </c>
      <c r="E860" s="192" t="s">
        <v>225</v>
      </c>
      <c r="F860" s="192" t="s">
        <v>59</v>
      </c>
      <c r="G860" s="192" t="s">
        <v>60</v>
      </c>
      <c r="H860" s="192" t="s">
        <v>61</v>
      </c>
      <c r="I860" s="192" t="s">
        <v>62</v>
      </c>
      <c r="J860" s="121" t="s">
        <v>2493</v>
      </c>
      <c r="K860" s="192" t="s">
        <v>63</v>
      </c>
      <c r="L860" s="192" t="s">
        <v>81</v>
      </c>
      <c r="M860" s="146" t="s">
        <v>5</v>
      </c>
      <c r="N860" s="192" t="s">
        <v>1538</v>
      </c>
      <c r="O860" s="192" t="s">
        <v>66</v>
      </c>
      <c r="P860" s="192" t="s">
        <v>67</v>
      </c>
      <c r="Q860" s="145"/>
      <c r="R860" s="145">
        <v>46126</v>
      </c>
      <c r="S860" s="192"/>
    </row>
    <row r="861" spans="1:19" ht="160.94999999999999" customHeight="1" x14ac:dyDescent="0.25">
      <c r="A861" s="197" t="str">
        <f t="shared" si="22"/>
        <v>INC20260413860</v>
      </c>
      <c r="B861" s="199">
        <v>46125.668749999997</v>
      </c>
      <c r="C861" s="192" t="s">
        <v>37</v>
      </c>
      <c r="D861" s="194" t="s">
        <v>57</v>
      </c>
      <c r="E861" s="192" t="s">
        <v>74</v>
      </c>
      <c r="F861" s="192" t="s">
        <v>59</v>
      </c>
      <c r="G861" s="192" t="s">
        <v>60</v>
      </c>
      <c r="H861" s="192" t="s">
        <v>61</v>
      </c>
      <c r="I861" s="192" t="s">
        <v>62</v>
      </c>
      <c r="J861" s="121" t="s">
        <v>2494</v>
      </c>
      <c r="K861" s="192" t="s">
        <v>63</v>
      </c>
      <c r="L861" s="192" t="s">
        <v>81</v>
      </c>
      <c r="M861" s="146" t="s">
        <v>5</v>
      </c>
      <c r="N861" s="192" t="s">
        <v>1538</v>
      </c>
      <c r="O861" s="192" t="s">
        <v>66</v>
      </c>
      <c r="P861" s="192" t="s">
        <v>67</v>
      </c>
      <c r="Q861" s="145"/>
      <c r="R861" s="145">
        <v>46126</v>
      </c>
      <c r="S861" s="192"/>
    </row>
    <row r="862" spans="1:19" ht="163.05000000000001" customHeight="1" x14ac:dyDescent="0.25">
      <c r="A862" s="197" t="str">
        <f t="shared" si="22"/>
        <v>INC20260413861</v>
      </c>
      <c r="B862" s="199">
        <v>46125.685416666704</v>
      </c>
      <c r="C862" s="192" t="s">
        <v>37</v>
      </c>
      <c r="D862" s="194" t="s">
        <v>57</v>
      </c>
      <c r="E862" s="192" t="s">
        <v>69</v>
      </c>
      <c r="F862" s="192" t="s">
        <v>59</v>
      </c>
      <c r="G862" s="192" t="s">
        <v>60</v>
      </c>
      <c r="H862" s="192" t="s">
        <v>61</v>
      </c>
      <c r="I862" s="192" t="s">
        <v>62</v>
      </c>
      <c r="J862" s="121" t="s">
        <v>2495</v>
      </c>
      <c r="K862" s="192" t="s">
        <v>63</v>
      </c>
      <c r="L862" s="192" t="s">
        <v>81</v>
      </c>
      <c r="M862" s="146" t="s">
        <v>5</v>
      </c>
      <c r="N862" s="192" t="s">
        <v>1682</v>
      </c>
      <c r="O862" s="192" t="s">
        <v>66</v>
      </c>
      <c r="P862" s="192" t="s">
        <v>67</v>
      </c>
      <c r="Q862" s="145"/>
      <c r="R862" s="145">
        <v>46126</v>
      </c>
      <c r="S862" s="192"/>
    </row>
    <row r="863" spans="1:19" ht="172.95" customHeight="1" x14ac:dyDescent="0.25">
      <c r="A863" s="197" t="str">
        <f t="shared" si="22"/>
        <v>INC20260413862</v>
      </c>
      <c r="B863" s="199">
        <v>46125.751388888901</v>
      </c>
      <c r="C863" s="192" t="s">
        <v>37</v>
      </c>
      <c r="D863" s="194" t="s">
        <v>57</v>
      </c>
      <c r="E863" s="192" t="s">
        <v>58</v>
      </c>
      <c r="F863" s="192" t="s">
        <v>59</v>
      </c>
      <c r="G863" s="192" t="s">
        <v>60</v>
      </c>
      <c r="H863" s="192" t="s">
        <v>61</v>
      </c>
      <c r="I863" s="192" t="s">
        <v>62</v>
      </c>
      <c r="J863" s="121" t="s">
        <v>2496</v>
      </c>
      <c r="K863" s="192" t="s">
        <v>63</v>
      </c>
      <c r="L863" s="192" t="s">
        <v>81</v>
      </c>
      <c r="M863" s="146" t="s">
        <v>5</v>
      </c>
      <c r="N863" s="192" t="s">
        <v>1538</v>
      </c>
      <c r="O863" s="192" t="s">
        <v>66</v>
      </c>
      <c r="P863" s="192" t="s">
        <v>67</v>
      </c>
      <c r="Q863" s="145"/>
      <c r="R863" s="145">
        <v>46126</v>
      </c>
      <c r="S863" s="192"/>
    </row>
    <row r="864" spans="1:19" ht="163.05000000000001" customHeight="1" x14ac:dyDescent="0.25">
      <c r="A864" s="197" t="str">
        <f t="shared" si="22"/>
        <v>INC20260414863</v>
      </c>
      <c r="B864" s="199">
        <v>46126.2902777778</v>
      </c>
      <c r="C864" s="192" t="s">
        <v>37</v>
      </c>
      <c r="D864" s="194" t="s">
        <v>38</v>
      </c>
      <c r="E864" s="192" t="s">
        <v>39</v>
      </c>
      <c r="F864" s="192" t="s">
        <v>40</v>
      </c>
      <c r="G864" s="192" t="s">
        <v>41</v>
      </c>
      <c r="H864" s="192" t="s">
        <v>42</v>
      </c>
      <c r="I864" s="192" t="s">
        <v>43</v>
      </c>
      <c r="J864" s="195" t="s">
        <v>2497</v>
      </c>
      <c r="K864" s="192" t="s">
        <v>44</v>
      </c>
      <c r="L864" s="192" t="s">
        <v>45</v>
      </c>
      <c r="M864" s="143" t="s">
        <v>5</v>
      </c>
      <c r="N864" s="198" t="s">
        <v>1070</v>
      </c>
      <c r="O864" s="192"/>
      <c r="P864" s="144" t="s">
        <v>47</v>
      </c>
      <c r="Q864" s="145">
        <v>46126</v>
      </c>
      <c r="R864" s="145">
        <v>46126</v>
      </c>
      <c r="S864" s="192"/>
    </row>
    <row r="865" spans="1:19" ht="177" customHeight="1" x14ac:dyDescent="0.25">
      <c r="A865" s="197" t="str">
        <f t="shared" si="22"/>
        <v>INC20260414864</v>
      </c>
      <c r="B865" s="199">
        <v>46126.3881944444</v>
      </c>
      <c r="C865" s="192" t="s">
        <v>37</v>
      </c>
      <c r="D865" s="194" t="s">
        <v>49</v>
      </c>
      <c r="E865" s="192" t="s">
        <v>50</v>
      </c>
      <c r="F865" s="192" t="s">
        <v>40</v>
      </c>
      <c r="G865" s="192" t="s">
        <v>51</v>
      </c>
      <c r="H865" s="192" t="s">
        <v>52</v>
      </c>
      <c r="I865" s="192" t="s">
        <v>53</v>
      </c>
      <c r="J865" s="195" t="s">
        <v>2498</v>
      </c>
      <c r="K865" s="192" t="s">
        <v>54</v>
      </c>
      <c r="L865" s="192" t="s">
        <v>55</v>
      </c>
      <c r="M865" s="146" t="s">
        <v>5</v>
      </c>
      <c r="N865" s="192" t="s">
        <v>1071</v>
      </c>
      <c r="O865" s="192"/>
      <c r="P865" s="192"/>
      <c r="Q865" s="145"/>
      <c r="R865" s="145">
        <v>46126</v>
      </c>
      <c r="S865" s="192"/>
    </row>
    <row r="866" spans="1:19" ht="162" customHeight="1" x14ac:dyDescent="0.25">
      <c r="A866" s="197" t="str">
        <f t="shared" si="22"/>
        <v>INC20260414865</v>
      </c>
      <c r="B866" s="199">
        <v>46126.429861111101</v>
      </c>
      <c r="C866" s="192" t="s">
        <v>37</v>
      </c>
      <c r="D866" s="194" t="s">
        <v>49</v>
      </c>
      <c r="E866" s="192" t="s">
        <v>50</v>
      </c>
      <c r="F866" s="192" t="s">
        <v>40</v>
      </c>
      <c r="G866" s="192" t="s">
        <v>51</v>
      </c>
      <c r="H866" s="192" t="s">
        <v>92</v>
      </c>
      <c r="I866" s="192" t="s">
        <v>93</v>
      </c>
      <c r="J866" s="195" t="s">
        <v>2499</v>
      </c>
      <c r="K866" s="192" t="s">
        <v>54</v>
      </c>
      <c r="L866" s="192" t="s">
        <v>55</v>
      </c>
      <c r="M866" s="146" t="s">
        <v>5</v>
      </c>
      <c r="N866" s="192" t="s">
        <v>1540</v>
      </c>
      <c r="O866" s="192" t="s">
        <v>95</v>
      </c>
      <c r="P866" s="192" t="s">
        <v>96</v>
      </c>
      <c r="Q866" s="145">
        <v>46129</v>
      </c>
      <c r="R866" s="145">
        <v>46126</v>
      </c>
      <c r="S866" s="192"/>
    </row>
    <row r="867" spans="1:19" ht="151.05000000000001" customHeight="1" x14ac:dyDescent="0.25">
      <c r="A867" s="197" t="str">
        <f t="shared" si="22"/>
        <v>INC20260414866</v>
      </c>
      <c r="B867" s="199">
        <v>46126.5847222222</v>
      </c>
      <c r="C867" s="192" t="s">
        <v>37</v>
      </c>
      <c r="D867" s="194" t="s">
        <v>1072</v>
      </c>
      <c r="E867" s="192" t="s">
        <v>134</v>
      </c>
      <c r="F867" s="192" t="s">
        <v>59</v>
      </c>
      <c r="G867" s="192" t="s">
        <v>60</v>
      </c>
      <c r="H867" s="192" t="s">
        <v>61</v>
      </c>
      <c r="I867" s="192" t="s">
        <v>62</v>
      </c>
      <c r="J867" s="121" t="s">
        <v>2500</v>
      </c>
      <c r="K867" s="192" t="s">
        <v>63</v>
      </c>
      <c r="L867" s="192" t="s">
        <v>81</v>
      </c>
      <c r="M867" s="146" t="s">
        <v>5</v>
      </c>
      <c r="N867" s="192" t="s">
        <v>1642</v>
      </c>
      <c r="O867" s="192" t="s">
        <v>66</v>
      </c>
      <c r="P867" s="192" t="s">
        <v>67</v>
      </c>
      <c r="Q867" s="145"/>
      <c r="R867" s="145">
        <v>46126</v>
      </c>
      <c r="S867" s="192"/>
    </row>
    <row r="868" spans="1:19" ht="144" customHeight="1" x14ac:dyDescent="0.25">
      <c r="A868" s="197" t="str">
        <f t="shared" si="22"/>
        <v>INC20260414867</v>
      </c>
      <c r="B868" s="199">
        <v>46126.479166666701</v>
      </c>
      <c r="C868" s="192" t="s">
        <v>37</v>
      </c>
      <c r="D868" s="194" t="s">
        <v>49</v>
      </c>
      <c r="E868" s="192" t="s">
        <v>1073</v>
      </c>
      <c r="F868" s="192" t="s">
        <v>40</v>
      </c>
      <c r="G868" s="192" t="s">
        <v>51</v>
      </c>
      <c r="H868" s="192" t="s">
        <v>52</v>
      </c>
      <c r="I868" s="192" t="s">
        <v>53</v>
      </c>
      <c r="J868" s="195" t="s">
        <v>2501</v>
      </c>
      <c r="K868" s="192" t="s">
        <v>54</v>
      </c>
      <c r="L868" s="192" t="s">
        <v>55</v>
      </c>
      <c r="M868" s="146" t="s">
        <v>5</v>
      </c>
      <c r="N868" s="192" t="s">
        <v>1653</v>
      </c>
      <c r="O868" s="192"/>
      <c r="P868" s="192"/>
      <c r="Q868" s="145">
        <v>46134</v>
      </c>
      <c r="R868" s="145">
        <v>46128</v>
      </c>
      <c r="S868" s="192"/>
    </row>
    <row r="869" spans="1:19" ht="156" customHeight="1" x14ac:dyDescent="0.25">
      <c r="A869" s="197" t="str">
        <f t="shared" si="22"/>
        <v>INC20260410868</v>
      </c>
      <c r="B869" s="199">
        <v>46122.654166666704</v>
      </c>
      <c r="C869" s="192" t="s">
        <v>37</v>
      </c>
      <c r="D869" s="194" t="s">
        <v>49</v>
      </c>
      <c r="E869" s="192" t="s">
        <v>50</v>
      </c>
      <c r="F869" s="192" t="s">
        <v>40</v>
      </c>
      <c r="G869" s="192" t="s">
        <v>51</v>
      </c>
      <c r="H869" s="192" t="s">
        <v>92</v>
      </c>
      <c r="I869" s="192" t="s">
        <v>93</v>
      </c>
      <c r="J869" s="195" t="s">
        <v>2502</v>
      </c>
      <c r="K869" s="192" t="s">
        <v>54</v>
      </c>
      <c r="L869" s="192" t="s">
        <v>55</v>
      </c>
      <c r="M869" s="146" t="s">
        <v>5</v>
      </c>
      <c r="N869" s="192" t="s">
        <v>1637</v>
      </c>
      <c r="O869" s="192" t="s">
        <v>95</v>
      </c>
      <c r="P869" s="192" t="s">
        <v>96</v>
      </c>
      <c r="Q869" s="145">
        <v>46133</v>
      </c>
      <c r="R869" s="145">
        <v>46128</v>
      </c>
      <c r="S869" s="192"/>
    </row>
    <row r="870" spans="1:19" ht="147.6" customHeight="1" x14ac:dyDescent="0.25">
      <c r="A870" s="197" t="str">
        <f t="shared" si="22"/>
        <v>INC20260414869</v>
      </c>
      <c r="B870" s="199">
        <v>46126.714583333334</v>
      </c>
      <c r="C870" s="192" t="s">
        <v>37</v>
      </c>
      <c r="D870" s="194" t="s">
        <v>57</v>
      </c>
      <c r="E870" s="192" t="s">
        <v>58</v>
      </c>
      <c r="F870" s="192" t="s">
        <v>59</v>
      </c>
      <c r="G870" s="192" t="s">
        <v>60</v>
      </c>
      <c r="H870" s="192" t="s">
        <v>61</v>
      </c>
      <c r="I870" s="192" t="s">
        <v>62</v>
      </c>
      <c r="J870" s="121" t="s">
        <v>2503</v>
      </c>
      <c r="K870" s="192" t="s">
        <v>63</v>
      </c>
      <c r="L870" s="192" t="s">
        <v>81</v>
      </c>
      <c r="M870" s="146" t="s">
        <v>5</v>
      </c>
      <c r="N870" s="192" t="s">
        <v>1541</v>
      </c>
      <c r="O870" s="192" t="s">
        <v>66</v>
      </c>
      <c r="P870" s="192" t="s">
        <v>67</v>
      </c>
      <c r="Q870" s="145"/>
      <c r="R870" s="145">
        <v>46128</v>
      </c>
      <c r="S870" s="192"/>
    </row>
    <row r="871" spans="1:19" ht="146.4" customHeight="1" x14ac:dyDescent="0.25">
      <c r="A871" s="197" t="str">
        <f t="shared" si="22"/>
        <v>INC20260414870</v>
      </c>
      <c r="B871" s="199">
        <v>46126.782638888886</v>
      </c>
      <c r="C871" s="192" t="s">
        <v>37</v>
      </c>
      <c r="D871" s="194" t="s">
        <v>1500</v>
      </c>
      <c r="E871" s="192" t="s">
        <v>50</v>
      </c>
      <c r="F871" s="192" t="s">
        <v>40</v>
      </c>
      <c r="G871" s="192" t="s">
        <v>51</v>
      </c>
      <c r="H871" s="192" t="s">
        <v>92</v>
      </c>
      <c r="I871" s="192" t="s">
        <v>403</v>
      </c>
      <c r="J871" s="195" t="s">
        <v>2504</v>
      </c>
      <c r="K871" s="192" t="s">
        <v>54</v>
      </c>
      <c r="L871" s="192" t="s">
        <v>55</v>
      </c>
      <c r="M871" s="146" t="s">
        <v>5</v>
      </c>
      <c r="N871" s="192" t="s">
        <v>1505</v>
      </c>
      <c r="O871" s="192"/>
      <c r="P871" s="192"/>
      <c r="Q871" s="145">
        <v>46127</v>
      </c>
      <c r="R871" s="145">
        <v>46128</v>
      </c>
      <c r="S871" s="192"/>
    </row>
    <row r="872" spans="1:19" ht="133.19999999999999" customHeight="1" x14ac:dyDescent="0.25">
      <c r="A872" s="197" t="str">
        <f t="shared" si="22"/>
        <v>INC20260415871</v>
      </c>
      <c r="B872" s="199">
        <v>46127.005555555559</v>
      </c>
      <c r="C872" s="192" t="s">
        <v>37</v>
      </c>
      <c r="D872" s="194" t="s">
        <v>1501</v>
      </c>
      <c r="E872" s="192" t="s">
        <v>50</v>
      </c>
      <c r="F872" s="192" t="s">
        <v>40</v>
      </c>
      <c r="G872" s="192" t="s">
        <v>51</v>
      </c>
      <c r="H872" s="192" t="s">
        <v>42</v>
      </c>
      <c r="I872" s="192" t="s">
        <v>630</v>
      </c>
      <c r="J872" s="195" t="s">
        <v>2505</v>
      </c>
      <c r="K872" s="192" t="s">
        <v>54</v>
      </c>
      <c r="L872" s="192" t="s">
        <v>55</v>
      </c>
      <c r="M872" s="146" t="s">
        <v>5</v>
      </c>
      <c r="N872" s="192" t="s">
        <v>1502</v>
      </c>
      <c r="O872" s="192" t="s">
        <v>911</v>
      </c>
      <c r="P872" s="144" t="s">
        <v>912</v>
      </c>
      <c r="Q872" s="145">
        <v>46127</v>
      </c>
      <c r="R872" s="145">
        <v>46128</v>
      </c>
      <c r="S872" s="192"/>
    </row>
    <row r="873" spans="1:19" ht="156.6" customHeight="1" x14ac:dyDescent="0.25">
      <c r="A873" s="197" t="str">
        <f t="shared" si="22"/>
        <v>INC20260415872</v>
      </c>
      <c r="B873" s="199">
        <v>46127.241666666669</v>
      </c>
      <c r="C873" s="192" t="s">
        <v>37</v>
      </c>
      <c r="D873" s="194" t="s">
        <v>38</v>
      </c>
      <c r="E873" s="192" t="s">
        <v>39</v>
      </c>
      <c r="F873" s="192" t="s">
        <v>40</v>
      </c>
      <c r="G873" s="192" t="s">
        <v>41</v>
      </c>
      <c r="H873" s="192" t="s">
        <v>42</v>
      </c>
      <c r="I873" s="192" t="s">
        <v>43</v>
      </c>
      <c r="J873" s="195" t="s">
        <v>2506</v>
      </c>
      <c r="K873" s="192" t="s">
        <v>44</v>
      </c>
      <c r="L873" s="192" t="s">
        <v>45</v>
      </c>
      <c r="M873" s="143" t="s">
        <v>5</v>
      </c>
      <c r="N873" s="198" t="s">
        <v>1502</v>
      </c>
      <c r="O873" s="192"/>
      <c r="P873" s="144" t="s">
        <v>47</v>
      </c>
      <c r="Q873" s="145">
        <v>46127</v>
      </c>
      <c r="R873" s="145">
        <v>46128</v>
      </c>
      <c r="S873" s="192"/>
    </row>
    <row r="874" spans="1:19" ht="163.19999999999999" customHeight="1" x14ac:dyDescent="0.25">
      <c r="A874" s="197" t="str">
        <f t="shared" si="22"/>
        <v>INC20260415873</v>
      </c>
      <c r="B874" s="199">
        <v>46127.319444444445</v>
      </c>
      <c r="C874" s="192" t="s">
        <v>37</v>
      </c>
      <c r="D874" s="194" t="s">
        <v>1503</v>
      </c>
      <c r="E874" s="192" t="s">
        <v>50</v>
      </c>
      <c r="F874" s="192" t="s">
        <v>40</v>
      </c>
      <c r="G874" s="192" t="s">
        <v>51</v>
      </c>
      <c r="H874" s="192" t="s">
        <v>42</v>
      </c>
      <c r="I874" s="192" t="s">
        <v>630</v>
      </c>
      <c r="J874" s="195" t="s">
        <v>2507</v>
      </c>
      <c r="K874" s="192" t="s">
        <v>54</v>
      </c>
      <c r="L874" s="192" t="s">
        <v>55</v>
      </c>
      <c r="M874" s="146" t="s">
        <v>5</v>
      </c>
      <c r="N874" s="192" t="s">
        <v>1502</v>
      </c>
      <c r="O874" s="192" t="s">
        <v>911</v>
      </c>
      <c r="P874" s="144" t="s">
        <v>912</v>
      </c>
      <c r="Q874" s="145">
        <v>46127</v>
      </c>
      <c r="R874" s="145">
        <v>46128</v>
      </c>
      <c r="S874" s="192"/>
    </row>
    <row r="875" spans="1:19" ht="151.19999999999999" customHeight="1" x14ac:dyDescent="0.25">
      <c r="A875" s="197" t="str">
        <f t="shared" si="22"/>
        <v>INC20260415874</v>
      </c>
      <c r="B875" s="199">
        <v>46127.35</v>
      </c>
      <c r="C875" s="192" t="s">
        <v>37</v>
      </c>
      <c r="D875" s="194" t="s">
        <v>1504</v>
      </c>
      <c r="E875" s="192" t="s">
        <v>50</v>
      </c>
      <c r="F875" s="192" t="s">
        <v>40</v>
      </c>
      <c r="G875" s="192" t="s">
        <v>51</v>
      </c>
      <c r="H875" s="192" t="s">
        <v>42</v>
      </c>
      <c r="I875" s="192" t="s">
        <v>630</v>
      </c>
      <c r="J875" s="195" t="s">
        <v>2508</v>
      </c>
      <c r="K875" s="192" t="s">
        <v>54</v>
      </c>
      <c r="L875" s="192" t="s">
        <v>55</v>
      </c>
      <c r="M875" s="146" t="s">
        <v>5</v>
      </c>
      <c r="N875" s="192" t="s">
        <v>1624</v>
      </c>
      <c r="O875" s="192" t="s">
        <v>911</v>
      </c>
      <c r="P875" s="144" t="s">
        <v>912</v>
      </c>
      <c r="Q875" s="145"/>
      <c r="R875" s="145">
        <v>46128</v>
      </c>
      <c r="S875" s="192"/>
    </row>
    <row r="876" spans="1:19" ht="146.4" customHeight="1" x14ac:dyDescent="0.25">
      <c r="A876" s="197" t="str">
        <f t="shared" si="22"/>
        <v>INC20260415875</v>
      </c>
      <c r="B876" s="199">
        <v>46127.575694444444</v>
      </c>
      <c r="C876" s="192" t="s">
        <v>37</v>
      </c>
      <c r="D876" s="194" t="s">
        <v>57</v>
      </c>
      <c r="E876" s="192" t="s">
        <v>225</v>
      </c>
      <c r="F876" s="192" t="s">
        <v>59</v>
      </c>
      <c r="G876" s="192" t="s">
        <v>60</v>
      </c>
      <c r="H876" s="192" t="s">
        <v>61</v>
      </c>
      <c r="I876" s="192" t="s">
        <v>62</v>
      </c>
      <c r="J876" s="121" t="s">
        <v>2509</v>
      </c>
      <c r="K876" s="192" t="s">
        <v>63</v>
      </c>
      <c r="L876" s="146" t="s">
        <v>6</v>
      </c>
      <c r="M876" s="146" t="s">
        <v>5</v>
      </c>
      <c r="N876" s="192" t="s">
        <v>1542</v>
      </c>
      <c r="O876" s="192" t="s">
        <v>66</v>
      </c>
      <c r="P876" s="192" t="s">
        <v>67</v>
      </c>
      <c r="Q876" s="145"/>
      <c r="R876" s="145">
        <v>46128</v>
      </c>
      <c r="S876" s="192"/>
    </row>
    <row r="877" spans="1:19" ht="154.80000000000001" customHeight="1" x14ac:dyDescent="0.25">
      <c r="A877" s="197" t="str">
        <f t="shared" si="22"/>
        <v>INC20260415876</v>
      </c>
      <c r="B877" s="199">
        <v>46127.64166666667</v>
      </c>
      <c r="C877" s="192" t="s">
        <v>37</v>
      </c>
      <c r="D877" s="194" t="s">
        <v>1516</v>
      </c>
      <c r="E877" s="192" t="s">
        <v>50</v>
      </c>
      <c r="F877" s="192" t="s">
        <v>40</v>
      </c>
      <c r="G877" s="192" t="s">
        <v>51</v>
      </c>
      <c r="H877" s="192" t="s">
        <v>92</v>
      </c>
      <c r="I877" s="192" t="s">
        <v>403</v>
      </c>
      <c r="J877" s="195" t="s">
        <v>2510</v>
      </c>
      <c r="K877" s="192" t="s">
        <v>54</v>
      </c>
      <c r="L877" s="192" t="s">
        <v>55</v>
      </c>
      <c r="M877" s="146" t="s">
        <v>5</v>
      </c>
      <c r="N877" s="192" t="s">
        <v>1520</v>
      </c>
      <c r="O877" s="192"/>
      <c r="P877" s="192"/>
      <c r="Q877" s="145">
        <v>46127</v>
      </c>
      <c r="R877" s="145">
        <v>46128</v>
      </c>
      <c r="S877" s="192"/>
    </row>
    <row r="878" spans="1:19" ht="143.4" customHeight="1" x14ac:dyDescent="0.25">
      <c r="A878" s="197" t="str">
        <f t="shared" si="22"/>
        <v>INC20260415877</v>
      </c>
      <c r="B878" s="199">
        <v>46127.647916666669</v>
      </c>
      <c r="C878" s="192" t="s">
        <v>37</v>
      </c>
      <c r="D878" s="194" t="s">
        <v>57</v>
      </c>
      <c r="E878" s="192" t="s">
        <v>69</v>
      </c>
      <c r="F878" s="192" t="s">
        <v>59</v>
      </c>
      <c r="G878" s="192" t="s">
        <v>60</v>
      </c>
      <c r="H878" s="192" t="s">
        <v>61</v>
      </c>
      <c r="I878" s="192" t="s">
        <v>62</v>
      </c>
      <c r="J878" s="121" t="s">
        <v>2511</v>
      </c>
      <c r="K878" s="192" t="s">
        <v>63</v>
      </c>
      <c r="L878" s="146" t="s">
        <v>6</v>
      </c>
      <c r="M878" s="146" t="s">
        <v>5</v>
      </c>
      <c r="N878" s="192" t="s">
        <v>2689</v>
      </c>
      <c r="O878" s="192" t="s">
        <v>66</v>
      </c>
      <c r="P878" s="192" t="s">
        <v>67</v>
      </c>
      <c r="Q878" s="145"/>
      <c r="R878" s="145">
        <v>46128</v>
      </c>
      <c r="S878" s="192"/>
    </row>
    <row r="879" spans="1:19" ht="134.4" customHeight="1" x14ac:dyDescent="0.25">
      <c r="A879" s="197" t="str">
        <f t="shared" si="22"/>
        <v>INC20260415878</v>
      </c>
      <c r="B879" s="199">
        <v>46127.659722222219</v>
      </c>
      <c r="C879" s="192" t="s">
        <v>37</v>
      </c>
      <c r="D879" s="194" t="s">
        <v>57</v>
      </c>
      <c r="E879" s="192" t="s">
        <v>225</v>
      </c>
      <c r="F879" s="192" t="s">
        <v>59</v>
      </c>
      <c r="G879" s="192" t="s">
        <v>60</v>
      </c>
      <c r="H879" s="192" t="s">
        <v>61</v>
      </c>
      <c r="I879" s="192" t="s">
        <v>62</v>
      </c>
      <c r="J879" s="121" t="s">
        <v>2512</v>
      </c>
      <c r="K879" s="192" t="s">
        <v>63</v>
      </c>
      <c r="L879" s="146" t="s">
        <v>6</v>
      </c>
      <c r="M879" s="146" t="s">
        <v>5</v>
      </c>
      <c r="N879" s="192" t="s">
        <v>1542</v>
      </c>
      <c r="O879" s="192" t="s">
        <v>66</v>
      </c>
      <c r="P879" s="192" t="s">
        <v>67</v>
      </c>
      <c r="Q879" s="145"/>
      <c r="R879" s="145">
        <v>46128</v>
      </c>
      <c r="S879" s="192"/>
    </row>
    <row r="880" spans="1:19" ht="150.6" customHeight="1" x14ac:dyDescent="0.25">
      <c r="A880" s="197" t="str">
        <f t="shared" si="22"/>
        <v>INC20260415879</v>
      </c>
      <c r="B880" s="199">
        <v>46127.672222222223</v>
      </c>
      <c r="C880" s="192" t="s">
        <v>37</v>
      </c>
      <c r="D880" s="192" t="s">
        <v>286</v>
      </c>
      <c r="E880" s="192" t="s">
        <v>1518</v>
      </c>
      <c r="F880" s="192" t="s">
        <v>40</v>
      </c>
      <c r="G880" s="192" t="s">
        <v>41</v>
      </c>
      <c r="H880" s="192" t="s">
        <v>79</v>
      </c>
      <c r="I880" s="192" t="s">
        <v>287</v>
      </c>
      <c r="J880" s="195" t="s">
        <v>2513</v>
      </c>
      <c r="K880" s="192" t="s">
        <v>44</v>
      </c>
      <c r="L880" s="192" t="s">
        <v>81</v>
      </c>
      <c r="M880" s="146" t="s">
        <v>5</v>
      </c>
      <c r="N880" s="192" t="s">
        <v>1519</v>
      </c>
      <c r="O880" s="192" t="s">
        <v>86</v>
      </c>
      <c r="P880" s="192" t="s">
        <v>290</v>
      </c>
      <c r="Q880" s="145"/>
      <c r="R880" s="145">
        <v>46128</v>
      </c>
      <c r="S880" s="192"/>
    </row>
    <row r="881" spans="1:19" ht="159" customHeight="1" x14ac:dyDescent="0.25">
      <c r="A881" s="197" t="str">
        <f t="shared" si="22"/>
        <v>INC20260415880</v>
      </c>
      <c r="B881" s="199">
        <v>46127.761111111111</v>
      </c>
      <c r="C881" s="192" t="s">
        <v>37</v>
      </c>
      <c r="D881" s="194" t="s">
        <v>1521</v>
      </c>
      <c r="E881" s="192" t="s">
        <v>50</v>
      </c>
      <c r="F881" s="192" t="s">
        <v>40</v>
      </c>
      <c r="G881" s="192" t="s">
        <v>51</v>
      </c>
      <c r="H881" s="192" t="s">
        <v>42</v>
      </c>
      <c r="I881" s="192" t="s">
        <v>630</v>
      </c>
      <c r="J881" s="195" t="s">
        <v>2514</v>
      </c>
      <c r="K881" s="192" t="s">
        <v>54</v>
      </c>
      <c r="L881" s="192" t="s">
        <v>55</v>
      </c>
      <c r="M881" s="146" t="s">
        <v>5</v>
      </c>
      <c r="N881" s="192" t="s">
        <v>1543</v>
      </c>
      <c r="O881" s="192" t="s">
        <v>911</v>
      </c>
      <c r="P881" s="144" t="s">
        <v>912</v>
      </c>
      <c r="Q881" s="145"/>
      <c r="R881" s="145">
        <v>46129</v>
      </c>
      <c r="S881" s="192"/>
    </row>
    <row r="882" spans="1:19" ht="153.6" customHeight="1" x14ac:dyDescent="0.25">
      <c r="A882" s="197" t="str">
        <f t="shared" si="22"/>
        <v>INC20260415881</v>
      </c>
      <c r="B882" s="199">
        <v>46127.898611111108</v>
      </c>
      <c r="C882" s="192" t="s">
        <v>37</v>
      </c>
      <c r="D882" s="192" t="s">
        <v>286</v>
      </c>
      <c r="E882" s="192" t="s">
        <v>1518</v>
      </c>
      <c r="F882" s="192" t="s">
        <v>40</v>
      </c>
      <c r="G882" s="192" t="s">
        <v>41</v>
      </c>
      <c r="H882" s="192" t="s">
        <v>79</v>
      </c>
      <c r="I882" s="192" t="s">
        <v>287</v>
      </c>
      <c r="J882" s="195" t="s">
        <v>2515</v>
      </c>
      <c r="K882" s="192" t="s">
        <v>44</v>
      </c>
      <c r="L882" s="192" t="s">
        <v>81</v>
      </c>
      <c r="M882" s="146" t="s">
        <v>5</v>
      </c>
      <c r="N882" s="192" t="s">
        <v>1519</v>
      </c>
      <c r="O882" s="192" t="s">
        <v>86</v>
      </c>
      <c r="P882" s="192" t="s">
        <v>290</v>
      </c>
      <c r="Q882" s="145"/>
      <c r="R882" s="145">
        <v>46129</v>
      </c>
      <c r="S882" s="192"/>
    </row>
    <row r="883" spans="1:19" ht="150.6" customHeight="1" x14ac:dyDescent="0.25">
      <c r="A883" s="197" t="str">
        <f t="shared" si="22"/>
        <v>INC20260415882</v>
      </c>
      <c r="B883" s="199">
        <v>46127.938194444447</v>
      </c>
      <c r="C883" s="192" t="s">
        <v>37</v>
      </c>
      <c r="D883" s="194" t="s">
        <v>1523</v>
      </c>
      <c r="E883" s="192" t="s">
        <v>50</v>
      </c>
      <c r="F883" s="192" t="s">
        <v>40</v>
      </c>
      <c r="G883" s="192" t="s">
        <v>51</v>
      </c>
      <c r="H883" s="192" t="s">
        <v>92</v>
      </c>
      <c r="I883" s="192" t="s">
        <v>403</v>
      </c>
      <c r="J883" s="195" t="s">
        <v>2510</v>
      </c>
      <c r="K883" s="192" t="s">
        <v>54</v>
      </c>
      <c r="L883" s="192" t="s">
        <v>55</v>
      </c>
      <c r="M883" s="146" t="s">
        <v>5</v>
      </c>
      <c r="N883" s="192" t="s">
        <v>1528</v>
      </c>
      <c r="O883" s="192"/>
      <c r="P883" s="192"/>
      <c r="Q883" s="145">
        <v>46129</v>
      </c>
      <c r="R883" s="145">
        <v>46129</v>
      </c>
      <c r="S883" s="192"/>
    </row>
    <row r="884" spans="1:19" ht="166.8" customHeight="1" x14ac:dyDescent="0.25">
      <c r="A884" s="197" t="str">
        <f t="shared" si="22"/>
        <v>INC20260416883</v>
      </c>
      <c r="B884" s="199">
        <v>46128.272916666669</v>
      </c>
      <c r="C884" s="192" t="s">
        <v>37</v>
      </c>
      <c r="D884" s="194" t="s">
        <v>38</v>
      </c>
      <c r="E884" s="192" t="s">
        <v>39</v>
      </c>
      <c r="F884" s="192" t="s">
        <v>40</v>
      </c>
      <c r="G884" s="192" t="s">
        <v>41</v>
      </c>
      <c r="H884" s="192" t="s">
        <v>42</v>
      </c>
      <c r="I884" s="192" t="s">
        <v>43</v>
      </c>
      <c r="J884" s="195" t="s">
        <v>2516</v>
      </c>
      <c r="K884" s="192" t="s">
        <v>44</v>
      </c>
      <c r="L884" s="192" t="s">
        <v>45</v>
      </c>
      <c r="M884" s="143" t="s">
        <v>5</v>
      </c>
      <c r="N884" s="198" t="s">
        <v>1603</v>
      </c>
      <c r="O884" s="192"/>
      <c r="P884" s="144" t="s">
        <v>47</v>
      </c>
      <c r="Q884" s="145">
        <v>46132</v>
      </c>
      <c r="R884" s="145">
        <v>46129</v>
      </c>
      <c r="S884" s="192"/>
    </row>
    <row r="885" spans="1:19" ht="147" customHeight="1" x14ac:dyDescent="0.25">
      <c r="A885" s="197" t="str">
        <f t="shared" si="22"/>
        <v>INC20260416884</v>
      </c>
      <c r="B885" s="199">
        <v>46128.37777777778</v>
      </c>
      <c r="C885" s="192" t="s">
        <v>37</v>
      </c>
      <c r="D885" s="194" t="s">
        <v>1524</v>
      </c>
      <c r="E885" s="192" t="s">
        <v>50</v>
      </c>
      <c r="F885" s="192" t="s">
        <v>40</v>
      </c>
      <c r="G885" s="192" t="s">
        <v>51</v>
      </c>
      <c r="H885" s="192" t="s">
        <v>42</v>
      </c>
      <c r="I885" s="192" t="s">
        <v>630</v>
      </c>
      <c r="J885" s="195" t="s">
        <v>2517</v>
      </c>
      <c r="K885" s="192" t="s">
        <v>54</v>
      </c>
      <c r="L885" s="192" t="s">
        <v>55</v>
      </c>
      <c r="M885" s="146" t="s">
        <v>5</v>
      </c>
      <c r="N885" s="192" t="s">
        <v>1525</v>
      </c>
      <c r="O885" s="192" t="s">
        <v>911</v>
      </c>
      <c r="P885" s="144" t="s">
        <v>912</v>
      </c>
      <c r="Q885" s="145">
        <v>46128</v>
      </c>
      <c r="R885" s="145">
        <v>46129</v>
      </c>
      <c r="S885" s="192"/>
    </row>
    <row r="886" spans="1:19" ht="144.6" customHeight="1" x14ac:dyDescent="0.25">
      <c r="A886" s="197" t="str">
        <f t="shared" si="22"/>
        <v>INC20260416885</v>
      </c>
      <c r="B886" s="199">
        <v>46128.420138888891</v>
      </c>
      <c r="C886" s="192" t="s">
        <v>37</v>
      </c>
      <c r="D886" s="194" t="s">
        <v>1526</v>
      </c>
      <c r="E886" s="192" t="s">
        <v>50</v>
      </c>
      <c r="F886" s="192" t="s">
        <v>40</v>
      </c>
      <c r="G886" s="192" t="s">
        <v>51</v>
      </c>
      <c r="H886" s="192" t="s">
        <v>42</v>
      </c>
      <c r="I886" s="192" t="s">
        <v>630</v>
      </c>
      <c r="J886" s="195" t="s">
        <v>2518</v>
      </c>
      <c r="K886" s="192" t="s">
        <v>54</v>
      </c>
      <c r="L886" s="192" t="s">
        <v>55</v>
      </c>
      <c r="M886" s="146" t="s">
        <v>5</v>
      </c>
      <c r="N886" s="192" t="s">
        <v>1627</v>
      </c>
      <c r="O886" s="192" t="s">
        <v>911</v>
      </c>
      <c r="P886" s="144" t="s">
        <v>912</v>
      </c>
      <c r="Q886" s="145">
        <v>46133</v>
      </c>
      <c r="R886" s="145">
        <v>46129</v>
      </c>
      <c r="S886" s="192"/>
    </row>
    <row r="887" spans="1:19" ht="157.19999999999999" customHeight="1" x14ac:dyDescent="0.25">
      <c r="A887" s="197" t="str">
        <f t="shared" si="22"/>
        <v>INC20260416886</v>
      </c>
      <c r="B887" s="199">
        <v>46128.424305555556</v>
      </c>
      <c r="C887" s="192" t="s">
        <v>37</v>
      </c>
      <c r="D887" s="194" t="s">
        <v>262</v>
      </c>
      <c r="E887" s="192" t="s">
        <v>134</v>
      </c>
      <c r="F887" s="192" t="s">
        <v>59</v>
      </c>
      <c r="G887" s="192" t="s">
        <v>60</v>
      </c>
      <c r="H887" s="192" t="s">
        <v>61</v>
      </c>
      <c r="I887" s="192" t="s">
        <v>62</v>
      </c>
      <c r="J887" s="121" t="s">
        <v>2519</v>
      </c>
      <c r="K887" s="192" t="s">
        <v>63</v>
      </c>
      <c r="L887" s="146" t="s">
        <v>6</v>
      </c>
      <c r="M887" s="146" t="s">
        <v>5</v>
      </c>
      <c r="N887" s="192" t="s">
        <v>1544</v>
      </c>
      <c r="O887" s="192" t="s">
        <v>66</v>
      </c>
      <c r="P887" s="192" t="s">
        <v>67</v>
      </c>
      <c r="Q887" s="145"/>
      <c r="R887" s="145">
        <v>46129</v>
      </c>
      <c r="S887" s="192"/>
    </row>
    <row r="888" spans="1:19" ht="324.60000000000002" customHeight="1" x14ac:dyDescent="0.25">
      <c r="A888" s="197" t="str">
        <f t="shared" si="22"/>
        <v>INC20260416887</v>
      </c>
      <c r="B888" s="199">
        <v>46128.539583333331</v>
      </c>
      <c r="C888" s="192" t="s">
        <v>37</v>
      </c>
      <c r="D888" s="194" t="s">
        <v>1530</v>
      </c>
      <c r="E888" s="192" t="s">
        <v>134</v>
      </c>
      <c r="F888" s="192" t="s">
        <v>59</v>
      </c>
      <c r="G888" s="192" t="s">
        <v>60</v>
      </c>
      <c r="H888" s="192" t="s">
        <v>61</v>
      </c>
      <c r="I888" s="192" t="s">
        <v>62</v>
      </c>
      <c r="J888" s="121" t="s">
        <v>2520</v>
      </c>
      <c r="K888" s="192" t="s">
        <v>63</v>
      </c>
      <c r="L888" s="146" t="s">
        <v>6</v>
      </c>
      <c r="M888" s="146" t="s">
        <v>5</v>
      </c>
      <c r="N888" s="192" t="s">
        <v>2617</v>
      </c>
      <c r="O888" s="192" t="s">
        <v>66</v>
      </c>
      <c r="P888" s="192" t="s">
        <v>67</v>
      </c>
      <c r="Q888" s="145">
        <v>46135</v>
      </c>
      <c r="R888" s="145">
        <v>46129</v>
      </c>
      <c r="S888" s="192"/>
    </row>
    <row r="889" spans="1:19" ht="239.4" customHeight="1" x14ac:dyDescent="0.25">
      <c r="A889" s="197" t="str">
        <f t="shared" si="22"/>
        <v>INC20260408888</v>
      </c>
      <c r="B889" s="199">
        <v>46120.677083333336</v>
      </c>
      <c r="C889" s="192" t="s">
        <v>37</v>
      </c>
      <c r="D889" s="194" t="s">
        <v>57</v>
      </c>
      <c r="E889" s="192" t="s">
        <v>69</v>
      </c>
      <c r="F889" s="192" t="s">
        <v>59</v>
      </c>
      <c r="G889" s="192" t="s">
        <v>60</v>
      </c>
      <c r="H889" s="192" t="s">
        <v>61</v>
      </c>
      <c r="I889" s="192" t="s">
        <v>62</v>
      </c>
      <c r="J889" s="121" t="s">
        <v>2521</v>
      </c>
      <c r="K889" s="192" t="s">
        <v>63</v>
      </c>
      <c r="L889" s="146" t="s">
        <v>6</v>
      </c>
      <c r="M889" s="146" t="s">
        <v>5</v>
      </c>
      <c r="N889" s="192" t="s">
        <v>1643</v>
      </c>
      <c r="O889" s="192" t="s">
        <v>66</v>
      </c>
      <c r="P889" s="192" t="s">
        <v>67</v>
      </c>
      <c r="Q889" s="145">
        <v>46133</v>
      </c>
      <c r="R889" s="145">
        <v>46129</v>
      </c>
      <c r="S889" s="192"/>
    </row>
    <row r="890" spans="1:19" ht="157.19999999999999" customHeight="1" x14ac:dyDescent="0.25">
      <c r="A890" s="197" t="str">
        <f t="shared" si="22"/>
        <v>INC20260417889</v>
      </c>
      <c r="B890" s="199">
        <v>46129.352777777778</v>
      </c>
      <c r="C890" s="192" t="s">
        <v>37</v>
      </c>
      <c r="D890" s="194" t="s">
        <v>38</v>
      </c>
      <c r="E890" s="192" t="s">
        <v>39</v>
      </c>
      <c r="F890" s="192" t="s">
        <v>40</v>
      </c>
      <c r="G890" s="192" t="s">
        <v>41</v>
      </c>
      <c r="H890" s="192" t="s">
        <v>42</v>
      </c>
      <c r="I890" s="192" t="s">
        <v>43</v>
      </c>
      <c r="J890" s="195" t="s">
        <v>2522</v>
      </c>
      <c r="K890" s="192" t="s">
        <v>44</v>
      </c>
      <c r="L890" s="192" t="s">
        <v>45</v>
      </c>
      <c r="M890" s="143" t="s">
        <v>5</v>
      </c>
      <c r="N890" s="198" t="s">
        <v>1604</v>
      </c>
      <c r="O890" s="192"/>
      <c r="P890" s="144" t="s">
        <v>47</v>
      </c>
      <c r="Q890" s="145">
        <v>46132</v>
      </c>
      <c r="R890" s="145">
        <v>46129</v>
      </c>
      <c r="S890" s="192"/>
    </row>
    <row r="891" spans="1:19" ht="138.6" customHeight="1" x14ac:dyDescent="0.25">
      <c r="A891" s="197" t="str">
        <f t="shared" si="22"/>
        <v>INC20260417890</v>
      </c>
      <c r="B891" s="199">
        <v>46129.65</v>
      </c>
      <c r="C891" s="192" t="s">
        <v>37</v>
      </c>
      <c r="D891" s="194" t="s">
        <v>1533</v>
      </c>
      <c r="E891" s="192" t="s">
        <v>50</v>
      </c>
      <c r="F891" s="192" t="s">
        <v>40</v>
      </c>
      <c r="G891" s="192" t="s">
        <v>51</v>
      </c>
      <c r="H891" s="192" t="s">
        <v>92</v>
      </c>
      <c r="I891" s="192" t="s">
        <v>403</v>
      </c>
      <c r="J891" s="195" t="s">
        <v>2523</v>
      </c>
      <c r="K891" s="192" t="s">
        <v>54</v>
      </c>
      <c r="L891" s="192" t="s">
        <v>55</v>
      </c>
      <c r="M891" s="146" t="s">
        <v>5</v>
      </c>
      <c r="N891" s="192" t="s">
        <v>1534</v>
      </c>
      <c r="O891" s="192"/>
      <c r="P891" s="192"/>
      <c r="Q891" s="145">
        <v>46129</v>
      </c>
      <c r="R891" s="145">
        <v>46129</v>
      </c>
      <c r="S891" s="192"/>
    </row>
    <row r="892" spans="1:19" ht="136.80000000000001" customHeight="1" x14ac:dyDescent="0.25">
      <c r="A892" s="197" t="str">
        <f t="shared" si="22"/>
        <v>INC20260417891</v>
      </c>
      <c r="B892" s="199">
        <v>46129.655555555553</v>
      </c>
      <c r="C892" s="192" t="s">
        <v>37</v>
      </c>
      <c r="D892" s="194" t="s">
        <v>1535</v>
      </c>
      <c r="E892" s="192" t="s">
        <v>50</v>
      </c>
      <c r="F892" s="192" t="s">
        <v>40</v>
      </c>
      <c r="G892" s="192" t="s">
        <v>51</v>
      </c>
      <c r="H892" s="192" t="s">
        <v>42</v>
      </c>
      <c r="I892" s="192" t="s">
        <v>630</v>
      </c>
      <c r="J892" s="195" t="s">
        <v>2524</v>
      </c>
      <c r="K892" s="192" t="s">
        <v>54</v>
      </c>
      <c r="L892" s="192" t="s">
        <v>55</v>
      </c>
      <c r="M892" s="146" t="s">
        <v>5</v>
      </c>
      <c r="N892" s="192" t="s">
        <v>1545</v>
      </c>
      <c r="O892" s="192" t="s">
        <v>911</v>
      </c>
      <c r="P892" s="144" t="s">
        <v>912</v>
      </c>
      <c r="Q892" s="145">
        <v>46129</v>
      </c>
      <c r="R892" s="145">
        <v>46129</v>
      </c>
      <c r="S892" s="192"/>
    </row>
    <row r="893" spans="1:19" ht="130.19999999999999" customHeight="1" x14ac:dyDescent="0.25">
      <c r="A893" s="197" t="str">
        <f t="shared" si="22"/>
        <v>INC20260417892</v>
      </c>
      <c r="B893" s="199">
        <v>46129.806250000001</v>
      </c>
      <c r="C893" s="192" t="s">
        <v>37</v>
      </c>
      <c r="D893" s="194" t="s">
        <v>1546</v>
      </c>
      <c r="E893" s="192" t="s">
        <v>50</v>
      </c>
      <c r="F893" s="192" t="s">
        <v>40</v>
      </c>
      <c r="G893" s="192" t="s">
        <v>51</v>
      </c>
      <c r="H893" s="192" t="s">
        <v>42</v>
      </c>
      <c r="I893" s="192" t="s">
        <v>630</v>
      </c>
      <c r="J893" s="195" t="s">
        <v>2525</v>
      </c>
      <c r="K893" s="192" t="s">
        <v>54</v>
      </c>
      <c r="L893" s="192" t="s">
        <v>55</v>
      </c>
      <c r="M893" s="146" t="s">
        <v>5</v>
      </c>
      <c r="N893" s="192" t="s">
        <v>1547</v>
      </c>
      <c r="O893" s="192" t="s">
        <v>911</v>
      </c>
      <c r="P893" s="144" t="s">
        <v>912</v>
      </c>
      <c r="Q893" s="145">
        <v>46129</v>
      </c>
      <c r="R893" s="145">
        <v>46132</v>
      </c>
      <c r="S893" s="192"/>
    </row>
    <row r="894" spans="1:19" ht="134.4" customHeight="1" x14ac:dyDescent="0.25">
      <c r="A894" s="197" t="str">
        <f t="shared" si="22"/>
        <v>INC20260418893</v>
      </c>
      <c r="B894" s="199">
        <v>46130.302777777775</v>
      </c>
      <c r="C894" s="192" t="s">
        <v>37</v>
      </c>
      <c r="D894" s="194" t="s">
        <v>1548</v>
      </c>
      <c r="E894" s="192" t="s">
        <v>50</v>
      </c>
      <c r="F894" s="192" t="s">
        <v>40</v>
      </c>
      <c r="G894" s="192" t="s">
        <v>51</v>
      </c>
      <c r="H894" s="192" t="s">
        <v>42</v>
      </c>
      <c r="I894" s="192" t="s">
        <v>630</v>
      </c>
      <c r="J894" s="195" t="s">
        <v>2613</v>
      </c>
      <c r="K894" s="192" t="s">
        <v>54</v>
      </c>
      <c r="L894" s="192" t="s">
        <v>55</v>
      </c>
      <c r="M894" s="146" t="s">
        <v>5</v>
      </c>
      <c r="N894" s="192" t="s">
        <v>2696</v>
      </c>
      <c r="O894" s="192" t="s">
        <v>911</v>
      </c>
      <c r="P894" s="144" t="s">
        <v>912</v>
      </c>
      <c r="Q894" s="145">
        <v>46137</v>
      </c>
      <c r="R894" s="145">
        <v>46132</v>
      </c>
      <c r="S894" s="192"/>
    </row>
    <row r="895" spans="1:19" ht="121.8" customHeight="1" x14ac:dyDescent="0.25">
      <c r="A895" s="197" t="str">
        <f t="shared" si="22"/>
        <v>INC20260418894</v>
      </c>
      <c r="B895" s="199">
        <v>46130.3125</v>
      </c>
      <c r="C895" s="192" t="s">
        <v>37</v>
      </c>
      <c r="D895" s="194" t="s">
        <v>1549</v>
      </c>
      <c r="E895" s="192" t="s">
        <v>50</v>
      </c>
      <c r="F895" s="192" t="s">
        <v>40</v>
      </c>
      <c r="G895" s="192" t="s">
        <v>51</v>
      </c>
      <c r="H895" s="192" t="s">
        <v>42</v>
      </c>
      <c r="I895" s="192" t="s">
        <v>630</v>
      </c>
      <c r="J895" s="195" t="s">
        <v>2526</v>
      </c>
      <c r="K895" s="192" t="s">
        <v>54</v>
      </c>
      <c r="L895" s="192" t="s">
        <v>55</v>
      </c>
      <c r="M895" s="146" t="s">
        <v>5</v>
      </c>
      <c r="N895" s="192" t="s">
        <v>1551</v>
      </c>
      <c r="O895" s="192" t="s">
        <v>911</v>
      </c>
      <c r="P895" s="144" t="s">
        <v>912</v>
      </c>
      <c r="Q895" s="145">
        <v>46130</v>
      </c>
      <c r="R895" s="145">
        <v>46132</v>
      </c>
      <c r="S895" s="192"/>
    </row>
    <row r="896" spans="1:19" ht="130.19999999999999" customHeight="1" x14ac:dyDescent="0.25">
      <c r="A896" s="197" t="str">
        <f t="shared" si="22"/>
        <v>INC20260418895</v>
      </c>
      <c r="B896" s="199">
        <v>46130.582638888889</v>
      </c>
      <c r="C896" s="192" t="s">
        <v>37</v>
      </c>
      <c r="D896" s="194" t="s">
        <v>1550</v>
      </c>
      <c r="E896" s="192" t="s">
        <v>50</v>
      </c>
      <c r="F896" s="192" t="s">
        <v>40</v>
      </c>
      <c r="G896" s="192" t="s">
        <v>51</v>
      </c>
      <c r="H896" s="192" t="s">
        <v>42</v>
      </c>
      <c r="I896" s="192" t="s">
        <v>630</v>
      </c>
      <c r="J896" s="195" t="s">
        <v>2527</v>
      </c>
      <c r="K896" s="192" t="s">
        <v>54</v>
      </c>
      <c r="L896" s="192" t="s">
        <v>55</v>
      </c>
      <c r="M896" s="146" t="s">
        <v>5</v>
      </c>
      <c r="N896" s="192" t="s">
        <v>1625</v>
      </c>
      <c r="O896" s="192" t="s">
        <v>911</v>
      </c>
      <c r="P896" s="144" t="s">
        <v>912</v>
      </c>
      <c r="Q896" s="145"/>
      <c r="R896" s="145">
        <v>46132</v>
      </c>
      <c r="S896" s="192"/>
    </row>
    <row r="897" spans="1:19" ht="118.8" customHeight="1" x14ac:dyDescent="0.25">
      <c r="A897" s="197" t="str">
        <f t="shared" si="22"/>
        <v>INC20260418896</v>
      </c>
      <c r="B897" s="199">
        <v>46130.638888888891</v>
      </c>
      <c r="C897" s="192" t="s">
        <v>37</v>
      </c>
      <c r="D897" s="174" t="s">
        <v>1628</v>
      </c>
      <c r="E897" s="192" t="s">
        <v>50</v>
      </c>
      <c r="F897" s="192" t="s">
        <v>40</v>
      </c>
      <c r="G897" s="192" t="s">
        <v>51</v>
      </c>
      <c r="H897" s="192" t="s">
        <v>42</v>
      </c>
      <c r="I897" s="192" t="s">
        <v>630</v>
      </c>
      <c r="J897" s="195" t="s">
        <v>2528</v>
      </c>
      <c r="K897" s="192" t="s">
        <v>54</v>
      </c>
      <c r="L897" s="192" t="s">
        <v>55</v>
      </c>
      <c r="M897" s="146" t="s">
        <v>5</v>
      </c>
      <c r="N897" s="192" t="s">
        <v>1629</v>
      </c>
      <c r="O897" s="192" t="s">
        <v>911</v>
      </c>
      <c r="P897" s="144" t="s">
        <v>912</v>
      </c>
      <c r="Q897" s="145">
        <v>46133</v>
      </c>
      <c r="R897" s="145">
        <v>46132</v>
      </c>
      <c r="S897" s="192"/>
    </row>
    <row r="898" spans="1:19" ht="127.2" customHeight="1" x14ac:dyDescent="0.25">
      <c r="A898" s="197" t="str">
        <f t="shared" si="22"/>
        <v>INC20260418897</v>
      </c>
      <c r="B898" s="199">
        <v>46130.857638888891</v>
      </c>
      <c r="C898" s="192" t="s">
        <v>37</v>
      </c>
      <c r="D898" s="194" t="s">
        <v>1552</v>
      </c>
      <c r="E898" s="192" t="s">
        <v>50</v>
      </c>
      <c r="F898" s="192" t="s">
        <v>40</v>
      </c>
      <c r="G898" s="192" t="s">
        <v>51</v>
      </c>
      <c r="H898" s="192" t="s">
        <v>42</v>
      </c>
      <c r="I898" s="192" t="s">
        <v>630</v>
      </c>
      <c r="J898" s="195" t="s">
        <v>2529</v>
      </c>
      <c r="K898" s="192" t="s">
        <v>54</v>
      </c>
      <c r="L898" s="192" t="s">
        <v>55</v>
      </c>
      <c r="M898" s="146" t="s">
        <v>5</v>
      </c>
      <c r="N898" s="192" t="s">
        <v>1553</v>
      </c>
      <c r="O898" s="192" t="s">
        <v>911</v>
      </c>
      <c r="P898" s="144" t="s">
        <v>912</v>
      </c>
      <c r="Q898" s="145">
        <v>46130</v>
      </c>
      <c r="R898" s="145">
        <v>46132</v>
      </c>
      <c r="S898" s="192"/>
    </row>
    <row r="899" spans="1:19" ht="120" customHeight="1" x14ac:dyDescent="0.25">
      <c r="A899" s="197" t="str">
        <f t="shared" si="22"/>
        <v>INC20260419898</v>
      </c>
      <c r="B899" s="199">
        <v>46131.567361111112</v>
      </c>
      <c r="C899" s="192" t="s">
        <v>37</v>
      </c>
      <c r="D899" s="194" t="s">
        <v>1554</v>
      </c>
      <c r="E899" s="192" t="s">
        <v>50</v>
      </c>
      <c r="F899" s="192" t="s">
        <v>40</v>
      </c>
      <c r="G899" s="192" t="s">
        <v>51</v>
      </c>
      <c r="H899" s="192" t="s">
        <v>42</v>
      </c>
      <c r="I899" s="192" t="s">
        <v>630</v>
      </c>
      <c r="J899" s="195" t="s">
        <v>2529</v>
      </c>
      <c r="K899" s="192" t="s">
        <v>54</v>
      </c>
      <c r="L899" s="192" t="s">
        <v>55</v>
      </c>
      <c r="M899" s="146" t="s">
        <v>5</v>
      </c>
      <c r="N899" s="192" t="s">
        <v>1556</v>
      </c>
      <c r="O899" s="192" t="s">
        <v>911</v>
      </c>
      <c r="P899" s="144" t="s">
        <v>912</v>
      </c>
      <c r="Q899" s="145">
        <v>46131</v>
      </c>
      <c r="R899" s="145">
        <v>46132</v>
      </c>
      <c r="S899" s="192"/>
    </row>
    <row r="900" spans="1:19" ht="114.6" customHeight="1" x14ac:dyDescent="0.25">
      <c r="A900" s="197" t="str">
        <f t="shared" si="22"/>
        <v>INC20260419899</v>
      </c>
      <c r="B900" s="199">
        <v>46131.695138888892</v>
      </c>
      <c r="C900" s="192" t="s">
        <v>37</v>
      </c>
      <c r="D900" s="194" t="s">
        <v>1555</v>
      </c>
      <c r="E900" s="192" t="s">
        <v>50</v>
      </c>
      <c r="F900" s="192" t="s">
        <v>40</v>
      </c>
      <c r="G900" s="192" t="s">
        <v>51</v>
      </c>
      <c r="H900" s="192" t="s">
        <v>42</v>
      </c>
      <c r="I900" s="192" t="s">
        <v>630</v>
      </c>
      <c r="J900" s="195" t="s">
        <v>2530</v>
      </c>
      <c r="K900" s="192" t="s">
        <v>54</v>
      </c>
      <c r="L900" s="192" t="s">
        <v>55</v>
      </c>
      <c r="M900" s="146" t="s">
        <v>5</v>
      </c>
      <c r="N900" s="192" t="s">
        <v>1651</v>
      </c>
      <c r="O900" s="192" t="s">
        <v>911</v>
      </c>
      <c r="P900" s="144" t="s">
        <v>912</v>
      </c>
      <c r="Q900" s="145">
        <v>46134</v>
      </c>
      <c r="R900" s="145">
        <v>46132</v>
      </c>
      <c r="S900" s="192"/>
    </row>
    <row r="901" spans="1:19" ht="126.6" customHeight="1" x14ac:dyDescent="0.25">
      <c r="A901" s="197" t="str">
        <f t="shared" si="22"/>
        <v>INC20260419900</v>
      </c>
      <c r="B901" s="199">
        <v>46131.798611111109</v>
      </c>
      <c r="C901" s="192" t="s">
        <v>37</v>
      </c>
      <c r="D901" s="194" t="s">
        <v>1557</v>
      </c>
      <c r="E901" s="192" t="s">
        <v>50</v>
      </c>
      <c r="F901" s="192" t="s">
        <v>40</v>
      </c>
      <c r="G901" s="192" t="s">
        <v>51</v>
      </c>
      <c r="H901" s="192" t="s">
        <v>42</v>
      </c>
      <c r="I901" s="192" t="s">
        <v>630</v>
      </c>
      <c r="J901" s="195" t="s">
        <v>2531</v>
      </c>
      <c r="K901" s="192" t="s">
        <v>54</v>
      </c>
      <c r="L901" s="192" t="s">
        <v>55</v>
      </c>
      <c r="M901" s="146" t="s">
        <v>5</v>
      </c>
      <c r="N901" s="192" t="s">
        <v>1626</v>
      </c>
      <c r="O901" s="192" t="s">
        <v>911</v>
      </c>
      <c r="P901" s="144" t="s">
        <v>912</v>
      </c>
      <c r="Q901" s="145"/>
      <c r="R901" s="145">
        <v>46132</v>
      </c>
      <c r="S901" s="192"/>
    </row>
    <row r="902" spans="1:19" ht="128.4" customHeight="1" x14ac:dyDescent="0.25">
      <c r="A902" s="197" t="str">
        <f t="shared" si="22"/>
        <v>INC20260420901</v>
      </c>
      <c r="B902" s="199">
        <v>46132.063888888886</v>
      </c>
      <c r="C902" s="192" t="s">
        <v>37</v>
      </c>
      <c r="D902" s="194" t="s">
        <v>1558</v>
      </c>
      <c r="E902" s="192" t="s">
        <v>50</v>
      </c>
      <c r="F902" s="192" t="s">
        <v>40</v>
      </c>
      <c r="G902" s="192" t="s">
        <v>51</v>
      </c>
      <c r="H902" s="192" t="s">
        <v>42</v>
      </c>
      <c r="I902" s="192" t="s">
        <v>630</v>
      </c>
      <c r="J902" s="195" t="s">
        <v>2532</v>
      </c>
      <c r="K902" s="192" t="s">
        <v>54</v>
      </c>
      <c r="L902" s="192" t="s">
        <v>55</v>
      </c>
      <c r="M902" s="146" t="s">
        <v>5</v>
      </c>
      <c r="N902" s="192" t="s">
        <v>1559</v>
      </c>
      <c r="O902" s="192" t="s">
        <v>911</v>
      </c>
      <c r="P902" s="144" t="s">
        <v>912</v>
      </c>
      <c r="Q902" s="145">
        <v>46132</v>
      </c>
      <c r="R902" s="145">
        <v>46132</v>
      </c>
      <c r="S902" s="192"/>
    </row>
    <row r="903" spans="1:19" ht="143.4" customHeight="1" x14ac:dyDescent="0.25">
      <c r="A903" s="197" t="str">
        <f t="shared" si="22"/>
        <v>INC20260420902</v>
      </c>
      <c r="B903" s="199">
        <v>46132.351388888892</v>
      </c>
      <c r="C903" s="192" t="s">
        <v>37</v>
      </c>
      <c r="D903" s="194" t="s">
        <v>38</v>
      </c>
      <c r="E903" s="192" t="s">
        <v>39</v>
      </c>
      <c r="F903" s="192" t="s">
        <v>40</v>
      </c>
      <c r="G903" s="192" t="s">
        <v>41</v>
      </c>
      <c r="H903" s="192" t="s">
        <v>42</v>
      </c>
      <c r="I903" s="192" t="s">
        <v>43</v>
      </c>
      <c r="J903" s="195" t="s">
        <v>2533</v>
      </c>
      <c r="K903" s="192" t="s">
        <v>44</v>
      </c>
      <c r="L903" s="192" t="s">
        <v>45</v>
      </c>
      <c r="M903" s="143" t="s">
        <v>5</v>
      </c>
      <c r="N903" s="198" t="s">
        <v>1606</v>
      </c>
      <c r="O903" s="192"/>
      <c r="P903" s="144" t="s">
        <v>47</v>
      </c>
      <c r="Q903" s="145"/>
      <c r="R903" s="145">
        <v>46132</v>
      </c>
      <c r="S903" s="192"/>
    </row>
    <row r="904" spans="1:19" ht="115.8" customHeight="1" x14ac:dyDescent="0.25">
      <c r="A904" s="197" t="str">
        <f t="shared" si="22"/>
        <v>INC20260420903</v>
      </c>
      <c r="B904" s="199">
        <v>46132.362500000003</v>
      </c>
      <c r="C904" s="192" t="s">
        <v>37</v>
      </c>
      <c r="D904" s="194" t="s">
        <v>1560</v>
      </c>
      <c r="E904" s="192" t="s">
        <v>50</v>
      </c>
      <c r="F904" s="192" t="s">
        <v>40</v>
      </c>
      <c r="G904" s="192" t="s">
        <v>51</v>
      </c>
      <c r="H904" s="192" t="s">
        <v>42</v>
      </c>
      <c r="I904" s="192" t="s">
        <v>630</v>
      </c>
      <c r="J904" s="195" t="s">
        <v>2534</v>
      </c>
      <c r="K904" s="192" t="s">
        <v>54</v>
      </c>
      <c r="L904" s="192" t="s">
        <v>55</v>
      </c>
      <c r="M904" s="146" t="s">
        <v>5</v>
      </c>
      <c r="N904" s="192" t="s">
        <v>1596</v>
      </c>
      <c r="O904" s="192" t="s">
        <v>911</v>
      </c>
      <c r="P904" s="144" t="s">
        <v>912</v>
      </c>
      <c r="Q904" s="145">
        <v>46132</v>
      </c>
      <c r="R904" s="145">
        <v>46132</v>
      </c>
      <c r="S904" s="192"/>
    </row>
    <row r="905" spans="1:19" ht="123" customHeight="1" x14ac:dyDescent="0.25">
      <c r="A905" s="197" t="str">
        <f t="shared" si="22"/>
        <v>INC20260416904</v>
      </c>
      <c r="B905" s="199">
        <v>46128.628472222219</v>
      </c>
      <c r="C905" s="192" t="s">
        <v>37</v>
      </c>
      <c r="D905" s="157" t="s">
        <v>129</v>
      </c>
      <c r="E905" s="192" t="s">
        <v>50</v>
      </c>
      <c r="F905" s="192" t="s">
        <v>40</v>
      </c>
      <c r="G905" s="192" t="s">
        <v>51</v>
      </c>
      <c r="H905" s="192" t="s">
        <v>52</v>
      </c>
      <c r="I905" s="192" t="s">
        <v>53</v>
      </c>
      <c r="J905" s="195" t="s">
        <v>2535</v>
      </c>
      <c r="K905" s="192" t="s">
        <v>54</v>
      </c>
      <c r="L905" s="192" t="s">
        <v>55</v>
      </c>
      <c r="M905" s="146" t="s">
        <v>5</v>
      </c>
      <c r="N905" s="192" t="s">
        <v>1638</v>
      </c>
      <c r="O905" s="192" t="s">
        <v>95</v>
      </c>
      <c r="P905" s="192" t="s">
        <v>96</v>
      </c>
      <c r="Q905" s="145"/>
      <c r="R905" s="145">
        <v>46132</v>
      </c>
      <c r="S905" s="192"/>
    </row>
    <row r="906" spans="1:19" ht="138.6" customHeight="1" x14ac:dyDescent="0.25">
      <c r="A906" s="197" t="str">
        <f t="shared" si="22"/>
        <v>INC20260416905</v>
      </c>
      <c r="B906" s="199">
        <v>46128.685416666667</v>
      </c>
      <c r="C906" s="192" t="s">
        <v>37</v>
      </c>
      <c r="D906" s="194" t="s">
        <v>49</v>
      </c>
      <c r="E906" s="192" t="s">
        <v>50</v>
      </c>
      <c r="F906" s="192" t="s">
        <v>40</v>
      </c>
      <c r="G906" s="192" t="s">
        <v>51</v>
      </c>
      <c r="H906" s="192" t="s">
        <v>92</v>
      </c>
      <c r="I906" s="192" t="s">
        <v>93</v>
      </c>
      <c r="J906" s="195" t="s">
        <v>2536</v>
      </c>
      <c r="K906" s="192" t="s">
        <v>54</v>
      </c>
      <c r="L906" s="192" t="s">
        <v>55</v>
      </c>
      <c r="M906" s="146" t="s">
        <v>5</v>
      </c>
      <c r="N906" s="192" t="s">
        <v>1654</v>
      </c>
      <c r="O906" s="192" t="s">
        <v>95</v>
      </c>
      <c r="P906" s="192" t="s">
        <v>96</v>
      </c>
      <c r="Q906" s="145">
        <v>46134</v>
      </c>
      <c r="R906" s="145">
        <v>46132</v>
      </c>
      <c r="S906" s="192"/>
    </row>
    <row r="907" spans="1:19" ht="139.19999999999999" customHeight="1" x14ac:dyDescent="0.25">
      <c r="A907" s="197" t="str">
        <f t="shared" si="22"/>
        <v>INC20260413906</v>
      </c>
      <c r="B907" s="122">
        <v>46125.592361111114</v>
      </c>
      <c r="C907" s="192" t="s">
        <v>77</v>
      </c>
      <c r="D907" s="194" t="s">
        <v>78</v>
      </c>
      <c r="E907" s="194" t="s">
        <v>134</v>
      </c>
      <c r="F907" s="192" t="s">
        <v>40</v>
      </c>
      <c r="G907" s="192" t="s">
        <v>60</v>
      </c>
      <c r="H907" s="192" t="s">
        <v>79</v>
      </c>
      <c r="I907" s="192" t="s">
        <v>84</v>
      </c>
      <c r="J907" s="121" t="s">
        <v>2537</v>
      </c>
      <c r="K907" s="192" t="s">
        <v>135</v>
      </c>
      <c r="L907" s="192" t="s">
        <v>81</v>
      </c>
      <c r="M907" s="146" t="s">
        <v>5</v>
      </c>
      <c r="N907" s="192" t="s">
        <v>1561</v>
      </c>
      <c r="O907" s="192" t="s">
        <v>86</v>
      </c>
      <c r="P907" s="192" t="s">
        <v>87</v>
      </c>
      <c r="Q907" s="145">
        <v>46125</v>
      </c>
      <c r="R907" s="145">
        <v>46132</v>
      </c>
      <c r="S907" s="192"/>
    </row>
    <row r="908" spans="1:19" ht="136.19999999999999" customHeight="1" x14ac:dyDescent="0.25">
      <c r="A908" s="197" t="str">
        <f t="shared" si="22"/>
        <v>INC20260413907</v>
      </c>
      <c r="B908" s="193">
        <v>46125.620138888888</v>
      </c>
      <c r="C908" s="192" t="s">
        <v>77</v>
      </c>
      <c r="D908" s="194" t="s">
        <v>78</v>
      </c>
      <c r="E908" s="194" t="s">
        <v>876</v>
      </c>
      <c r="F908" s="192" t="s">
        <v>40</v>
      </c>
      <c r="G908" s="192" t="s">
        <v>41</v>
      </c>
      <c r="H908" s="192" t="s">
        <v>79</v>
      </c>
      <c r="I908" s="192" t="s">
        <v>84</v>
      </c>
      <c r="J908" s="121" t="s">
        <v>2538</v>
      </c>
      <c r="K908" s="192" t="s">
        <v>135</v>
      </c>
      <c r="L908" s="192" t="s">
        <v>81</v>
      </c>
      <c r="M908" s="146" t="s">
        <v>5</v>
      </c>
      <c r="N908" s="192" t="s">
        <v>1562</v>
      </c>
      <c r="O908" s="192" t="s">
        <v>86</v>
      </c>
      <c r="P908" s="192" t="s">
        <v>87</v>
      </c>
      <c r="Q908" s="145">
        <v>46122</v>
      </c>
      <c r="R908" s="145">
        <v>46132</v>
      </c>
      <c r="S908" s="192"/>
    </row>
    <row r="909" spans="1:19" ht="106.2" customHeight="1" x14ac:dyDescent="0.25">
      <c r="A909" s="197" t="str">
        <f t="shared" si="22"/>
        <v>INC20260411908</v>
      </c>
      <c r="B909" s="201">
        <v>46123.421527777777</v>
      </c>
      <c r="C909" s="192" t="s">
        <v>77</v>
      </c>
      <c r="D909" s="194" t="s">
        <v>78</v>
      </c>
      <c r="E909" s="192" t="s">
        <v>486</v>
      </c>
      <c r="F909" s="192" t="s">
        <v>40</v>
      </c>
      <c r="G909" s="192" t="s">
        <v>41</v>
      </c>
      <c r="H909" s="192" t="s">
        <v>79</v>
      </c>
      <c r="I909" s="192" t="s">
        <v>80</v>
      </c>
      <c r="J909" s="121" t="s">
        <v>2539</v>
      </c>
      <c r="K909" s="192" t="s">
        <v>44</v>
      </c>
      <c r="L909" s="192" t="s">
        <v>81</v>
      </c>
      <c r="M909" s="146" t="s">
        <v>5</v>
      </c>
      <c r="N909" s="192" t="s">
        <v>1563</v>
      </c>
      <c r="O909" s="192" t="s">
        <v>325</v>
      </c>
      <c r="P909" s="197" t="s">
        <v>874</v>
      </c>
      <c r="Q909" s="145">
        <v>46123</v>
      </c>
      <c r="R909" s="145">
        <v>46132</v>
      </c>
      <c r="S909" s="192"/>
    </row>
    <row r="910" spans="1:19" ht="110.4" customHeight="1" x14ac:dyDescent="0.25">
      <c r="A910" s="197" t="str">
        <f t="shared" si="22"/>
        <v>INC20260411909</v>
      </c>
      <c r="B910" s="201">
        <v>46123.404166666667</v>
      </c>
      <c r="C910" s="192" t="s">
        <v>77</v>
      </c>
      <c r="D910" s="194" t="s">
        <v>78</v>
      </c>
      <c r="E910" s="192" t="s">
        <v>121</v>
      </c>
      <c r="F910" s="192" t="s">
        <v>40</v>
      </c>
      <c r="G910" s="192" t="s">
        <v>60</v>
      </c>
      <c r="H910" s="192" t="s">
        <v>79</v>
      </c>
      <c r="I910" s="192" t="s">
        <v>80</v>
      </c>
      <c r="J910" s="121" t="s">
        <v>2540</v>
      </c>
      <c r="K910" s="192" t="s">
        <v>63</v>
      </c>
      <c r="L910" s="192" t="s">
        <v>81</v>
      </c>
      <c r="M910" s="146" t="s">
        <v>5</v>
      </c>
      <c r="N910" s="192" t="s">
        <v>1564</v>
      </c>
      <c r="O910" s="197" t="s">
        <v>83</v>
      </c>
      <c r="P910" s="197" t="s">
        <v>1366</v>
      </c>
      <c r="Q910" s="158">
        <v>46123</v>
      </c>
      <c r="R910" s="145">
        <v>46132</v>
      </c>
      <c r="S910" s="192"/>
    </row>
    <row r="911" spans="1:19" ht="123" customHeight="1" x14ac:dyDescent="0.25">
      <c r="A911" s="197" t="str">
        <f t="shared" si="22"/>
        <v>INC20260413910</v>
      </c>
      <c r="B911" s="201">
        <v>46125.699305555558</v>
      </c>
      <c r="C911" s="192" t="s">
        <v>77</v>
      </c>
      <c r="D911" s="194" t="s">
        <v>78</v>
      </c>
      <c r="E911" s="194" t="s">
        <v>58</v>
      </c>
      <c r="F911" s="192" t="s">
        <v>40</v>
      </c>
      <c r="G911" s="192" t="s">
        <v>60</v>
      </c>
      <c r="H911" s="192" t="s">
        <v>79</v>
      </c>
      <c r="I911" s="192" t="s">
        <v>84</v>
      </c>
      <c r="J911" s="121" t="s">
        <v>2541</v>
      </c>
      <c r="K911" s="192" t="s">
        <v>63</v>
      </c>
      <c r="L911" s="192" t="s">
        <v>81</v>
      </c>
      <c r="M911" s="146" t="s">
        <v>5</v>
      </c>
      <c r="N911" s="192" t="s">
        <v>1565</v>
      </c>
      <c r="O911" s="192" t="s">
        <v>86</v>
      </c>
      <c r="P911" s="192" t="s">
        <v>87</v>
      </c>
      <c r="Q911" s="145">
        <v>46126</v>
      </c>
      <c r="R911" s="145">
        <v>46132</v>
      </c>
      <c r="S911" s="192"/>
    </row>
    <row r="912" spans="1:19" ht="120" customHeight="1" x14ac:dyDescent="0.25">
      <c r="A912" s="197" t="str">
        <f t="shared" si="22"/>
        <v>INC20260413911</v>
      </c>
      <c r="B912" s="201">
        <v>46125.699305555558</v>
      </c>
      <c r="C912" s="192" t="s">
        <v>77</v>
      </c>
      <c r="D912" s="194" t="s">
        <v>78</v>
      </c>
      <c r="E912" s="194" t="s">
        <v>58</v>
      </c>
      <c r="F912" s="192" t="s">
        <v>40</v>
      </c>
      <c r="G912" s="192" t="s">
        <v>60</v>
      </c>
      <c r="H912" s="192" t="s">
        <v>79</v>
      </c>
      <c r="I912" s="192" t="s">
        <v>84</v>
      </c>
      <c r="J912" s="121" t="s">
        <v>2542</v>
      </c>
      <c r="K912" s="192" t="s">
        <v>63</v>
      </c>
      <c r="L912" s="192" t="s">
        <v>81</v>
      </c>
      <c r="M912" s="146" t="s">
        <v>5</v>
      </c>
      <c r="N912" s="192" t="s">
        <v>1566</v>
      </c>
      <c r="O912" s="192" t="s">
        <v>86</v>
      </c>
      <c r="P912" s="192" t="s">
        <v>87</v>
      </c>
      <c r="Q912" s="145">
        <v>46125</v>
      </c>
      <c r="R912" s="145">
        <v>46132</v>
      </c>
      <c r="S912" s="192"/>
    </row>
    <row r="913" spans="1:19" ht="114" customHeight="1" x14ac:dyDescent="0.25">
      <c r="A913" s="197" t="str">
        <f t="shared" si="22"/>
        <v>INC20260413912</v>
      </c>
      <c r="B913" s="201">
        <v>46125.790972222225</v>
      </c>
      <c r="C913" s="192" t="s">
        <v>77</v>
      </c>
      <c r="D913" s="194" t="s">
        <v>78</v>
      </c>
      <c r="E913" s="192" t="s">
        <v>486</v>
      </c>
      <c r="F913" s="192" t="s">
        <v>40</v>
      </c>
      <c r="G913" s="192" t="s">
        <v>41</v>
      </c>
      <c r="H913" s="192" t="s">
        <v>79</v>
      </c>
      <c r="I913" s="192" t="s">
        <v>80</v>
      </c>
      <c r="J913" s="121" t="s">
        <v>1567</v>
      </c>
      <c r="K913" s="192" t="s">
        <v>44</v>
      </c>
      <c r="L913" s="192" t="s">
        <v>81</v>
      </c>
      <c r="M913" s="146" t="s">
        <v>5</v>
      </c>
      <c r="N913" s="192" t="s">
        <v>1568</v>
      </c>
      <c r="O913" s="192" t="s">
        <v>325</v>
      </c>
      <c r="P913" s="197" t="s">
        <v>874</v>
      </c>
      <c r="Q913" s="145">
        <v>46125</v>
      </c>
      <c r="R913" s="145">
        <v>46132</v>
      </c>
      <c r="S913" s="192"/>
    </row>
    <row r="914" spans="1:19" ht="116.4" customHeight="1" x14ac:dyDescent="0.25">
      <c r="A914" s="197" t="str">
        <f t="shared" si="22"/>
        <v>INC20260413913</v>
      </c>
      <c r="B914" s="201">
        <v>46125.845833333333</v>
      </c>
      <c r="C914" s="192" t="s">
        <v>77</v>
      </c>
      <c r="D914" s="194" t="s">
        <v>78</v>
      </c>
      <c r="E914" s="194" t="s">
        <v>69</v>
      </c>
      <c r="F914" s="192" t="s">
        <v>40</v>
      </c>
      <c r="G914" s="192" t="s">
        <v>60</v>
      </c>
      <c r="H914" s="192" t="s">
        <v>79</v>
      </c>
      <c r="I914" s="192" t="s">
        <v>84</v>
      </c>
      <c r="J914" s="121" t="s">
        <v>2543</v>
      </c>
      <c r="K914" s="192" t="s">
        <v>63</v>
      </c>
      <c r="L914" s="192" t="s">
        <v>81</v>
      </c>
      <c r="M914" s="146" t="s">
        <v>5</v>
      </c>
      <c r="N914" s="192" t="s">
        <v>1569</v>
      </c>
      <c r="O914" s="192" t="s">
        <v>86</v>
      </c>
      <c r="P914" s="192" t="s">
        <v>87</v>
      </c>
      <c r="Q914" s="145">
        <v>46125</v>
      </c>
      <c r="R914" s="145">
        <v>46132</v>
      </c>
      <c r="S914" s="192"/>
    </row>
    <row r="915" spans="1:19" ht="106.8" customHeight="1" x14ac:dyDescent="0.25">
      <c r="A915" s="197" t="str">
        <f t="shared" si="22"/>
        <v>INC20260413914</v>
      </c>
      <c r="B915" s="201">
        <v>46125.915972222225</v>
      </c>
      <c r="C915" s="192" t="s">
        <v>77</v>
      </c>
      <c r="D915" s="194" t="s">
        <v>78</v>
      </c>
      <c r="E915" s="194" t="s">
        <v>486</v>
      </c>
      <c r="F915" s="192" t="s">
        <v>40</v>
      </c>
      <c r="G915" s="192" t="s">
        <v>41</v>
      </c>
      <c r="H915" s="192" t="s">
        <v>79</v>
      </c>
      <c r="I915" s="192" t="s">
        <v>84</v>
      </c>
      <c r="J915" s="121" t="s">
        <v>2544</v>
      </c>
      <c r="K915" s="192" t="s">
        <v>44</v>
      </c>
      <c r="L915" s="192" t="s">
        <v>81</v>
      </c>
      <c r="M915" s="146" t="s">
        <v>5</v>
      </c>
      <c r="N915" s="192" t="s">
        <v>1570</v>
      </c>
      <c r="O915" s="192" t="s">
        <v>86</v>
      </c>
      <c r="P915" s="192" t="s">
        <v>87</v>
      </c>
      <c r="Q915" s="145">
        <v>46125</v>
      </c>
      <c r="R915" s="145">
        <v>46132</v>
      </c>
      <c r="S915" s="192"/>
    </row>
    <row r="916" spans="1:19" ht="109.8" customHeight="1" x14ac:dyDescent="0.25">
      <c r="A916" s="197" t="str">
        <f t="shared" si="22"/>
        <v>INC20260414915</v>
      </c>
      <c r="B916" s="193">
        <v>46126.547222222223</v>
      </c>
      <c r="C916" s="192" t="s">
        <v>77</v>
      </c>
      <c r="D916" s="194" t="s">
        <v>78</v>
      </c>
      <c r="E916" s="194" t="s">
        <v>486</v>
      </c>
      <c r="F916" s="192" t="s">
        <v>40</v>
      </c>
      <c r="G916" s="192" t="s">
        <v>41</v>
      </c>
      <c r="H916" s="192" t="s">
        <v>79</v>
      </c>
      <c r="I916" s="192" t="s">
        <v>84</v>
      </c>
      <c r="J916" s="121" t="s">
        <v>2545</v>
      </c>
      <c r="K916" s="192" t="s">
        <v>44</v>
      </c>
      <c r="L916" s="192" t="s">
        <v>81</v>
      </c>
      <c r="M916" s="146" t="s">
        <v>5</v>
      </c>
      <c r="N916" s="192" t="s">
        <v>1571</v>
      </c>
      <c r="O916" s="192" t="s">
        <v>86</v>
      </c>
      <c r="P916" s="192" t="s">
        <v>87</v>
      </c>
      <c r="Q916" s="145">
        <v>46126</v>
      </c>
      <c r="R916" s="145">
        <v>46132</v>
      </c>
      <c r="S916" s="192"/>
    </row>
    <row r="917" spans="1:19" ht="113.4" customHeight="1" x14ac:dyDescent="0.25">
      <c r="A917" s="197" t="str">
        <f t="shared" ref="A917:A1050" si="23">"INC"&amp;TEXT(B917,"yyyymmdd")&amp;TEXT(ROW(A917)-1,"000")</f>
        <v>INC20260415916</v>
      </c>
      <c r="B917" s="193">
        <v>46127.15902777778</v>
      </c>
      <c r="C917" s="192" t="s">
        <v>77</v>
      </c>
      <c r="D917" s="194" t="s">
        <v>78</v>
      </c>
      <c r="E917" s="194" t="s">
        <v>486</v>
      </c>
      <c r="F917" s="192" t="s">
        <v>40</v>
      </c>
      <c r="G917" s="192" t="s">
        <v>41</v>
      </c>
      <c r="H917" s="192" t="s">
        <v>79</v>
      </c>
      <c r="I917" s="192" t="s">
        <v>84</v>
      </c>
      <c r="J917" s="121" t="s">
        <v>2546</v>
      </c>
      <c r="K917" s="192" t="s">
        <v>44</v>
      </c>
      <c r="L917" s="192" t="s">
        <v>81</v>
      </c>
      <c r="M917" s="146" t="s">
        <v>5</v>
      </c>
      <c r="N917" s="192" t="s">
        <v>1572</v>
      </c>
      <c r="O917" s="192" t="s">
        <v>86</v>
      </c>
      <c r="P917" s="192" t="s">
        <v>87</v>
      </c>
      <c r="Q917" s="145">
        <v>46127</v>
      </c>
      <c r="R917" s="145">
        <v>46132</v>
      </c>
      <c r="S917" s="192"/>
    </row>
    <row r="918" spans="1:19" ht="115.2" customHeight="1" x14ac:dyDescent="0.25">
      <c r="A918" s="197" t="str">
        <f t="shared" si="23"/>
        <v>INC20260415917</v>
      </c>
      <c r="B918" s="193">
        <v>46127.40902777778</v>
      </c>
      <c r="C918" s="192" t="s">
        <v>77</v>
      </c>
      <c r="D918" s="194" t="s">
        <v>78</v>
      </c>
      <c r="E918" s="194" t="s">
        <v>74</v>
      </c>
      <c r="F918" s="192" t="s">
        <v>40</v>
      </c>
      <c r="G918" s="192" t="s">
        <v>60</v>
      </c>
      <c r="H918" s="192" t="s">
        <v>79</v>
      </c>
      <c r="I918" s="192" t="s">
        <v>84</v>
      </c>
      <c r="J918" s="121" t="s">
        <v>2547</v>
      </c>
      <c r="K918" s="192" t="s">
        <v>63</v>
      </c>
      <c r="L918" s="192" t="s">
        <v>81</v>
      </c>
      <c r="M918" s="146" t="s">
        <v>5</v>
      </c>
      <c r="N918" s="192" t="s">
        <v>1573</v>
      </c>
      <c r="O918" s="192" t="s">
        <v>86</v>
      </c>
      <c r="P918" s="192" t="s">
        <v>87</v>
      </c>
      <c r="Q918" s="145">
        <v>46127</v>
      </c>
      <c r="R918" s="145">
        <v>46132</v>
      </c>
      <c r="S918" s="192"/>
    </row>
    <row r="919" spans="1:19" ht="123.6" customHeight="1" x14ac:dyDescent="0.25">
      <c r="A919" s="197" t="str">
        <f t="shared" si="23"/>
        <v>INC20260415918</v>
      </c>
      <c r="B919" s="193">
        <v>46127.390277777777</v>
      </c>
      <c r="C919" s="192" t="s">
        <v>77</v>
      </c>
      <c r="D919" s="194" t="s">
        <v>78</v>
      </c>
      <c r="E919" s="192" t="s">
        <v>121</v>
      </c>
      <c r="F919" s="192" t="s">
        <v>40</v>
      </c>
      <c r="G919" s="192" t="s">
        <v>60</v>
      </c>
      <c r="H919" s="192" t="s">
        <v>79</v>
      </c>
      <c r="I919" s="192" t="s">
        <v>80</v>
      </c>
      <c r="J919" s="121" t="s">
        <v>2548</v>
      </c>
      <c r="K919" s="192" t="s">
        <v>110</v>
      </c>
      <c r="L919" s="192" t="s">
        <v>81</v>
      </c>
      <c r="M919" s="146" t="s">
        <v>5</v>
      </c>
      <c r="N919" s="192" t="s">
        <v>1574</v>
      </c>
      <c r="O919" s="197" t="s">
        <v>83</v>
      </c>
      <c r="P919" s="197" t="s">
        <v>1366</v>
      </c>
      <c r="Q919" s="145">
        <v>46127</v>
      </c>
      <c r="R919" s="145">
        <v>46132</v>
      </c>
      <c r="S919" s="192"/>
    </row>
    <row r="920" spans="1:19" ht="115.8" customHeight="1" x14ac:dyDescent="0.25">
      <c r="A920" s="197" t="str">
        <f t="shared" si="23"/>
        <v>INC20260415919</v>
      </c>
      <c r="B920" s="193">
        <v>46127.509027777778</v>
      </c>
      <c r="C920" s="192" t="s">
        <v>77</v>
      </c>
      <c r="D920" s="194" t="s">
        <v>78</v>
      </c>
      <c r="E920" s="192" t="s">
        <v>69</v>
      </c>
      <c r="F920" s="192" t="s">
        <v>40</v>
      </c>
      <c r="G920" s="192" t="s">
        <v>60</v>
      </c>
      <c r="H920" s="192" t="s">
        <v>79</v>
      </c>
      <c r="I920" s="192" t="s">
        <v>80</v>
      </c>
      <c r="J920" s="121" t="s">
        <v>2549</v>
      </c>
      <c r="K920" s="192" t="s">
        <v>110</v>
      </c>
      <c r="L920" s="192" t="s">
        <v>81</v>
      </c>
      <c r="M920" s="146" t="s">
        <v>5</v>
      </c>
      <c r="N920" s="192" t="s">
        <v>1575</v>
      </c>
      <c r="O920" s="197" t="s">
        <v>83</v>
      </c>
      <c r="P920" s="197" t="s">
        <v>1366</v>
      </c>
      <c r="Q920" s="145">
        <v>46127</v>
      </c>
      <c r="R920" s="145">
        <v>46132</v>
      </c>
      <c r="S920" s="192"/>
    </row>
    <row r="921" spans="1:19" ht="111.6" customHeight="1" x14ac:dyDescent="0.25">
      <c r="A921" s="197" t="str">
        <f t="shared" si="23"/>
        <v>INC20260416920</v>
      </c>
      <c r="B921" s="193">
        <v>46128.317361111112</v>
      </c>
      <c r="C921" s="192" t="s">
        <v>77</v>
      </c>
      <c r="D921" s="194" t="s">
        <v>78</v>
      </c>
      <c r="E921" s="192" t="s">
        <v>58</v>
      </c>
      <c r="F921" s="192" t="s">
        <v>40</v>
      </c>
      <c r="G921" s="192" t="s">
        <v>60</v>
      </c>
      <c r="H921" s="192" t="s">
        <v>79</v>
      </c>
      <c r="I921" s="192" t="s">
        <v>80</v>
      </c>
      <c r="J921" s="121" t="s">
        <v>2550</v>
      </c>
      <c r="K921" s="192" t="s">
        <v>110</v>
      </c>
      <c r="L921" s="192" t="s">
        <v>81</v>
      </c>
      <c r="M921" s="146" t="s">
        <v>5</v>
      </c>
      <c r="N921" s="192" t="s">
        <v>1576</v>
      </c>
      <c r="O921" s="197" t="s">
        <v>83</v>
      </c>
      <c r="P921" s="197" t="s">
        <v>1366</v>
      </c>
      <c r="Q921" s="145">
        <v>46128</v>
      </c>
      <c r="R921" s="145">
        <v>46132</v>
      </c>
      <c r="S921" s="192"/>
    </row>
    <row r="922" spans="1:19" ht="106.8" customHeight="1" x14ac:dyDescent="0.25">
      <c r="A922" s="197" t="str">
        <f t="shared" si="23"/>
        <v>INC20260416921</v>
      </c>
      <c r="B922" s="193">
        <v>46128.540277777778</v>
      </c>
      <c r="C922" s="192" t="s">
        <v>77</v>
      </c>
      <c r="D922" s="194" t="s">
        <v>78</v>
      </c>
      <c r="E922" s="192" t="s">
        <v>69</v>
      </c>
      <c r="F922" s="192" t="s">
        <v>40</v>
      </c>
      <c r="G922" s="192" t="s">
        <v>60</v>
      </c>
      <c r="H922" s="192" t="s">
        <v>79</v>
      </c>
      <c r="I922" s="192" t="s">
        <v>80</v>
      </c>
      <c r="J922" s="121" t="s">
        <v>2551</v>
      </c>
      <c r="K922" s="192" t="s">
        <v>151</v>
      </c>
      <c r="L922" s="192" t="s">
        <v>81</v>
      </c>
      <c r="M922" s="146" t="s">
        <v>5</v>
      </c>
      <c r="N922" s="192" t="s">
        <v>1577</v>
      </c>
      <c r="O922" s="197" t="s">
        <v>83</v>
      </c>
      <c r="P922" s="197" t="s">
        <v>1366</v>
      </c>
      <c r="Q922" s="145">
        <v>46129</v>
      </c>
      <c r="R922" s="145">
        <v>46132</v>
      </c>
      <c r="S922" s="192"/>
    </row>
    <row r="923" spans="1:19" ht="117.6" customHeight="1" x14ac:dyDescent="0.25">
      <c r="A923" s="197" t="str">
        <f t="shared" si="23"/>
        <v>INC20260416922</v>
      </c>
      <c r="B923" s="193">
        <v>46128.677777777775</v>
      </c>
      <c r="C923" s="192" t="s">
        <v>77</v>
      </c>
      <c r="D923" s="194" t="s">
        <v>78</v>
      </c>
      <c r="E923" s="194" t="s">
        <v>58</v>
      </c>
      <c r="F923" s="192" t="s">
        <v>40</v>
      </c>
      <c r="G923" s="192" t="s">
        <v>60</v>
      </c>
      <c r="H923" s="192" t="s">
        <v>79</v>
      </c>
      <c r="I923" s="192" t="s">
        <v>84</v>
      </c>
      <c r="J923" s="121" t="s">
        <v>2552</v>
      </c>
      <c r="K923" s="192" t="s">
        <v>63</v>
      </c>
      <c r="L923" s="192" t="s">
        <v>81</v>
      </c>
      <c r="M923" s="146" t="s">
        <v>5</v>
      </c>
      <c r="N923" s="192" t="s">
        <v>1578</v>
      </c>
      <c r="O923" s="192" t="s">
        <v>86</v>
      </c>
      <c r="P923" s="192" t="s">
        <v>87</v>
      </c>
      <c r="Q923" s="145">
        <v>46128</v>
      </c>
      <c r="R923" s="145">
        <v>46132</v>
      </c>
      <c r="S923" s="192"/>
    </row>
    <row r="924" spans="1:19" ht="125.4" customHeight="1" x14ac:dyDescent="0.25">
      <c r="A924" s="197" t="str">
        <f t="shared" si="23"/>
        <v>INC20260417923</v>
      </c>
      <c r="B924" s="193">
        <v>46129.548611111109</v>
      </c>
      <c r="C924" s="192" t="s">
        <v>77</v>
      </c>
      <c r="D924" s="194" t="s">
        <v>78</v>
      </c>
      <c r="E924" s="194" t="s">
        <v>69</v>
      </c>
      <c r="F924" s="192" t="s">
        <v>40</v>
      </c>
      <c r="G924" s="192" t="s">
        <v>60</v>
      </c>
      <c r="H924" s="192" t="s">
        <v>79</v>
      </c>
      <c r="I924" s="192" t="s">
        <v>84</v>
      </c>
      <c r="J924" s="121" t="s">
        <v>2553</v>
      </c>
      <c r="K924" s="192" t="s">
        <v>151</v>
      </c>
      <c r="L924" s="192" t="s">
        <v>81</v>
      </c>
      <c r="M924" s="146" t="s">
        <v>5</v>
      </c>
      <c r="N924" s="192" t="s">
        <v>1579</v>
      </c>
      <c r="O924" s="192" t="s">
        <v>86</v>
      </c>
      <c r="P924" s="192" t="s">
        <v>87</v>
      </c>
      <c r="Q924" s="145">
        <v>46129</v>
      </c>
      <c r="R924" s="145">
        <v>46132</v>
      </c>
      <c r="S924" s="192"/>
    </row>
    <row r="925" spans="1:19" ht="108" customHeight="1" x14ac:dyDescent="0.25">
      <c r="A925" s="197" t="str">
        <f t="shared" si="23"/>
        <v>INC20260417924</v>
      </c>
      <c r="B925" s="193">
        <v>46129.636805555558</v>
      </c>
      <c r="C925" s="192" t="s">
        <v>77</v>
      </c>
      <c r="D925" s="194" t="s">
        <v>78</v>
      </c>
      <c r="E925" s="194" t="s">
        <v>486</v>
      </c>
      <c r="F925" s="192" t="s">
        <v>40</v>
      </c>
      <c r="G925" s="192" t="s">
        <v>41</v>
      </c>
      <c r="H925" s="192" t="s">
        <v>79</v>
      </c>
      <c r="I925" s="192" t="s">
        <v>84</v>
      </c>
      <c r="J925" s="121" t="s">
        <v>2554</v>
      </c>
      <c r="K925" s="192" t="s">
        <v>44</v>
      </c>
      <c r="L925" s="192" t="s">
        <v>81</v>
      </c>
      <c r="M925" s="146" t="s">
        <v>5</v>
      </c>
      <c r="N925" s="192" t="s">
        <v>1580</v>
      </c>
      <c r="O925" s="192" t="s">
        <v>86</v>
      </c>
      <c r="P925" s="192" t="s">
        <v>87</v>
      </c>
      <c r="Q925" s="145">
        <v>46129</v>
      </c>
      <c r="R925" s="145">
        <v>46132</v>
      </c>
      <c r="S925" s="192"/>
    </row>
    <row r="926" spans="1:19" ht="117.6" customHeight="1" x14ac:dyDescent="0.25">
      <c r="A926" s="197" t="str">
        <f t="shared" si="23"/>
        <v>INC20260418925</v>
      </c>
      <c r="B926" s="201">
        <v>46130.332638888889</v>
      </c>
      <c r="C926" s="192" t="s">
        <v>77</v>
      </c>
      <c r="D926" s="194" t="s">
        <v>78</v>
      </c>
      <c r="E926" s="194" t="s">
        <v>69</v>
      </c>
      <c r="F926" s="192" t="s">
        <v>40</v>
      </c>
      <c r="G926" s="192" t="s">
        <v>60</v>
      </c>
      <c r="H926" s="192" t="s">
        <v>79</v>
      </c>
      <c r="I926" s="192" t="s">
        <v>84</v>
      </c>
      <c r="J926" s="121" t="s">
        <v>2555</v>
      </c>
      <c r="K926" s="192" t="s">
        <v>63</v>
      </c>
      <c r="L926" s="192" t="s">
        <v>81</v>
      </c>
      <c r="M926" s="146" t="s">
        <v>5</v>
      </c>
      <c r="N926" s="192" t="s">
        <v>1581</v>
      </c>
      <c r="O926" s="192" t="s">
        <v>86</v>
      </c>
      <c r="P926" s="192" t="s">
        <v>87</v>
      </c>
      <c r="Q926" s="145">
        <v>46130</v>
      </c>
      <c r="R926" s="145">
        <v>46132</v>
      </c>
      <c r="S926" s="192"/>
    </row>
    <row r="927" spans="1:19" ht="108" customHeight="1" x14ac:dyDescent="0.25">
      <c r="A927" s="197" t="str">
        <f t="shared" si="23"/>
        <v>INC20260418926</v>
      </c>
      <c r="B927" s="201">
        <v>46130.368055555555</v>
      </c>
      <c r="C927" s="192" t="s">
        <v>77</v>
      </c>
      <c r="D927" s="194" t="s">
        <v>78</v>
      </c>
      <c r="E927" s="194" t="s">
        <v>69</v>
      </c>
      <c r="F927" s="192" t="s">
        <v>40</v>
      </c>
      <c r="G927" s="192" t="s">
        <v>60</v>
      </c>
      <c r="H927" s="192" t="s">
        <v>79</v>
      </c>
      <c r="I927" s="192" t="s">
        <v>84</v>
      </c>
      <c r="J927" s="121" t="s">
        <v>2556</v>
      </c>
      <c r="K927" s="192" t="s">
        <v>63</v>
      </c>
      <c r="L927" s="192" t="s">
        <v>81</v>
      </c>
      <c r="M927" s="146" t="s">
        <v>5</v>
      </c>
      <c r="N927" s="192" t="s">
        <v>1582</v>
      </c>
      <c r="O927" s="192" t="s">
        <v>86</v>
      </c>
      <c r="P927" s="192" t="s">
        <v>87</v>
      </c>
      <c r="Q927" s="145">
        <v>46130</v>
      </c>
      <c r="R927" s="145">
        <v>46132</v>
      </c>
      <c r="S927" s="192"/>
    </row>
    <row r="928" spans="1:19" ht="107.4" customHeight="1" x14ac:dyDescent="0.25">
      <c r="A928" s="197" t="str">
        <f t="shared" si="23"/>
        <v>INC20260418927</v>
      </c>
      <c r="B928" s="201">
        <v>46130.472916666666</v>
      </c>
      <c r="C928" s="192" t="s">
        <v>77</v>
      </c>
      <c r="D928" s="194" t="s">
        <v>78</v>
      </c>
      <c r="E928" s="194" t="s">
        <v>74</v>
      </c>
      <c r="F928" s="192" t="s">
        <v>40</v>
      </c>
      <c r="G928" s="192" t="s">
        <v>60</v>
      </c>
      <c r="H928" s="192" t="s">
        <v>79</v>
      </c>
      <c r="I928" s="192" t="s">
        <v>84</v>
      </c>
      <c r="J928" s="121" t="s">
        <v>2557</v>
      </c>
      <c r="K928" s="192" t="s">
        <v>63</v>
      </c>
      <c r="L928" s="192" t="s">
        <v>81</v>
      </c>
      <c r="M928" s="146" t="s">
        <v>5</v>
      </c>
      <c r="N928" s="192" t="s">
        <v>1583</v>
      </c>
      <c r="O928" s="192" t="s">
        <v>86</v>
      </c>
      <c r="P928" s="192" t="s">
        <v>87</v>
      </c>
      <c r="Q928" s="145">
        <v>46130</v>
      </c>
      <c r="R928" s="145">
        <v>46132</v>
      </c>
      <c r="S928" s="192"/>
    </row>
    <row r="929" spans="1:19" ht="118.2" customHeight="1" x14ac:dyDescent="0.25">
      <c r="A929" s="197" t="str">
        <f t="shared" si="23"/>
        <v>INC20260418928</v>
      </c>
      <c r="B929" s="201">
        <v>46130.488888888889</v>
      </c>
      <c r="C929" s="192" t="s">
        <v>77</v>
      </c>
      <c r="D929" s="194" t="s">
        <v>78</v>
      </c>
      <c r="E929" s="194" t="s">
        <v>74</v>
      </c>
      <c r="F929" s="192" t="s">
        <v>40</v>
      </c>
      <c r="G929" s="192" t="s">
        <v>60</v>
      </c>
      <c r="H929" s="192" t="s">
        <v>79</v>
      </c>
      <c r="I929" s="192" t="s">
        <v>84</v>
      </c>
      <c r="J929" s="121" t="s">
        <v>2558</v>
      </c>
      <c r="K929" s="192" t="s">
        <v>63</v>
      </c>
      <c r="L929" s="192" t="s">
        <v>81</v>
      </c>
      <c r="M929" s="146" t="s">
        <v>5</v>
      </c>
      <c r="N929" s="192" t="s">
        <v>1584</v>
      </c>
      <c r="O929" s="192" t="s">
        <v>86</v>
      </c>
      <c r="P929" s="192" t="s">
        <v>87</v>
      </c>
      <c r="Q929" s="145">
        <v>46130</v>
      </c>
      <c r="R929" s="145">
        <v>46132</v>
      </c>
      <c r="S929" s="192"/>
    </row>
    <row r="930" spans="1:19" ht="108" customHeight="1" x14ac:dyDescent="0.25">
      <c r="A930" s="197" t="str">
        <f t="shared" si="23"/>
        <v>INC20260418929</v>
      </c>
      <c r="B930" s="201">
        <v>46130.498611111114</v>
      </c>
      <c r="C930" s="192" t="s">
        <v>77</v>
      </c>
      <c r="D930" s="194" t="s">
        <v>78</v>
      </c>
      <c r="E930" s="194" t="s">
        <v>74</v>
      </c>
      <c r="F930" s="192" t="s">
        <v>40</v>
      </c>
      <c r="G930" s="192" t="s">
        <v>60</v>
      </c>
      <c r="H930" s="192" t="s">
        <v>79</v>
      </c>
      <c r="I930" s="192" t="s">
        <v>84</v>
      </c>
      <c r="J930" s="121" t="s">
        <v>2559</v>
      </c>
      <c r="K930" s="192" t="s">
        <v>63</v>
      </c>
      <c r="L930" s="192" t="s">
        <v>81</v>
      </c>
      <c r="M930" s="146" t="s">
        <v>5</v>
      </c>
      <c r="N930" s="192" t="s">
        <v>1585</v>
      </c>
      <c r="O930" s="192" t="s">
        <v>86</v>
      </c>
      <c r="P930" s="192" t="s">
        <v>87</v>
      </c>
      <c r="Q930" s="145">
        <v>46130</v>
      </c>
      <c r="R930" s="145">
        <v>46132</v>
      </c>
      <c r="S930" s="192"/>
    </row>
    <row r="931" spans="1:19" ht="113.4" customHeight="1" x14ac:dyDescent="0.25">
      <c r="A931" s="197" t="str">
        <f t="shared" si="23"/>
        <v>INC20260418930</v>
      </c>
      <c r="B931" s="201">
        <v>46130.416666666664</v>
      </c>
      <c r="C931" s="192" t="s">
        <v>77</v>
      </c>
      <c r="D931" s="194" t="s">
        <v>78</v>
      </c>
      <c r="E931" s="194" t="s">
        <v>74</v>
      </c>
      <c r="F931" s="192" t="s">
        <v>40</v>
      </c>
      <c r="G931" s="192" t="s">
        <v>60</v>
      </c>
      <c r="H931" s="192" t="s">
        <v>79</v>
      </c>
      <c r="I931" s="192" t="s">
        <v>84</v>
      </c>
      <c r="J931" s="121" t="s">
        <v>2560</v>
      </c>
      <c r="K931" s="192" t="s">
        <v>107</v>
      </c>
      <c r="L931" s="192" t="s">
        <v>81</v>
      </c>
      <c r="M931" s="146" t="s">
        <v>5</v>
      </c>
      <c r="N931" s="192" t="s">
        <v>1586</v>
      </c>
      <c r="O931" s="192" t="s">
        <v>86</v>
      </c>
      <c r="P931" s="192" t="s">
        <v>87</v>
      </c>
      <c r="Q931" s="145">
        <v>46130</v>
      </c>
      <c r="R931" s="145">
        <v>46132</v>
      </c>
      <c r="S931" s="192"/>
    </row>
    <row r="932" spans="1:19" ht="127.2" customHeight="1" x14ac:dyDescent="0.25">
      <c r="A932" s="197" t="str">
        <f t="shared" si="23"/>
        <v>INC20260418931</v>
      </c>
      <c r="B932" s="201">
        <v>46130.431250000001</v>
      </c>
      <c r="C932" s="192" t="s">
        <v>77</v>
      </c>
      <c r="D932" s="194" t="s">
        <v>78</v>
      </c>
      <c r="E932" s="194" t="s">
        <v>486</v>
      </c>
      <c r="F932" s="192" t="s">
        <v>40</v>
      </c>
      <c r="G932" s="192" t="s">
        <v>41</v>
      </c>
      <c r="H932" s="192" t="s">
        <v>79</v>
      </c>
      <c r="I932" s="192" t="s">
        <v>84</v>
      </c>
      <c r="J932" s="121" t="s">
        <v>2561</v>
      </c>
      <c r="K932" s="192" t="s">
        <v>44</v>
      </c>
      <c r="L932" s="192" t="s">
        <v>81</v>
      </c>
      <c r="M932" s="146" t="s">
        <v>5</v>
      </c>
      <c r="N932" s="192" t="s">
        <v>1587</v>
      </c>
      <c r="O932" s="192" t="s">
        <v>86</v>
      </c>
      <c r="P932" s="192" t="s">
        <v>87</v>
      </c>
      <c r="Q932" s="145">
        <v>46130</v>
      </c>
      <c r="R932" s="145">
        <v>46132</v>
      </c>
      <c r="S932" s="192"/>
    </row>
    <row r="933" spans="1:19" ht="124.2" customHeight="1" x14ac:dyDescent="0.25">
      <c r="A933" s="197" t="str">
        <f t="shared" si="23"/>
        <v>INC20260418932</v>
      </c>
      <c r="B933" s="201">
        <v>46130.663194444445</v>
      </c>
      <c r="C933" s="192" t="s">
        <v>77</v>
      </c>
      <c r="D933" s="194" t="s">
        <v>78</v>
      </c>
      <c r="E933" s="192" t="s">
        <v>69</v>
      </c>
      <c r="F933" s="192" t="s">
        <v>40</v>
      </c>
      <c r="G933" s="192" t="s">
        <v>60</v>
      </c>
      <c r="H933" s="192" t="s">
        <v>79</v>
      </c>
      <c r="I933" s="192" t="s">
        <v>80</v>
      </c>
      <c r="J933" s="121" t="s">
        <v>2562</v>
      </c>
      <c r="K933" s="192" t="s">
        <v>63</v>
      </c>
      <c r="L933" s="192" t="s">
        <v>81</v>
      </c>
      <c r="M933" s="146" t="s">
        <v>5</v>
      </c>
      <c r="N933" s="192" t="s">
        <v>1588</v>
      </c>
      <c r="O933" s="197" t="s">
        <v>83</v>
      </c>
      <c r="P933" s="197" t="s">
        <v>1366</v>
      </c>
      <c r="Q933" s="145">
        <v>46130</v>
      </c>
      <c r="R933" s="145">
        <v>46132</v>
      </c>
      <c r="S933" s="192"/>
    </row>
    <row r="934" spans="1:19" ht="116.4" customHeight="1" x14ac:dyDescent="0.25">
      <c r="A934" s="197" t="str">
        <f t="shared" si="23"/>
        <v>INC20260418933</v>
      </c>
      <c r="B934" s="201">
        <v>46130.688888888886</v>
      </c>
      <c r="C934" s="192" t="s">
        <v>77</v>
      </c>
      <c r="D934" s="194" t="s">
        <v>78</v>
      </c>
      <c r="E934" s="192" t="s">
        <v>58</v>
      </c>
      <c r="F934" s="192" t="s">
        <v>40</v>
      </c>
      <c r="G934" s="192" t="s">
        <v>60</v>
      </c>
      <c r="H934" s="192" t="s">
        <v>79</v>
      </c>
      <c r="I934" s="192" t="s">
        <v>80</v>
      </c>
      <c r="J934" s="121" t="s">
        <v>2563</v>
      </c>
      <c r="K934" s="192" t="s">
        <v>63</v>
      </c>
      <c r="L934" s="192" t="s">
        <v>81</v>
      </c>
      <c r="M934" s="146" t="s">
        <v>5</v>
      </c>
      <c r="N934" s="192" t="s">
        <v>1589</v>
      </c>
      <c r="O934" s="197" t="s">
        <v>83</v>
      </c>
      <c r="P934" s="197" t="s">
        <v>1366</v>
      </c>
      <c r="Q934" s="145">
        <v>46130</v>
      </c>
      <c r="R934" s="145">
        <v>46132</v>
      </c>
      <c r="S934" s="192"/>
    </row>
    <row r="935" spans="1:19" ht="107.4" customHeight="1" x14ac:dyDescent="0.25">
      <c r="A935" s="197" t="str">
        <f t="shared" si="23"/>
        <v>INC20260418934</v>
      </c>
      <c r="B935" s="201">
        <v>46130.686111111114</v>
      </c>
      <c r="C935" s="192" t="s">
        <v>77</v>
      </c>
      <c r="D935" s="194" t="s">
        <v>78</v>
      </c>
      <c r="E935" s="192" t="s">
        <v>69</v>
      </c>
      <c r="F935" s="192" t="s">
        <v>40</v>
      </c>
      <c r="G935" s="192" t="s">
        <v>60</v>
      </c>
      <c r="H935" s="192" t="s">
        <v>79</v>
      </c>
      <c r="I935" s="192" t="s">
        <v>80</v>
      </c>
      <c r="J935" s="121" t="s">
        <v>2564</v>
      </c>
      <c r="K935" s="192" t="s">
        <v>63</v>
      </c>
      <c r="L935" s="192" t="s">
        <v>81</v>
      </c>
      <c r="M935" s="146" t="s">
        <v>5</v>
      </c>
      <c r="N935" s="192" t="s">
        <v>1590</v>
      </c>
      <c r="O935" s="197" t="s">
        <v>83</v>
      </c>
      <c r="P935" s="197" t="s">
        <v>1366</v>
      </c>
      <c r="Q935" s="145">
        <v>46130</v>
      </c>
      <c r="R935" s="145">
        <v>46132</v>
      </c>
      <c r="S935" s="192"/>
    </row>
    <row r="936" spans="1:19" ht="116.4" customHeight="1" x14ac:dyDescent="0.25">
      <c r="A936" s="197" t="str">
        <f t="shared" si="23"/>
        <v>INC20260418935</v>
      </c>
      <c r="B936" s="201">
        <v>46130.798611111109</v>
      </c>
      <c r="C936" s="192" t="s">
        <v>77</v>
      </c>
      <c r="D936" s="194" t="s">
        <v>78</v>
      </c>
      <c r="E936" s="192" t="s">
        <v>69</v>
      </c>
      <c r="F936" s="192" t="s">
        <v>40</v>
      </c>
      <c r="G936" s="192" t="s">
        <v>60</v>
      </c>
      <c r="H936" s="192" t="s">
        <v>79</v>
      </c>
      <c r="I936" s="192" t="s">
        <v>80</v>
      </c>
      <c r="J936" s="121" t="s">
        <v>2565</v>
      </c>
      <c r="K936" s="192" t="s">
        <v>63</v>
      </c>
      <c r="L936" s="192" t="s">
        <v>81</v>
      </c>
      <c r="M936" s="146" t="s">
        <v>5</v>
      </c>
      <c r="N936" s="192" t="s">
        <v>1591</v>
      </c>
      <c r="O936" s="197" t="s">
        <v>83</v>
      </c>
      <c r="P936" s="197" t="s">
        <v>1366</v>
      </c>
      <c r="Q936" s="145">
        <v>46130</v>
      </c>
      <c r="R936" s="145">
        <v>46132</v>
      </c>
      <c r="S936" s="192"/>
    </row>
    <row r="937" spans="1:19" ht="121.8" customHeight="1" x14ac:dyDescent="0.25">
      <c r="A937" s="197" t="str">
        <f t="shared" si="23"/>
        <v>INC20260418936</v>
      </c>
      <c r="B937" s="201">
        <v>46130.886111111111</v>
      </c>
      <c r="C937" s="192" t="s">
        <v>77</v>
      </c>
      <c r="D937" s="194" t="s">
        <v>78</v>
      </c>
      <c r="E937" s="192" t="s">
        <v>69</v>
      </c>
      <c r="F937" s="192" t="s">
        <v>40</v>
      </c>
      <c r="G937" s="192" t="s">
        <v>60</v>
      </c>
      <c r="H937" s="192" t="s">
        <v>79</v>
      </c>
      <c r="I937" s="192" t="s">
        <v>80</v>
      </c>
      <c r="J937" s="121" t="s">
        <v>2566</v>
      </c>
      <c r="K937" s="192" t="s">
        <v>63</v>
      </c>
      <c r="L937" s="192" t="s">
        <v>81</v>
      </c>
      <c r="M937" s="146" t="s">
        <v>5</v>
      </c>
      <c r="N937" s="192" t="s">
        <v>1591</v>
      </c>
      <c r="O937" s="197" t="s">
        <v>83</v>
      </c>
      <c r="P937" s="197" t="s">
        <v>1366</v>
      </c>
      <c r="Q937" s="145">
        <v>46130</v>
      </c>
      <c r="R937" s="145">
        <v>46132</v>
      </c>
      <c r="S937" s="192"/>
    </row>
    <row r="938" spans="1:19" ht="121.8" customHeight="1" x14ac:dyDescent="0.25">
      <c r="A938" s="197" t="str">
        <f t="shared" si="23"/>
        <v>INC20260418937</v>
      </c>
      <c r="B938" s="201">
        <v>46130.95208333333</v>
      </c>
      <c r="C938" s="192" t="s">
        <v>77</v>
      </c>
      <c r="D938" s="194" t="s">
        <v>78</v>
      </c>
      <c r="E938" s="192" t="s">
        <v>69</v>
      </c>
      <c r="F938" s="192" t="s">
        <v>40</v>
      </c>
      <c r="G938" s="192" t="s">
        <v>60</v>
      </c>
      <c r="H938" s="192" t="s">
        <v>79</v>
      </c>
      <c r="I938" s="192" t="s">
        <v>80</v>
      </c>
      <c r="J938" s="121" t="s">
        <v>2567</v>
      </c>
      <c r="K938" s="192" t="s">
        <v>63</v>
      </c>
      <c r="L938" s="192" t="s">
        <v>81</v>
      </c>
      <c r="M938" s="146" t="s">
        <v>5</v>
      </c>
      <c r="N938" s="192" t="s">
        <v>1592</v>
      </c>
      <c r="O938" s="197" t="s">
        <v>83</v>
      </c>
      <c r="P938" s="197" t="s">
        <v>1366</v>
      </c>
      <c r="Q938" s="145">
        <v>46130</v>
      </c>
      <c r="R938" s="145">
        <v>46132</v>
      </c>
      <c r="S938" s="192"/>
    </row>
    <row r="939" spans="1:19" ht="129.6" customHeight="1" x14ac:dyDescent="0.25">
      <c r="A939" s="197" t="str">
        <f t="shared" si="23"/>
        <v>INC20260419938</v>
      </c>
      <c r="B939" s="193">
        <v>46131.228472222225</v>
      </c>
      <c r="C939" s="192" t="s">
        <v>77</v>
      </c>
      <c r="D939" s="194" t="s">
        <v>78</v>
      </c>
      <c r="E939" s="194" t="s">
        <v>58</v>
      </c>
      <c r="F939" s="192" t="s">
        <v>40</v>
      </c>
      <c r="G939" s="192" t="s">
        <v>60</v>
      </c>
      <c r="H939" s="192" t="s">
        <v>79</v>
      </c>
      <c r="I939" s="192" t="s">
        <v>84</v>
      </c>
      <c r="J939" s="121" t="s">
        <v>2568</v>
      </c>
      <c r="K939" s="192" t="s">
        <v>110</v>
      </c>
      <c r="L939" s="192" t="s">
        <v>81</v>
      </c>
      <c r="M939" s="146" t="s">
        <v>5</v>
      </c>
      <c r="N939" s="192" t="s">
        <v>1593</v>
      </c>
      <c r="O939" s="192" t="s">
        <v>86</v>
      </c>
      <c r="P939" s="192" t="s">
        <v>87</v>
      </c>
      <c r="Q939" s="145">
        <v>46131</v>
      </c>
      <c r="R939" s="145">
        <v>46132</v>
      </c>
      <c r="S939" s="192"/>
    </row>
    <row r="940" spans="1:19" ht="127.8" customHeight="1" x14ac:dyDescent="0.25">
      <c r="A940" s="197" t="str">
        <f t="shared" si="23"/>
        <v>INC20260419939</v>
      </c>
      <c r="B940" s="193">
        <v>46131.012499999997</v>
      </c>
      <c r="C940" s="192" t="s">
        <v>77</v>
      </c>
      <c r="D940" s="194" t="s">
        <v>78</v>
      </c>
      <c r="E940" s="194" t="s">
        <v>58</v>
      </c>
      <c r="F940" s="192" t="s">
        <v>40</v>
      </c>
      <c r="G940" s="192" t="s">
        <v>60</v>
      </c>
      <c r="H940" s="192" t="s">
        <v>79</v>
      </c>
      <c r="I940" s="192" t="s">
        <v>84</v>
      </c>
      <c r="J940" s="121" t="s">
        <v>2569</v>
      </c>
      <c r="K940" s="192" t="s">
        <v>110</v>
      </c>
      <c r="L940" s="192" t="s">
        <v>81</v>
      </c>
      <c r="M940" s="146" t="s">
        <v>5</v>
      </c>
      <c r="N940" s="192" t="s">
        <v>1594</v>
      </c>
      <c r="O940" s="192" t="s">
        <v>86</v>
      </c>
      <c r="P940" s="192" t="s">
        <v>87</v>
      </c>
      <c r="Q940" s="145">
        <v>46131</v>
      </c>
      <c r="R940" s="145">
        <v>46132</v>
      </c>
      <c r="S940" s="192"/>
    </row>
    <row r="941" spans="1:19" ht="130.80000000000001" customHeight="1" x14ac:dyDescent="0.25">
      <c r="A941" s="197" t="str">
        <f t="shared" si="23"/>
        <v>INC20260419940</v>
      </c>
      <c r="B941" s="193">
        <v>46131.794444444444</v>
      </c>
      <c r="C941" s="192" t="s">
        <v>77</v>
      </c>
      <c r="D941" s="194" t="s">
        <v>78</v>
      </c>
      <c r="E941" s="194" t="s">
        <v>58</v>
      </c>
      <c r="F941" s="192" t="s">
        <v>40</v>
      </c>
      <c r="G941" s="192" t="s">
        <v>60</v>
      </c>
      <c r="H941" s="192" t="s">
        <v>79</v>
      </c>
      <c r="I941" s="192" t="s">
        <v>84</v>
      </c>
      <c r="J941" s="121" t="s">
        <v>2570</v>
      </c>
      <c r="K941" s="192" t="s">
        <v>110</v>
      </c>
      <c r="L941" s="192" t="s">
        <v>81</v>
      </c>
      <c r="M941" s="146" t="s">
        <v>5</v>
      </c>
      <c r="N941" s="192" t="s">
        <v>1595</v>
      </c>
      <c r="O941" s="192" t="s">
        <v>86</v>
      </c>
      <c r="P941" s="192" t="s">
        <v>87</v>
      </c>
      <c r="Q941" s="145">
        <v>46131</v>
      </c>
      <c r="R941" s="145">
        <v>46132</v>
      </c>
      <c r="S941" s="192"/>
    </row>
    <row r="942" spans="1:19" ht="127.2" customHeight="1" x14ac:dyDescent="0.25">
      <c r="A942" s="197" t="str">
        <f t="shared" si="23"/>
        <v>INC20260420941</v>
      </c>
      <c r="B942" s="199">
        <v>46132.461805555555</v>
      </c>
      <c r="C942" s="192" t="s">
        <v>37</v>
      </c>
      <c r="D942" s="194" t="s">
        <v>1597</v>
      </c>
      <c r="E942" s="192" t="s">
        <v>225</v>
      </c>
      <c r="F942" s="192" t="s">
        <v>40</v>
      </c>
      <c r="G942" s="192" t="s">
        <v>60</v>
      </c>
      <c r="H942" s="192" t="s">
        <v>79</v>
      </c>
      <c r="I942" s="192" t="s">
        <v>84</v>
      </c>
      <c r="J942" s="121" t="s">
        <v>2571</v>
      </c>
      <c r="K942" s="192" t="s">
        <v>110</v>
      </c>
      <c r="L942" s="192" t="s">
        <v>81</v>
      </c>
      <c r="M942" s="146" t="s">
        <v>5</v>
      </c>
      <c r="N942" s="192" t="s">
        <v>1600</v>
      </c>
      <c r="O942" s="192" t="s">
        <v>86</v>
      </c>
      <c r="P942" s="192" t="s">
        <v>87</v>
      </c>
      <c r="Q942" s="145"/>
      <c r="R942" s="145">
        <v>46132</v>
      </c>
      <c r="S942" s="192"/>
    </row>
    <row r="943" spans="1:19" ht="130.80000000000001" customHeight="1" x14ac:dyDescent="0.25">
      <c r="A943" s="197" t="str">
        <f t="shared" si="23"/>
        <v>INC20260420942</v>
      </c>
      <c r="B943" s="199">
        <v>46132.49722222222</v>
      </c>
      <c r="C943" s="192" t="s">
        <v>37</v>
      </c>
      <c r="D943" s="194" t="s">
        <v>1598</v>
      </c>
      <c r="E943" s="192" t="s">
        <v>50</v>
      </c>
      <c r="F943" s="192" t="s">
        <v>40</v>
      </c>
      <c r="G943" s="192" t="s">
        <v>51</v>
      </c>
      <c r="H943" s="192" t="s">
        <v>42</v>
      </c>
      <c r="I943" s="192" t="s">
        <v>630</v>
      </c>
      <c r="J943" s="195" t="s">
        <v>2572</v>
      </c>
      <c r="K943" s="192" t="s">
        <v>54</v>
      </c>
      <c r="L943" s="192" t="s">
        <v>55</v>
      </c>
      <c r="M943" s="146" t="s">
        <v>5</v>
      </c>
      <c r="N943" s="192" t="s">
        <v>1605</v>
      </c>
      <c r="O943" s="192" t="s">
        <v>911</v>
      </c>
      <c r="P943" s="144" t="s">
        <v>912</v>
      </c>
      <c r="Q943" s="145">
        <v>46132</v>
      </c>
      <c r="R943" s="145">
        <v>46132</v>
      </c>
      <c r="S943" s="192"/>
    </row>
    <row r="944" spans="1:19" ht="126" customHeight="1" x14ac:dyDescent="0.25">
      <c r="A944" s="197" t="str">
        <f t="shared" si="23"/>
        <v>INC20260420943</v>
      </c>
      <c r="B944" s="199">
        <v>46132.611111111109</v>
      </c>
      <c r="C944" s="192" t="s">
        <v>37</v>
      </c>
      <c r="D944" s="194" t="s">
        <v>1599</v>
      </c>
      <c r="E944" s="192" t="s">
        <v>50</v>
      </c>
      <c r="F944" s="192" t="s">
        <v>40</v>
      </c>
      <c r="G944" s="192" t="s">
        <v>51</v>
      </c>
      <c r="H944" s="192" t="s">
        <v>92</v>
      </c>
      <c r="I944" s="192" t="s">
        <v>403</v>
      </c>
      <c r="J944" s="195" t="s">
        <v>2573</v>
      </c>
      <c r="K944" s="192" t="s">
        <v>54</v>
      </c>
      <c r="L944" s="192" t="s">
        <v>55</v>
      </c>
      <c r="M944" s="146" t="s">
        <v>5</v>
      </c>
      <c r="N944" s="192" t="s">
        <v>1630</v>
      </c>
      <c r="O944" s="192"/>
      <c r="P944" s="192"/>
      <c r="Q944" s="145">
        <v>46133</v>
      </c>
      <c r="R944" s="145">
        <v>46132</v>
      </c>
      <c r="S944" s="192"/>
    </row>
    <row r="945" spans="1:19" ht="229.8" customHeight="1" x14ac:dyDescent="0.25">
      <c r="A945" s="197" t="str">
        <f t="shared" si="23"/>
        <v>INC20260420944</v>
      </c>
      <c r="B945" s="199">
        <v>46132.652777777781</v>
      </c>
      <c r="C945" s="192" t="s">
        <v>37</v>
      </c>
      <c r="D945" s="194" t="s">
        <v>57</v>
      </c>
      <c r="E945" s="192" t="s">
        <v>58</v>
      </c>
      <c r="F945" s="192" t="s">
        <v>59</v>
      </c>
      <c r="G945" s="192" t="s">
        <v>60</v>
      </c>
      <c r="H945" s="192" t="s">
        <v>61</v>
      </c>
      <c r="I945" s="192" t="s">
        <v>62</v>
      </c>
      <c r="J945" s="121" t="s">
        <v>2574</v>
      </c>
      <c r="K945" s="192" t="s">
        <v>63</v>
      </c>
      <c r="L945" s="146" t="s">
        <v>6</v>
      </c>
      <c r="M945" s="146" t="s">
        <v>6</v>
      </c>
      <c r="N945" s="40" t="s">
        <v>2769</v>
      </c>
      <c r="O945" s="192" t="s">
        <v>66</v>
      </c>
      <c r="P945" s="192" t="s">
        <v>67</v>
      </c>
      <c r="Q945" s="145"/>
      <c r="R945" s="145">
        <v>46132</v>
      </c>
      <c r="S945" s="192"/>
    </row>
    <row r="946" spans="1:19" ht="147.6" customHeight="1" x14ac:dyDescent="0.25">
      <c r="A946" s="197" t="str">
        <f t="shared" si="23"/>
        <v>INC20260420945</v>
      </c>
      <c r="B946" s="199">
        <v>46132.655555555553</v>
      </c>
      <c r="C946" s="192" t="s">
        <v>37</v>
      </c>
      <c r="D946" s="194" t="s">
        <v>57</v>
      </c>
      <c r="E946" s="192" t="s">
        <v>69</v>
      </c>
      <c r="F946" s="192" t="s">
        <v>59</v>
      </c>
      <c r="G946" s="192" t="s">
        <v>60</v>
      </c>
      <c r="H946" s="192" t="s">
        <v>61</v>
      </c>
      <c r="I946" s="192" t="s">
        <v>62</v>
      </c>
      <c r="J946" s="121" t="s">
        <v>2575</v>
      </c>
      <c r="K946" s="192" t="s">
        <v>63</v>
      </c>
      <c r="L946" s="146" t="s">
        <v>6</v>
      </c>
      <c r="M946" s="146" t="s">
        <v>5</v>
      </c>
      <c r="N946" s="192" t="s">
        <v>1631</v>
      </c>
      <c r="O946" s="192" t="s">
        <v>66</v>
      </c>
      <c r="P946" s="192" t="s">
        <v>67</v>
      </c>
      <c r="Q946" s="145"/>
      <c r="R946" s="145">
        <v>46132</v>
      </c>
      <c r="S946" s="192"/>
    </row>
    <row r="947" spans="1:19" ht="107.4" customHeight="1" x14ac:dyDescent="0.25">
      <c r="A947" s="197" t="str">
        <f t="shared" si="23"/>
        <v>INC20260420946</v>
      </c>
      <c r="B947" s="199">
        <v>46132.677083333336</v>
      </c>
      <c r="C947" s="192" t="s">
        <v>37</v>
      </c>
      <c r="D947" s="194" t="s">
        <v>1598</v>
      </c>
      <c r="E947" s="192" t="s">
        <v>50</v>
      </c>
      <c r="F947" s="192" t="s">
        <v>40</v>
      </c>
      <c r="G947" s="192" t="s">
        <v>51</v>
      </c>
      <c r="H947" s="192" t="s">
        <v>42</v>
      </c>
      <c r="I947" s="192" t="s">
        <v>630</v>
      </c>
      <c r="J947" s="195" t="s">
        <v>2576</v>
      </c>
      <c r="K947" s="192" t="s">
        <v>54</v>
      </c>
      <c r="L947" s="192" t="s">
        <v>55</v>
      </c>
      <c r="M947" s="146" t="s">
        <v>5</v>
      </c>
      <c r="N947" s="192" t="s">
        <v>1608</v>
      </c>
      <c r="O947" s="192" t="s">
        <v>911</v>
      </c>
      <c r="P947" s="144" t="s">
        <v>912</v>
      </c>
      <c r="Q947" s="145">
        <v>46132</v>
      </c>
      <c r="R947" s="145">
        <v>46132</v>
      </c>
      <c r="S947" s="192"/>
    </row>
    <row r="948" spans="1:19" ht="131.4" customHeight="1" x14ac:dyDescent="0.25">
      <c r="A948" s="197" t="str">
        <f t="shared" si="23"/>
        <v>INC20260420947</v>
      </c>
      <c r="B948" s="199">
        <v>46132.702777777777</v>
      </c>
      <c r="C948" s="192" t="s">
        <v>37</v>
      </c>
      <c r="D948" s="194" t="s">
        <v>57</v>
      </c>
      <c r="E948" s="192" t="s">
        <v>69</v>
      </c>
      <c r="F948" s="192" t="s">
        <v>59</v>
      </c>
      <c r="G948" s="192" t="s">
        <v>41</v>
      </c>
      <c r="H948" s="192" t="s">
        <v>61</v>
      </c>
      <c r="I948" s="192" t="s">
        <v>62</v>
      </c>
      <c r="J948" s="121" t="s">
        <v>2577</v>
      </c>
      <c r="K948" s="192" t="s">
        <v>63</v>
      </c>
      <c r="L948" s="146" t="s">
        <v>6</v>
      </c>
      <c r="M948" s="146" t="s">
        <v>5</v>
      </c>
      <c r="N948" s="192" t="s">
        <v>1665</v>
      </c>
      <c r="O948" s="192" t="s">
        <v>66</v>
      </c>
      <c r="P948" s="192" t="s">
        <v>67</v>
      </c>
      <c r="Q948" s="145">
        <v>46134</v>
      </c>
      <c r="R948" s="145">
        <v>46132</v>
      </c>
      <c r="S948" s="192"/>
    </row>
    <row r="949" spans="1:19" ht="130.80000000000001" customHeight="1" x14ac:dyDescent="0.25">
      <c r="A949" s="197" t="str">
        <f t="shared" si="23"/>
        <v>INC20260420948</v>
      </c>
      <c r="B949" s="199">
        <v>46132.76458333333</v>
      </c>
      <c r="C949" s="192" t="s">
        <v>37</v>
      </c>
      <c r="D949" s="194" t="s">
        <v>57</v>
      </c>
      <c r="E949" s="192" t="s">
        <v>69</v>
      </c>
      <c r="F949" s="192" t="s">
        <v>40</v>
      </c>
      <c r="G949" s="192" t="s">
        <v>60</v>
      </c>
      <c r="H949" s="192" t="s">
        <v>79</v>
      </c>
      <c r="I949" s="192" t="s">
        <v>84</v>
      </c>
      <c r="J949" s="121" t="s">
        <v>2578</v>
      </c>
      <c r="K949" s="192" t="s">
        <v>110</v>
      </c>
      <c r="L949" s="192" t="s">
        <v>81</v>
      </c>
      <c r="M949" s="146" t="s">
        <v>5</v>
      </c>
      <c r="N949" s="192" t="s">
        <v>1607</v>
      </c>
      <c r="O949" s="192" t="s">
        <v>86</v>
      </c>
      <c r="P949" s="192" t="s">
        <v>87</v>
      </c>
      <c r="Q949" s="145">
        <v>46132</v>
      </c>
      <c r="R949" s="145">
        <v>46132</v>
      </c>
      <c r="S949" s="192"/>
    </row>
    <row r="950" spans="1:19" ht="120" customHeight="1" x14ac:dyDescent="0.25">
      <c r="A950" s="197" t="str">
        <f t="shared" si="23"/>
        <v>INC20260420949</v>
      </c>
      <c r="B950" s="199">
        <v>46132.791666666664</v>
      </c>
      <c r="C950" s="192" t="s">
        <v>37</v>
      </c>
      <c r="D950" s="194" t="s">
        <v>1609</v>
      </c>
      <c r="E950" s="192" t="s">
        <v>50</v>
      </c>
      <c r="F950" s="192" t="s">
        <v>40</v>
      </c>
      <c r="G950" s="192" t="s">
        <v>51</v>
      </c>
      <c r="H950" s="192" t="s">
        <v>42</v>
      </c>
      <c r="I950" s="192" t="s">
        <v>630</v>
      </c>
      <c r="J950" s="195" t="s">
        <v>2579</v>
      </c>
      <c r="K950" s="192" t="s">
        <v>54</v>
      </c>
      <c r="L950" s="192" t="s">
        <v>55</v>
      </c>
      <c r="M950" s="146" t="s">
        <v>5</v>
      </c>
      <c r="N950" s="192" t="s">
        <v>1632</v>
      </c>
      <c r="O950" s="192" t="s">
        <v>911</v>
      </c>
      <c r="P950" s="144" t="s">
        <v>912</v>
      </c>
      <c r="Q950" s="145"/>
      <c r="R950" s="145">
        <v>46132</v>
      </c>
      <c r="S950" s="192"/>
    </row>
    <row r="951" spans="1:19" ht="126" customHeight="1" x14ac:dyDescent="0.25">
      <c r="A951" s="197" t="str">
        <f t="shared" si="23"/>
        <v>INC20260420950</v>
      </c>
      <c r="B951" s="199">
        <v>46132.959722222222</v>
      </c>
      <c r="C951" s="192" t="s">
        <v>37</v>
      </c>
      <c r="D951" s="194" t="s">
        <v>1610</v>
      </c>
      <c r="E951" s="192" t="s">
        <v>50</v>
      </c>
      <c r="F951" s="192" t="s">
        <v>40</v>
      </c>
      <c r="G951" s="192" t="s">
        <v>51</v>
      </c>
      <c r="H951" s="192" t="s">
        <v>92</v>
      </c>
      <c r="I951" s="192" t="s">
        <v>403</v>
      </c>
      <c r="J951" s="195" t="s">
        <v>2580</v>
      </c>
      <c r="K951" s="192" t="s">
        <v>54</v>
      </c>
      <c r="L951" s="192" t="s">
        <v>55</v>
      </c>
      <c r="M951" s="146" t="s">
        <v>5</v>
      </c>
      <c r="N951" s="192" t="s">
        <v>1633</v>
      </c>
      <c r="O951" s="192"/>
      <c r="P951" s="192"/>
      <c r="Q951" s="145"/>
      <c r="R951" s="145">
        <v>46132</v>
      </c>
      <c r="S951" s="192"/>
    </row>
    <row r="952" spans="1:19" ht="127.8" customHeight="1" x14ac:dyDescent="0.25">
      <c r="A952" s="197" t="str">
        <f t="shared" si="23"/>
        <v>INC20260420951</v>
      </c>
      <c r="B952" s="199">
        <v>46132.997916666667</v>
      </c>
      <c r="C952" s="192" t="s">
        <v>37</v>
      </c>
      <c r="D952" s="194" t="s">
        <v>1611</v>
      </c>
      <c r="E952" s="192" t="s">
        <v>50</v>
      </c>
      <c r="F952" s="192" t="s">
        <v>40</v>
      </c>
      <c r="G952" s="192" t="s">
        <v>51</v>
      </c>
      <c r="H952" s="192" t="s">
        <v>42</v>
      </c>
      <c r="I952" s="192" t="s">
        <v>630</v>
      </c>
      <c r="J952" s="195" t="s">
        <v>2581</v>
      </c>
      <c r="K952" s="192" t="s">
        <v>54</v>
      </c>
      <c r="L952" s="192" t="s">
        <v>55</v>
      </c>
      <c r="M952" s="146" t="s">
        <v>5</v>
      </c>
      <c r="N952" s="192" t="s">
        <v>1634</v>
      </c>
      <c r="O952" s="192" t="s">
        <v>911</v>
      </c>
      <c r="P952" s="144" t="s">
        <v>912</v>
      </c>
      <c r="Q952" s="145">
        <v>46133</v>
      </c>
      <c r="R952" s="145">
        <v>46132</v>
      </c>
      <c r="S952" s="192"/>
    </row>
    <row r="953" spans="1:19" ht="120.6" customHeight="1" x14ac:dyDescent="0.25">
      <c r="A953" s="197" t="str">
        <f t="shared" si="23"/>
        <v>INC20260421952</v>
      </c>
      <c r="B953" s="199">
        <v>46133.186111111114</v>
      </c>
      <c r="C953" s="192" t="s">
        <v>37</v>
      </c>
      <c r="D953" s="194" t="s">
        <v>1612</v>
      </c>
      <c r="E953" s="192" t="s">
        <v>50</v>
      </c>
      <c r="F953" s="192" t="s">
        <v>40</v>
      </c>
      <c r="G953" s="192" t="s">
        <v>51</v>
      </c>
      <c r="H953" s="192" t="s">
        <v>42</v>
      </c>
      <c r="I953" s="192" t="s">
        <v>630</v>
      </c>
      <c r="J953" s="195" t="s">
        <v>2582</v>
      </c>
      <c r="K953" s="192" t="s">
        <v>54</v>
      </c>
      <c r="L953" s="192" t="s">
        <v>55</v>
      </c>
      <c r="M953" s="146" t="s">
        <v>5</v>
      </c>
      <c r="N953" s="192" t="s">
        <v>1635</v>
      </c>
      <c r="O953" s="192" t="s">
        <v>911</v>
      </c>
      <c r="P953" s="144" t="s">
        <v>912</v>
      </c>
      <c r="Q953" s="145">
        <v>46133</v>
      </c>
      <c r="R953" s="145">
        <v>46132</v>
      </c>
      <c r="S953" s="192"/>
    </row>
    <row r="954" spans="1:19" ht="113.4" customHeight="1" x14ac:dyDescent="0.25">
      <c r="A954" s="197" t="str">
        <f t="shared" si="23"/>
        <v>INC20260421953</v>
      </c>
      <c r="B954" s="199">
        <v>46133.201388888891</v>
      </c>
      <c r="C954" s="192" t="s">
        <v>37</v>
      </c>
      <c r="D954" s="194" t="s">
        <v>1613</v>
      </c>
      <c r="E954" s="192" t="s">
        <v>50</v>
      </c>
      <c r="F954" s="192" t="s">
        <v>40</v>
      </c>
      <c r="G954" s="192" t="s">
        <v>51</v>
      </c>
      <c r="H954" s="192" t="s">
        <v>42</v>
      </c>
      <c r="I954" s="192" t="s">
        <v>630</v>
      </c>
      <c r="J954" s="195" t="s">
        <v>1614</v>
      </c>
      <c r="K954" s="192" t="s">
        <v>54</v>
      </c>
      <c r="L954" s="192" t="s">
        <v>55</v>
      </c>
      <c r="M954" s="146" t="s">
        <v>5</v>
      </c>
      <c r="N954" s="192" t="s">
        <v>1636</v>
      </c>
      <c r="O954" s="192" t="s">
        <v>911</v>
      </c>
      <c r="P954" s="144" t="s">
        <v>912</v>
      </c>
      <c r="Q954" s="145">
        <v>46133</v>
      </c>
      <c r="R954" s="145">
        <v>46132</v>
      </c>
      <c r="S954" s="192"/>
    </row>
    <row r="955" spans="1:19" ht="127.2" customHeight="1" x14ac:dyDescent="0.25">
      <c r="A955" s="197" t="str">
        <f t="shared" si="23"/>
        <v>INC20260421954</v>
      </c>
      <c r="B955" s="199">
        <v>46133.537499999999</v>
      </c>
      <c r="C955" s="192" t="s">
        <v>37</v>
      </c>
      <c r="D955" s="194" t="s">
        <v>1598</v>
      </c>
      <c r="E955" s="192" t="s">
        <v>50</v>
      </c>
      <c r="F955" s="192" t="s">
        <v>40</v>
      </c>
      <c r="G955" s="192" t="s">
        <v>51</v>
      </c>
      <c r="H955" s="192" t="s">
        <v>42</v>
      </c>
      <c r="I955" s="192" t="s">
        <v>630</v>
      </c>
      <c r="J955" s="195" t="s">
        <v>1618</v>
      </c>
      <c r="K955" s="192" t="s">
        <v>54</v>
      </c>
      <c r="L955" s="192" t="s">
        <v>55</v>
      </c>
      <c r="M955" s="146" t="s">
        <v>5</v>
      </c>
      <c r="N955" s="192" t="s">
        <v>1619</v>
      </c>
      <c r="O955" s="192" t="s">
        <v>911</v>
      </c>
      <c r="P955" s="144" t="s">
        <v>912</v>
      </c>
      <c r="Q955" s="145">
        <v>46133</v>
      </c>
      <c r="R955" s="145">
        <v>46132</v>
      </c>
      <c r="S955" s="192"/>
    </row>
    <row r="956" spans="1:19" ht="116.4" customHeight="1" x14ac:dyDescent="0.25">
      <c r="A956" s="197" t="str">
        <f t="shared" si="23"/>
        <v>INC20260421955</v>
      </c>
      <c r="B956" s="199">
        <v>46133.431944444441</v>
      </c>
      <c r="C956" s="192" t="s">
        <v>37</v>
      </c>
      <c r="D956" s="194" t="s">
        <v>49</v>
      </c>
      <c r="E956" s="192" t="s">
        <v>50</v>
      </c>
      <c r="F956" s="192" t="s">
        <v>40</v>
      </c>
      <c r="G956" s="192" t="s">
        <v>51</v>
      </c>
      <c r="H956" s="192" t="s">
        <v>92</v>
      </c>
      <c r="I956" s="192" t="s">
        <v>93</v>
      </c>
      <c r="J956" s="195" t="s">
        <v>2583</v>
      </c>
      <c r="K956" s="192" t="s">
        <v>54</v>
      </c>
      <c r="L956" s="192" t="s">
        <v>55</v>
      </c>
      <c r="M956" s="146" t="s">
        <v>5</v>
      </c>
      <c r="N956" s="192" t="s">
        <v>2687</v>
      </c>
      <c r="O956" s="192" t="s">
        <v>95</v>
      </c>
      <c r="P956" s="192" t="s">
        <v>96</v>
      </c>
      <c r="Q956" s="145">
        <v>46136</v>
      </c>
      <c r="R956" s="145">
        <v>46132</v>
      </c>
      <c r="S956" s="192"/>
    </row>
    <row r="957" spans="1:19" ht="128.4" customHeight="1" x14ac:dyDescent="0.25">
      <c r="A957" s="197" t="str">
        <f t="shared" si="23"/>
        <v>INC20260421956</v>
      </c>
      <c r="B957" s="199">
        <v>46133.558333333334</v>
      </c>
      <c r="C957" s="192" t="s">
        <v>37</v>
      </c>
      <c r="D957" s="194" t="s">
        <v>49</v>
      </c>
      <c r="E957" s="192" t="s">
        <v>50</v>
      </c>
      <c r="F957" s="192" t="s">
        <v>40</v>
      </c>
      <c r="G957" s="192" t="s">
        <v>51</v>
      </c>
      <c r="H957" s="192" t="s">
        <v>92</v>
      </c>
      <c r="I957" s="192" t="s">
        <v>93</v>
      </c>
      <c r="J957" s="195" t="s">
        <v>2584</v>
      </c>
      <c r="K957" s="192" t="s">
        <v>54</v>
      </c>
      <c r="L957" s="192" t="s">
        <v>55</v>
      </c>
      <c r="M957" s="146" t="s">
        <v>5</v>
      </c>
      <c r="N957" s="192" t="s">
        <v>1664</v>
      </c>
      <c r="O957" s="192" t="s">
        <v>95</v>
      </c>
      <c r="P957" s="192" t="s">
        <v>96</v>
      </c>
      <c r="Q957" s="145">
        <v>46134</v>
      </c>
      <c r="R957" s="145">
        <v>46132</v>
      </c>
      <c r="S957" s="192"/>
    </row>
    <row r="958" spans="1:19" ht="147" customHeight="1" x14ac:dyDescent="0.25">
      <c r="A958" s="197" t="str">
        <f t="shared" si="23"/>
        <v>INC20260416957</v>
      </c>
      <c r="B958" s="199">
        <v>46128</v>
      </c>
      <c r="C958" s="192" t="s">
        <v>37</v>
      </c>
      <c r="D958" s="194" t="s">
        <v>49</v>
      </c>
      <c r="E958" s="192" t="s">
        <v>50</v>
      </c>
      <c r="F958" s="192" t="s">
        <v>40</v>
      </c>
      <c r="G958" s="192" t="s">
        <v>51</v>
      </c>
      <c r="H958" s="192" t="s">
        <v>52</v>
      </c>
      <c r="I958" s="192" t="s">
        <v>53</v>
      </c>
      <c r="J958" s="195" t="s">
        <v>2585</v>
      </c>
      <c r="K958" s="192" t="s">
        <v>54</v>
      </c>
      <c r="L958" s="192" t="s">
        <v>55</v>
      </c>
      <c r="M958" s="146" t="s">
        <v>5</v>
      </c>
      <c r="N958" s="192" t="s">
        <v>1620</v>
      </c>
      <c r="O958" s="192"/>
      <c r="P958" s="192"/>
      <c r="Q958" s="145">
        <v>46128</v>
      </c>
      <c r="R958" s="145">
        <v>46132</v>
      </c>
      <c r="S958" s="192"/>
    </row>
    <row r="959" spans="1:19" ht="128.4" customHeight="1" x14ac:dyDescent="0.25">
      <c r="A959" s="197" t="str">
        <f t="shared" si="23"/>
        <v>INC20260421958</v>
      </c>
      <c r="B959" s="199">
        <v>46133.390277777777</v>
      </c>
      <c r="C959" s="192" t="s">
        <v>37</v>
      </c>
      <c r="D959" s="194" t="s">
        <v>49</v>
      </c>
      <c r="E959" s="192" t="s">
        <v>50</v>
      </c>
      <c r="F959" s="192" t="s">
        <v>40</v>
      </c>
      <c r="G959" s="192" t="s">
        <v>51</v>
      </c>
      <c r="H959" s="192" t="s">
        <v>52</v>
      </c>
      <c r="I959" s="192" t="s">
        <v>53</v>
      </c>
      <c r="J959" s="195" t="s">
        <v>2586</v>
      </c>
      <c r="K959" s="192" t="s">
        <v>54</v>
      </c>
      <c r="L959" s="192" t="s">
        <v>55</v>
      </c>
      <c r="M959" s="146" t="s">
        <v>5</v>
      </c>
      <c r="N959" s="192" t="s">
        <v>1620</v>
      </c>
      <c r="O959" s="192"/>
      <c r="P959" s="192"/>
      <c r="Q959" s="145"/>
      <c r="R959" s="145">
        <v>46132</v>
      </c>
      <c r="S959" s="192"/>
    </row>
    <row r="960" spans="1:19" ht="139.19999999999999" customHeight="1" x14ac:dyDescent="0.25">
      <c r="A960" s="197" t="str">
        <f t="shared" si="23"/>
        <v>INC20260421959</v>
      </c>
      <c r="B960" s="199">
        <v>46133.414583333331</v>
      </c>
      <c r="C960" s="192" t="s">
        <v>37</v>
      </c>
      <c r="D960" s="194" t="s">
        <v>49</v>
      </c>
      <c r="E960" s="192" t="s">
        <v>50</v>
      </c>
      <c r="F960" s="192" t="s">
        <v>40</v>
      </c>
      <c r="G960" s="192" t="s">
        <v>51</v>
      </c>
      <c r="H960" s="192" t="s">
        <v>92</v>
      </c>
      <c r="I960" s="192" t="s">
        <v>93</v>
      </c>
      <c r="J960" s="195" t="s">
        <v>2587</v>
      </c>
      <c r="K960" s="192" t="s">
        <v>54</v>
      </c>
      <c r="L960" s="192" t="s">
        <v>55</v>
      </c>
      <c r="M960" s="146" t="s">
        <v>6</v>
      </c>
      <c r="N960" s="192" t="s">
        <v>1615</v>
      </c>
      <c r="O960" s="192" t="s">
        <v>95</v>
      </c>
      <c r="P960" s="192" t="s">
        <v>96</v>
      </c>
      <c r="Q960" s="145"/>
      <c r="R960" s="145">
        <v>46132</v>
      </c>
      <c r="S960" s="192"/>
    </row>
    <row r="961" spans="1:19" ht="135" customHeight="1" x14ac:dyDescent="0.25">
      <c r="A961" s="197" t="str">
        <f t="shared" si="23"/>
        <v>INC20260421960</v>
      </c>
      <c r="B961" s="199">
        <v>46133.598611111112</v>
      </c>
      <c r="C961" s="192" t="s">
        <v>37</v>
      </c>
      <c r="D961" s="194" t="s">
        <v>49</v>
      </c>
      <c r="E961" s="192" t="s">
        <v>50</v>
      </c>
      <c r="F961" s="192" t="s">
        <v>40</v>
      </c>
      <c r="G961" s="192" t="s">
        <v>51</v>
      </c>
      <c r="H961" s="192" t="s">
        <v>52</v>
      </c>
      <c r="I961" s="192" t="s">
        <v>53</v>
      </c>
      <c r="J961" s="195" t="s">
        <v>2588</v>
      </c>
      <c r="K961" s="192" t="s">
        <v>54</v>
      </c>
      <c r="L961" s="146" t="s">
        <v>5</v>
      </c>
      <c r="M961" s="146" t="s">
        <v>5</v>
      </c>
      <c r="N961" s="192" t="s">
        <v>1639</v>
      </c>
      <c r="O961" s="192"/>
      <c r="P961" s="192"/>
      <c r="Q961" s="145">
        <v>46133</v>
      </c>
      <c r="R961" s="145">
        <v>46134</v>
      </c>
      <c r="S961" s="192"/>
    </row>
    <row r="962" spans="1:19" ht="127.2" customHeight="1" x14ac:dyDescent="0.25">
      <c r="A962" s="197" t="str">
        <f t="shared" si="23"/>
        <v>INC20260421961</v>
      </c>
      <c r="B962" s="199">
        <v>46133.699305555558</v>
      </c>
      <c r="C962" s="192" t="s">
        <v>37</v>
      </c>
      <c r="D962" s="194" t="s">
        <v>1640</v>
      </c>
      <c r="E962" s="192" t="s">
        <v>50</v>
      </c>
      <c r="F962" s="192" t="s">
        <v>40</v>
      </c>
      <c r="G962" s="192" t="s">
        <v>51</v>
      </c>
      <c r="H962" s="192" t="s">
        <v>92</v>
      </c>
      <c r="I962" s="192" t="s">
        <v>403</v>
      </c>
      <c r="J962" s="195" t="s">
        <v>2589</v>
      </c>
      <c r="K962" s="192" t="s">
        <v>54</v>
      </c>
      <c r="L962" s="192" t="s">
        <v>55</v>
      </c>
      <c r="M962" s="146" t="s">
        <v>5</v>
      </c>
      <c r="N962" s="192" t="s">
        <v>1641</v>
      </c>
      <c r="O962" s="192"/>
      <c r="P962" s="192"/>
      <c r="Q962" s="145">
        <v>46133</v>
      </c>
      <c r="R962" s="145">
        <v>46134</v>
      </c>
      <c r="S962" s="192"/>
    </row>
    <row r="963" spans="1:19" ht="123.6" customHeight="1" x14ac:dyDescent="0.25">
      <c r="A963" s="197" t="str">
        <f t="shared" si="23"/>
        <v>INC20260421962</v>
      </c>
      <c r="B963" s="199">
        <v>46133.76458333333</v>
      </c>
      <c r="C963" s="192" t="s">
        <v>37</v>
      </c>
      <c r="D963" s="194" t="s">
        <v>1644</v>
      </c>
      <c r="E963" s="192" t="s">
        <v>50</v>
      </c>
      <c r="F963" s="192" t="s">
        <v>40</v>
      </c>
      <c r="G963" s="192" t="s">
        <v>51</v>
      </c>
      <c r="H963" s="192" t="s">
        <v>42</v>
      </c>
      <c r="I963" s="192" t="s">
        <v>630</v>
      </c>
      <c r="J963" s="195" t="s">
        <v>1645</v>
      </c>
      <c r="K963" s="192" t="s">
        <v>54</v>
      </c>
      <c r="L963" s="192" t="s">
        <v>55</v>
      </c>
      <c r="M963" s="146" t="s">
        <v>5</v>
      </c>
      <c r="N963" s="192" t="s">
        <v>1646</v>
      </c>
      <c r="O963" s="192" t="s">
        <v>911</v>
      </c>
      <c r="P963" s="144" t="s">
        <v>912</v>
      </c>
      <c r="Q963" s="145">
        <v>46133</v>
      </c>
      <c r="R963" s="145">
        <v>46134</v>
      </c>
      <c r="S963" s="192"/>
    </row>
    <row r="964" spans="1:19" ht="127.8" customHeight="1" x14ac:dyDescent="0.25">
      <c r="A964" s="197" t="str">
        <f t="shared" si="23"/>
        <v>INC20260422963</v>
      </c>
      <c r="B964" s="199">
        <v>46134.261111111111</v>
      </c>
      <c r="C964" s="192" t="s">
        <v>37</v>
      </c>
      <c r="D964" s="194" t="s">
        <v>1647</v>
      </c>
      <c r="E964" s="192" t="s">
        <v>50</v>
      </c>
      <c r="F964" s="192" t="s">
        <v>40</v>
      </c>
      <c r="G964" s="192" t="s">
        <v>51</v>
      </c>
      <c r="H964" s="192" t="s">
        <v>42</v>
      </c>
      <c r="I964" s="192" t="s">
        <v>630</v>
      </c>
      <c r="J964" s="195" t="s">
        <v>1648</v>
      </c>
      <c r="K964" s="192" t="s">
        <v>54</v>
      </c>
      <c r="L964" s="192" t="s">
        <v>55</v>
      </c>
      <c r="M964" s="146" t="s">
        <v>5</v>
      </c>
      <c r="N964" s="192" t="s">
        <v>1650</v>
      </c>
      <c r="O964" s="192" t="s">
        <v>911</v>
      </c>
      <c r="P964" s="144" t="s">
        <v>912</v>
      </c>
      <c r="Q964" s="145"/>
      <c r="R964" s="145">
        <v>46134</v>
      </c>
      <c r="S964" s="192"/>
    </row>
    <row r="965" spans="1:19" ht="122.4" customHeight="1" x14ac:dyDescent="0.25">
      <c r="A965" s="197" t="str">
        <f t="shared" si="23"/>
        <v>INC20260422964</v>
      </c>
      <c r="B965" s="199">
        <v>46134.313888888886</v>
      </c>
      <c r="C965" s="192" t="s">
        <v>37</v>
      </c>
      <c r="D965" s="194" t="s">
        <v>1598</v>
      </c>
      <c r="E965" s="192" t="s">
        <v>50</v>
      </c>
      <c r="F965" s="192" t="s">
        <v>40</v>
      </c>
      <c r="G965" s="192" t="s">
        <v>51</v>
      </c>
      <c r="H965" s="192" t="s">
        <v>42</v>
      </c>
      <c r="I965" s="192" t="s">
        <v>630</v>
      </c>
      <c r="J965" s="195" t="s">
        <v>1649</v>
      </c>
      <c r="K965" s="192" t="s">
        <v>54</v>
      </c>
      <c r="L965" s="192" t="s">
        <v>55</v>
      </c>
      <c r="M965" s="146" t="s">
        <v>5</v>
      </c>
      <c r="N965" s="192" t="s">
        <v>1652</v>
      </c>
      <c r="O965" s="192" t="s">
        <v>911</v>
      </c>
      <c r="P965" s="144" t="s">
        <v>912</v>
      </c>
      <c r="Q965" s="145">
        <v>46134</v>
      </c>
      <c r="R965" s="145">
        <v>46134</v>
      </c>
      <c r="S965" s="192"/>
    </row>
    <row r="966" spans="1:19" ht="123.6" customHeight="1" x14ac:dyDescent="0.25">
      <c r="A966" s="197" t="str">
        <f t="shared" si="23"/>
        <v>INC20260422965</v>
      </c>
      <c r="B966" s="199">
        <v>46134.34652777778</v>
      </c>
      <c r="C966" s="192" t="s">
        <v>37</v>
      </c>
      <c r="D966" s="194" t="s">
        <v>38</v>
      </c>
      <c r="E966" s="192" t="s">
        <v>39</v>
      </c>
      <c r="F966" s="192" t="s">
        <v>40</v>
      </c>
      <c r="G966" s="192" t="s">
        <v>41</v>
      </c>
      <c r="H966" s="192" t="s">
        <v>42</v>
      </c>
      <c r="I966" s="192" t="s">
        <v>43</v>
      </c>
      <c r="J966" s="195" t="s">
        <v>2590</v>
      </c>
      <c r="K966" s="192" t="s">
        <v>44</v>
      </c>
      <c r="L966" s="192" t="s">
        <v>45</v>
      </c>
      <c r="M966" s="143" t="s">
        <v>5</v>
      </c>
      <c r="N966" s="198" t="s">
        <v>1652</v>
      </c>
      <c r="O966" s="192"/>
      <c r="P966" s="144" t="s">
        <v>47</v>
      </c>
      <c r="Q966" s="145">
        <v>46134</v>
      </c>
      <c r="R966" s="145">
        <v>46134</v>
      </c>
      <c r="S966" s="192"/>
    </row>
    <row r="967" spans="1:19" ht="121.8" customHeight="1" x14ac:dyDescent="0.25">
      <c r="A967" s="197" t="str">
        <f t="shared" si="23"/>
        <v>INC20260422966</v>
      </c>
      <c r="B967" s="199">
        <v>46134.453472222223</v>
      </c>
      <c r="C967" s="192" t="s">
        <v>37</v>
      </c>
      <c r="D967" s="194" t="s">
        <v>78</v>
      </c>
      <c r="E967" s="192" t="s">
        <v>50</v>
      </c>
      <c r="F967" s="192" t="s">
        <v>40</v>
      </c>
      <c r="G967" s="192" t="s">
        <v>51</v>
      </c>
      <c r="H967" s="192" t="s">
        <v>42</v>
      </c>
      <c r="I967" s="192" t="s">
        <v>43</v>
      </c>
      <c r="J967" s="195" t="s">
        <v>2591</v>
      </c>
      <c r="K967" s="192" t="s">
        <v>44</v>
      </c>
      <c r="L967" s="192" t="s">
        <v>45</v>
      </c>
      <c r="M967" s="143" t="s">
        <v>5</v>
      </c>
      <c r="N967" s="198" t="s">
        <v>1663</v>
      </c>
      <c r="O967" s="192"/>
      <c r="P967" s="144" t="s">
        <v>47</v>
      </c>
      <c r="Q967" s="145">
        <v>46134</v>
      </c>
      <c r="R967" s="145">
        <v>46134</v>
      </c>
      <c r="S967" s="192"/>
    </row>
    <row r="968" spans="1:19" ht="127.8" customHeight="1" x14ac:dyDescent="0.25">
      <c r="A968" s="197" t="str">
        <f t="shared" si="23"/>
        <v>INC20260422967</v>
      </c>
      <c r="B968" s="199">
        <v>46134.452777777777</v>
      </c>
      <c r="C968" s="192" t="s">
        <v>37</v>
      </c>
      <c r="D968" s="194" t="s">
        <v>57</v>
      </c>
      <c r="E968" s="192" t="s">
        <v>69</v>
      </c>
      <c r="F968" s="192" t="s">
        <v>59</v>
      </c>
      <c r="G968" s="192" t="s">
        <v>41</v>
      </c>
      <c r="H968" s="192" t="s">
        <v>61</v>
      </c>
      <c r="I968" s="192" t="s">
        <v>62</v>
      </c>
      <c r="J968" s="121" t="s">
        <v>2592</v>
      </c>
      <c r="K968" s="192" t="s">
        <v>63</v>
      </c>
      <c r="L968" s="146" t="s">
        <v>6</v>
      </c>
      <c r="M968" s="146" t="s">
        <v>5</v>
      </c>
      <c r="N968" s="192" t="s">
        <v>2688</v>
      </c>
      <c r="O968" s="192" t="s">
        <v>66</v>
      </c>
      <c r="P968" s="192" t="s">
        <v>67</v>
      </c>
      <c r="Q968" s="145">
        <v>46136</v>
      </c>
      <c r="R968" s="145">
        <v>46134</v>
      </c>
      <c r="S968" s="192"/>
    </row>
    <row r="969" spans="1:19" ht="121.8" customHeight="1" x14ac:dyDescent="0.25">
      <c r="A969" s="197" t="str">
        <f t="shared" si="23"/>
        <v>INC20260422968</v>
      </c>
      <c r="B969" s="199">
        <v>46134.552083333336</v>
      </c>
      <c r="C969" s="192" t="s">
        <v>37</v>
      </c>
      <c r="D969" s="194" t="s">
        <v>1655</v>
      </c>
      <c r="E969" s="192" t="s">
        <v>225</v>
      </c>
      <c r="F969" s="192" t="s">
        <v>59</v>
      </c>
      <c r="G969" s="192" t="s">
        <v>41</v>
      </c>
      <c r="H969" s="192" t="s">
        <v>61</v>
      </c>
      <c r="I969" s="192" t="s">
        <v>62</v>
      </c>
      <c r="J969" s="121" t="s">
        <v>2593</v>
      </c>
      <c r="K969" s="192" t="s">
        <v>63</v>
      </c>
      <c r="L969" s="146" t="s">
        <v>6</v>
      </c>
      <c r="M969" s="146" t="s">
        <v>5</v>
      </c>
      <c r="N969" s="192" t="s">
        <v>2614</v>
      </c>
      <c r="O969" s="192" t="s">
        <v>66</v>
      </c>
      <c r="P969" s="192" t="s">
        <v>67</v>
      </c>
      <c r="Q969" s="145"/>
      <c r="R969" s="145">
        <v>46135</v>
      </c>
      <c r="S969" s="192"/>
    </row>
    <row r="970" spans="1:19" ht="114" customHeight="1" x14ac:dyDescent="0.25">
      <c r="A970" s="197" t="str">
        <f t="shared" si="23"/>
        <v>INC20260422969</v>
      </c>
      <c r="B970" s="199">
        <v>46134.565972222219</v>
      </c>
      <c r="C970" s="192" t="s">
        <v>37</v>
      </c>
      <c r="D970" s="194" t="s">
        <v>1661</v>
      </c>
      <c r="E970" s="192" t="s">
        <v>50</v>
      </c>
      <c r="F970" s="192" t="s">
        <v>40</v>
      </c>
      <c r="G970" s="192" t="s">
        <v>51</v>
      </c>
      <c r="H970" s="192" t="s">
        <v>42</v>
      </c>
      <c r="I970" s="192" t="s">
        <v>630</v>
      </c>
      <c r="J970" s="195" t="s">
        <v>1662</v>
      </c>
      <c r="K970" s="192" t="s">
        <v>54</v>
      </c>
      <c r="L970" s="192" t="s">
        <v>55</v>
      </c>
      <c r="M970" s="146" t="s">
        <v>5</v>
      </c>
      <c r="N970" s="192" t="s">
        <v>1663</v>
      </c>
      <c r="O970" s="192" t="s">
        <v>911</v>
      </c>
      <c r="P970" s="144" t="s">
        <v>912</v>
      </c>
      <c r="Q970" s="145">
        <v>46134</v>
      </c>
      <c r="R970" s="145">
        <v>46135</v>
      </c>
      <c r="S970" s="192"/>
    </row>
    <row r="971" spans="1:19" ht="118.8" customHeight="1" x14ac:dyDescent="0.25">
      <c r="A971" s="197" t="str">
        <f t="shared" si="23"/>
        <v>INC20260423970</v>
      </c>
      <c r="B971" s="199">
        <v>46135.020138888889</v>
      </c>
      <c r="C971" s="192" t="s">
        <v>37</v>
      </c>
      <c r="D971" s="194" t="s">
        <v>1666</v>
      </c>
      <c r="E971" s="192" t="s">
        <v>50</v>
      </c>
      <c r="F971" s="192" t="s">
        <v>40</v>
      </c>
      <c r="G971" s="192" t="s">
        <v>51</v>
      </c>
      <c r="H971" s="192" t="s">
        <v>42</v>
      </c>
      <c r="I971" s="192" t="s">
        <v>630</v>
      </c>
      <c r="J971" s="195" t="s">
        <v>1667</v>
      </c>
      <c r="K971" s="192" t="s">
        <v>54</v>
      </c>
      <c r="L971" s="192" t="s">
        <v>55</v>
      </c>
      <c r="M971" s="146" t="s">
        <v>5</v>
      </c>
      <c r="N971" s="192" t="s">
        <v>1668</v>
      </c>
      <c r="O971" s="192" t="s">
        <v>911</v>
      </c>
      <c r="P971" s="144" t="s">
        <v>912</v>
      </c>
      <c r="Q971" s="145">
        <v>46135</v>
      </c>
      <c r="R971" s="145">
        <v>46135</v>
      </c>
      <c r="S971" s="192"/>
    </row>
    <row r="972" spans="1:19" ht="135" customHeight="1" x14ac:dyDescent="0.25">
      <c r="A972" s="197" t="str">
        <f t="shared" si="23"/>
        <v>INC20260423971</v>
      </c>
      <c r="B972" s="199">
        <v>46135.043749999997</v>
      </c>
      <c r="C972" s="192" t="s">
        <v>37</v>
      </c>
      <c r="D972" s="194" t="s">
        <v>1669</v>
      </c>
      <c r="E972" s="192" t="s">
        <v>50</v>
      </c>
      <c r="F972" s="192" t="s">
        <v>40</v>
      </c>
      <c r="G972" s="192" t="s">
        <v>51</v>
      </c>
      <c r="H972" s="192" t="s">
        <v>42</v>
      </c>
      <c r="I972" s="192" t="s">
        <v>630</v>
      </c>
      <c r="J972" s="195" t="s">
        <v>1670</v>
      </c>
      <c r="K972" s="192" t="s">
        <v>54</v>
      </c>
      <c r="L972" s="192" t="s">
        <v>55</v>
      </c>
      <c r="M972" s="146" t="s">
        <v>5</v>
      </c>
      <c r="N972" s="192" t="s">
        <v>1675</v>
      </c>
      <c r="O972" s="192" t="s">
        <v>911</v>
      </c>
      <c r="P972" s="144" t="s">
        <v>912</v>
      </c>
      <c r="Q972" s="145">
        <v>46135</v>
      </c>
      <c r="R972" s="145">
        <v>46135</v>
      </c>
      <c r="S972" s="192"/>
    </row>
    <row r="973" spans="1:19" ht="120" customHeight="1" x14ac:dyDescent="0.25">
      <c r="A973" s="197" t="str">
        <f t="shared" si="23"/>
        <v>INC20260423972</v>
      </c>
      <c r="B973" s="199">
        <v>46135.283333333333</v>
      </c>
      <c r="C973" s="192" t="s">
        <v>37</v>
      </c>
      <c r="D973" s="194" t="s">
        <v>1671</v>
      </c>
      <c r="E973" s="192" t="s">
        <v>50</v>
      </c>
      <c r="F973" s="192" t="s">
        <v>40</v>
      </c>
      <c r="G973" s="192" t="s">
        <v>51</v>
      </c>
      <c r="H973" s="192" t="s">
        <v>42</v>
      </c>
      <c r="I973" s="192" t="s">
        <v>630</v>
      </c>
      <c r="J973" s="195" t="s">
        <v>1672</v>
      </c>
      <c r="K973" s="192" t="s">
        <v>54</v>
      </c>
      <c r="L973" s="192" t="s">
        <v>55</v>
      </c>
      <c r="M973" s="146" t="s">
        <v>5</v>
      </c>
      <c r="N973" s="192" t="s">
        <v>1674</v>
      </c>
      <c r="O973" s="192" t="s">
        <v>911</v>
      </c>
      <c r="P973" s="144" t="s">
        <v>912</v>
      </c>
      <c r="Q973" s="145">
        <v>46135</v>
      </c>
      <c r="R973" s="145">
        <v>46135</v>
      </c>
      <c r="S973" s="192"/>
    </row>
    <row r="974" spans="1:19" ht="111" customHeight="1" x14ac:dyDescent="0.25">
      <c r="A974" s="197" t="str">
        <f t="shared" si="23"/>
        <v>INC20260423973</v>
      </c>
      <c r="B974" s="199">
        <v>46135.345833333333</v>
      </c>
      <c r="C974" s="192" t="s">
        <v>37</v>
      </c>
      <c r="D974" s="194" t="s">
        <v>1598</v>
      </c>
      <c r="E974" s="192" t="s">
        <v>50</v>
      </c>
      <c r="F974" s="192" t="s">
        <v>40</v>
      </c>
      <c r="G974" s="192" t="s">
        <v>51</v>
      </c>
      <c r="H974" s="192" t="s">
        <v>42</v>
      </c>
      <c r="I974" s="192" t="s">
        <v>630</v>
      </c>
      <c r="J974" s="195" t="s">
        <v>1673</v>
      </c>
      <c r="K974" s="192" t="s">
        <v>54</v>
      </c>
      <c r="L974" s="192" t="s">
        <v>55</v>
      </c>
      <c r="M974" s="146" t="s">
        <v>5</v>
      </c>
      <c r="N974" s="192" t="s">
        <v>2640</v>
      </c>
      <c r="O974" s="192" t="s">
        <v>911</v>
      </c>
      <c r="P974" s="144" t="s">
        <v>912</v>
      </c>
      <c r="Q974" s="145"/>
      <c r="R974" s="145">
        <v>46135</v>
      </c>
      <c r="S974" s="192"/>
    </row>
    <row r="975" spans="1:19" ht="117.6" customHeight="1" x14ac:dyDescent="0.25">
      <c r="A975" s="197" t="str">
        <f t="shared" si="23"/>
        <v>INC20260423974</v>
      </c>
      <c r="B975" s="199">
        <v>46135.368055555555</v>
      </c>
      <c r="C975" s="192" t="s">
        <v>37</v>
      </c>
      <c r="D975" s="194" t="s">
        <v>262</v>
      </c>
      <c r="E975" s="192" t="s">
        <v>134</v>
      </c>
      <c r="F975" s="192" t="s">
        <v>59</v>
      </c>
      <c r="G975" s="192" t="s">
        <v>41</v>
      </c>
      <c r="H975" s="192" t="s">
        <v>61</v>
      </c>
      <c r="I975" s="192" t="s">
        <v>62</v>
      </c>
      <c r="J975" s="121" t="s">
        <v>2594</v>
      </c>
      <c r="K975" s="192" t="s">
        <v>63</v>
      </c>
      <c r="L975" s="146" t="s">
        <v>6</v>
      </c>
      <c r="M975" s="146" t="s">
        <v>5</v>
      </c>
      <c r="N975" s="192" t="s">
        <v>2615</v>
      </c>
      <c r="O975" s="192" t="s">
        <v>66</v>
      </c>
      <c r="P975" s="192" t="s">
        <v>67</v>
      </c>
      <c r="Q975" s="145"/>
      <c r="R975" s="145">
        <v>46135</v>
      </c>
      <c r="S975" s="192"/>
    </row>
    <row r="976" spans="1:19" ht="110.4" customHeight="1" x14ac:dyDescent="0.25">
      <c r="A976" s="197" t="str">
        <f t="shared" si="23"/>
        <v>INC20260423975</v>
      </c>
      <c r="B976" s="199">
        <v>46135.370833333334</v>
      </c>
      <c r="C976" s="192" t="s">
        <v>37</v>
      </c>
      <c r="D976" s="194" t="s">
        <v>262</v>
      </c>
      <c r="E976" s="192" t="s">
        <v>69</v>
      </c>
      <c r="F976" s="192" t="s">
        <v>59</v>
      </c>
      <c r="G976" s="192" t="s">
        <v>41</v>
      </c>
      <c r="H976" s="192" t="s">
        <v>61</v>
      </c>
      <c r="I976" s="192" t="s">
        <v>62</v>
      </c>
      <c r="J976" s="121" t="s">
        <v>2595</v>
      </c>
      <c r="K976" s="192" t="s">
        <v>63</v>
      </c>
      <c r="L976" s="146" t="s">
        <v>6</v>
      </c>
      <c r="M976" s="146" t="s">
        <v>5</v>
      </c>
      <c r="N976" s="192" t="s">
        <v>1683</v>
      </c>
      <c r="O976" s="192" t="s">
        <v>66</v>
      </c>
      <c r="P976" s="192" t="s">
        <v>67</v>
      </c>
      <c r="Q976" s="145"/>
      <c r="R976" s="145">
        <v>46135</v>
      </c>
      <c r="S976" s="192"/>
    </row>
    <row r="977" spans="1:19" ht="114" customHeight="1" x14ac:dyDescent="0.25">
      <c r="A977" s="197" t="str">
        <f t="shared" si="23"/>
        <v>INC20260423976</v>
      </c>
      <c r="B977" s="199">
        <v>46135.390277777777</v>
      </c>
      <c r="C977" s="192" t="s">
        <v>37</v>
      </c>
      <c r="D977" s="194" t="s">
        <v>1678</v>
      </c>
      <c r="E977" s="192" t="s">
        <v>50</v>
      </c>
      <c r="F977" s="192" t="s">
        <v>40</v>
      </c>
      <c r="G977" s="192" t="s">
        <v>51</v>
      </c>
      <c r="H977" s="192" t="s">
        <v>92</v>
      </c>
      <c r="I977" s="192" t="s">
        <v>403</v>
      </c>
      <c r="J977" s="195" t="s">
        <v>2596</v>
      </c>
      <c r="K977" s="192" t="s">
        <v>54</v>
      </c>
      <c r="L977" s="192" t="s">
        <v>55</v>
      </c>
      <c r="M977" s="146" t="s">
        <v>5</v>
      </c>
      <c r="N977" s="192" t="s">
        <v>1680</v>
      </c>
      <c r="O977" s="192"/>
      <c r="P977" s="192"/>
      <c r="Q977" s="145">
        <v>46135</v>
      </c>
      <c r="R977" s="145">
        <v>46135</v>
      </c>
      <c r="S977" s="192"/>
    </row>
    <row r="978" spans="1:19" ht="94.2" customHeight="1" x14ac:dyDescent="0.25">
      <c r="A978" s="197" t="str">
        <f t="shared" si="23"/>
        <v>INC20260423977</v>
      </c>
      <c r="B978" s="199">
        <v>46135.392361111109</v>
      </c>
      <c r="C978" s="192" t="s">
        <v>37</v>
      </c>
      <c r="D978" s="194" t="s">
        <v>38</v>
      </c>
      <c r="E978" s="192" t="s">
        <v>39</v>
      </c>
      <c r="F978" s="192" t="s">
        <v>40</v>
      </c>
      <c r="G978" s="192" t="s">
        <v>41</v>
      </c>
      <c r="H978" s="192" t="s">
        <v>42</v>
      </c>
      <c r="I978" s="192" t="s">
        <v>43</v>
      </c>
      <c r="J978" s="195" t="s">
        <v>2597</v>
      </c>
      <c r="K978" s="192" t="s">
        <v>44</v>
      </c>
      <c r="L978" s="192" t="s">
        <v>45</v>
      </c>
      <c r="M978" s="143" t="s">
        <v>5</v>
      </c>
      <c r="N978" s="198" t="s">
        <v>1674</v>
      </c>
      <c r="O978" s="192"/>
      <c r="P978" s="144" t="s">
        <v>47</v>
      </c>
      <c r="Q978" s="145">
        <v>46135</v>
      </c>
      <c r="R978" s="145">
        <v>46135</v>
      </c>
      <c r="S978" s="192"/>
    </row>
    <row r="979" spans="1:19" ht="113.4" customHeight="1" x14ac:dyDescent="0.25">
      <c r="A979" s="197" t="str">
        <f t="shared" si="23"/>
        <v>INC20260423978</v>
      </c>
      <c r="B979" s="199">
        <v>46135.393750000003</v>
      </c>
      <c r="C979" s="192" t="s">
        <v>37</v>
      </c>
      <c r="D979" s="194" t="s">
        <v>1598</v>
      </c>
      <c r="E979" s="192" t="s">
        <v>50</v>
      </c>
      <c r="F979" s="192" t="s">
        <v>40</v>
      </c>
      <c r="G979" s="192" t="s">
        <v>51</v>
      </c>
      <c r="H979" s="192" t="s">
        <v>42</v>
      </c>
      <c r="I979" s="192" t="s">
        <v>630</v>
      </c>
      <c r="J979" s="195" t="s">
        <v>1679</v>
      </c>
      <c r="K979" s="192" t="s">
        <v>54</v>
      </c>
      <c r="L979" s="192" t="s">
        <v>55</v>
      </c>
      <c r="M979" s="146" t="s">
        <v>5</v>
      </c>
      <c r="N979" s="192" t="s">
        <v>2640</v>
      </c>
      <c r="O979" s="192" t="s">
        <v>911</v>
      </c>
      <c r="P979" s="144" t="s">
        <v>912</v>
      </c>
      <c r="Q979" s="145">
        <v>46136</v>
      </c>
      <c r="R979" s="145">
        <v>46135</v>
      </c>
      <c r="S979" s="192"/>
    </row>
    <row r="980" spans="1:19" ht="110.4" customHeight="1" x14ac:dyDescent="0.25">
      <c r="A980" s="197" t="str">
        <f t="shared" si="23"/>
        <v>INC20260423979</v>
      </c>
      <c r="B980" s="199">
        <v>46135.457638888889</v>
      </c>
      <c r="C980" s="192" t="s">
        <v>37</v>
      </c>
      <c r="D980" s="194" t="s">
        <v>49</v>
      </c>
      <c r="E980" s="192" t="s">
        <v>50</v>
      </c>
      <c r="F980" s="192" t="s">
        <v>40</v>
      </c>
      <c r="G980" s="192" t="s">
        <v>51</v>
      </c>
      <c r="H980" s="192" t="s">
        <v>92</v>
      </c>
      <c r="I980" s="192" t="s">
        <v>93</v>
      </c>
      <c r="J980" s="195" t="s">
        <v>2598</v>
      </c>
      <c r="K980" s="192" t="s">
        <v>54</v>
      </c>
      <c r="L980" s="192" t="s">
        <v>55</v>
      </c>
      <c r="M980" s="146" t="s">
        <v>6</v>
      </c>
      <c r="N980" s="192" t="s">
        <v>1615</v>
      </c>
      <c r="O980" s="192" t="s">
        <v>95</v>
      </c>
      <c r="P980" s="192" t="s">
        <v>96</v>
      </c>
      <c r="Q980" s="145"/>
      <c r="R980" s="145">
        <v>46135</v>
      </c>
      <c r="S980" s="192"/>
    </row>
    <row r="981" spans="1:19" ht="127.8" customHeight="1" x14ac:dyDescent="0.25">
      <c r="A981" s="197" t="str">
        <f t="shared" si="23"/>
        <v>INC20260416980</v>
      </c>
      <c r="B981" s="190">
        <v>46128.029166666667</v>
      </c>
      <c r="C981" s="192" t="s">
        <v>77</v>
      </c>
      <c r="D981" s="194" t="s">
        <v>78</v>
      </c>
      <c r="E981" s="194" t="s">
        <v>58</v>
      </c>
      <c r="F981" s="192" t="s">
        <v>40</v>
      </c>
      <c r="G981" s="192" t="s">
        <v>60</v>
      </c>
      <c r="H981" s="192" t="s">
        <v>79</v>
      </c>
      <c r="I981" s="192" t="s">
        <v>84</v>
      </c>
      <c r="J981" s="121" t="s">
        <v>2599</v>
      </c>
      <c r="K981" s="192" t="s">
        <v>63</v>
      </c>
      <c r="L981" s="192" t="s">
        <v>81</v>
      </c>
      <c r="M981" s="146" t="s">
        <v>5</v>
      </c>
      <c r="N981" s="192" t="s">
        <v>1684</v>
      </c>
      <c r="O981" s="192" t="s">
        <v>86</v>
      </c>
      <c r="P981" s="192" t="s">
        <v>87</v>
      </c>
      <c r="Q981" s="145">
        <v>46128</v>
      </c>
      <c r="R981" s="145">
        <v>46135</v>
      </c>
      <c r="S981" s="192"/>
    </row>
    <row r="982" spans="1:19" ht="139.19999999999999" customHeight="1" x14ac:dyDescent="0.25">
      <c r="A982" s="197" t="str">
        <f t="shared" si="23"/>
        <v>INC20260416981</v>
      </c>
      <c r="B982" s="190">
        <v>46128.33090277778</v>
      </c>
      <c r="C982" s="192" t="s">
        <v>77</v>
      </c>
      <c r="D982" s="194" t="s">
        <v>78</v>
      </c>
      <c r="E982" s="194" t="s">
        <v>58</v>
      </c>
      <c r="F982" s="192" t="s">
        <v>40</v>
      </c>
      <c r="G982" s="192" t="s">
        <v>60</v>
      </c>
      <c r="H982" s="192" t="s">
        <v>79</v>
      </c>
      <c r="I982" s="192" t="s">
        <v>84</v>
      </c>
      <c r="J982" s="121" t="s">
        <v>2600</v>
      </c>
      <c r="K982" s="192" t="s">
        <v>110</v>
      </c>
      <c r="L982" s="192" t="s">
        <v>81</v>
      </c>
      <c r="M982" s="146" t="s">
        <v>5</v>
      </c>
      <c r="N982" s="192" t="s">
        <v>1685</v>
      </c>
      <c r="O982" s="192" t="s">
        <v>86</v>
      </c>
      <c r="P982" s="192" t="s">
        <v>87</v>
      </c>
      <c r="Q982" s="145">
        <v>46128</v>
      </c>
      <c r="R982" s="145">
        <v>46135</v>
      </c>
      <c r="S982" s="192"/>
    </row>
    <row r="983" spans="1:19" ht="148.80000000000001" customHeight="1" x14ac:dyDescent="0.25">
      <c r="A983" s="197" t="str">
        <f t="shared" si="23"/>
        <v>INC20260416982</v>
      </c>
      <c r="B983" s="190">
        <v>46128.695486111108</v>
      </c>
      <c r="C983" s="192" t="s">
        <v>77</v>
      </c>
      <c r="D983" s="194" t="s">
        <v>78</v>
      </c>
      <c r="E983" s="194" t="s">
        <v>58</v>
      </c>
      <c r="F983" s="192" t="s">
        <v>40</v>
      </c>
      <c r="G983" s="192" t="s">
        <v>60</v>
      </c>
      <c r="H983" s="192" t="s">
        <v>79</v>
      </c>
      <c r="I983" s="192" t="s">
        <v>84</v>
      </c>
      <c r="J983" s="121" t="s">
        <v>2601</v>
      </c>
      <c r="K983" s="192" t="s">
        <v>110</v>
      </c>
      <c r="L983" s="192" t="s">
        <v>81</v>
      </c>
      <c r="M983" s="146" t="s">
        <v>5</v>
      </c>
      <c r="N983" s="192" t="s">
        <v>1686</v>
      </c>
      <c r="O983" s="192" t="s">
        <v>86</v>
      </c>
      <c r="P983" s="192" t="s">
        <v>87</v>
      </c>
      <c r="Q983" s="145">
        <v>46128</v>
      </c>
      <c r="R983" s="145">
        <v>46135</v>
      </c>
      <c r="S983" s="192"/>
    </row>
    <row r="984" spans="1:19" ht="135" customHeight="1" x14ac:dyDescent="0.25">
      <c r="A984" s="197" t="str">
        <f t="shared" si="23"/>
        <v>INC20260416983</v>
      </c>
      <c r="B984" s="190">
        <v>46128.9846875</v>
      </c>
      <c r="C984" s="192" t="s">
        <v>77</v>
      </c>
      <c r="D984" s="194" t="s">
        <v>78</v>
      </c>
      <c r="E984" s="194" t="s">
        <v>58</v>
      </c>
      <c r="F984" s="192" t="s">
        <v>40</v>
      </c>
      <c r="G984" s="192" t="s">
        <v>60</v>
      </c>
      <c r="H984" s="192" t="s">
        <v>79</v>
      </c>
      <c r="I984" s="192" t="s">
        <v>84</v>
      </c>
      <c r="J984" s="121" t="s">
        <v>2601</v>
      </c>
      <c r="K984" s="192" t="s">
        <v>110</v>
      </c>
      <c r="L984" s="192" t="s">
        <v>81</v>
      </c>
      <c r="M984" s="146" t="s">
        <v>5</v>
      </c>
      <c r="N984" s="192" t="s">
        <v>1686</v>
      </c>
      <c r="O984" s="192" t="s">
        <v>86</v>
      </c>
      <c r="P984" s="192" t="s">
        <v>87</v>
      </c>
      <c r="Q984" s="145">
        <v>46128</v>
      </c>
      <c r="R984" s="145">
        <v>46135</v>
      </c>
      <c r="S984" s="192"/>
    </row>
    <row r="985" spans="1:19" ht="132.6" customHeight="1" x14ac:dyDescent="0.25">
      <c r="A985" s="197" t="str">
        <f t="shared" si="23"/>
        <v>INC20260417984</v>
      </c>
      <c r="B985" s="190">
        <v>46129.018287037034</v>
      </c>
      <c r="C985" s="192" t="s">
        <v>77</v>
      </c>
      <c r="D985" s="194" t="s">
        <v>78</v>
      </c>
      <c r="E985" s="194" t="s">
        <v>58</v>
      </c>
      <c r="F985" s="192" t="s">
        <v>40</v>
      </c>
      <c r="G985" s="192" t="s">
        <v>60</v>
      </c>
      <c r="H985" s="192" t="s">
        <v>79</v>
      </c>
      <c r="I985" s="192" t="s">
        <v>84</v>
      </c>
      <c r="J985" s="121" t="s">
        <v>2602</v>
      </c>
      <c r="K985" s="192" t="s">
        <v>110</v>
      </c>
      <c r="L985" s="192" t="s">
        <v>81</v>
      </c>
      <c r="M985" s="146" t="s">
        <v>5</v>
      </c>
      <c r="N985" s="192" t="s">
        <v>1687</v>
      </c>
      <c r="O985" s="192" t="s">
        <v>86</v>
      </c>
      <c r="P985" s="192" t="s">
        <v>87</v>
      </c>
      <c r="Q985" s="145">
        <v>46129</v>
      </c>
      <c r="R985" s="145">
        <v>46135</v>
      </c>
      <c r="S985" s="192"/>
    </row>
    <row r="986" spans="1:19" ht="134.4" customHeight="1" x14ac:dyDescent="0.25">
      <c r="A986" s="197" t="str">
        <f t="shared" si="23"/>
        <v>INC20260417985</v>
      </c>
      <c r="B986" s="190">
        <v>46129.59003472222</v>
      </c>
      <c r="C986" s="192" t="s">
        <v>77</v>
      </c>
      <c r="D986" s="194" t="s">
        <v>78</v>
      </c>
      <c r="E986" s="194" t="s">
        <v>116</v>
      </c>
      <c r="F986" s="192" t="s">
        <v>40</v>
      </c>
      <c r="G986" s="192" t="s">
        <v>60</v>
      </c>
      <c r="H986" s="192" t="s">
        <v>79</v>
      </c>
      <c r="I986" s="192" t="s">
        <v>84</v>
      </c>
      <c r="J986" s="121" t="s">
        <v>2603</v>
      </c>
      <c r="K986" s="192" t="s">
        <v>110</v>
      </c>
      <c r="L986" s="192" t="s">
        <v>81</v>
      </c>
      <c r="M986" s="146" t="s">
        <v>5</v>
      </c>
      <c r="N986" s="192" t="s">
        <v>1688</v>
      </c>
      <c r="O986" s="192" t="s">
        <v>86</v>
      </c>
      <c r="P986" s="192" t="s">
        <v>87</v>
      </c>
      <c r="Q986" s="145">
        <v>46129</v>
      </c>
      <c r="R986" s="145">
        <v>46135</v>
      </c>
      <c r="S986" s="192"/>
    </row>
    <row r="987" spans="1:19" ht="137.4" customHeight="1" x14ac:dyDescent="0.25">
      <c r="A987" s="197" t="str">
        <f t="shared" si="23"/>
        <v>INC20260423986</v>
      </c>
      <c r="B987" s="199">
        <v>46135.497916666667</v>
      </c>
      <c r="C987" s="192" t="s">
        <v>37</v>
      </c>
      <c r="D987" s="194" t="s">
        <v>1701</v>
      </c>
      <c r="E987" s="192" t="s">
        <v>50</v>
      </c>
      <c r="F987" s="192" t="s">
        <v>40</v>
      </c>
      <c r="G987" s="192" t="s">
        <v>51</v>
      </c>
      <c r="H987" s="192" t="s">
        <v>42</v>
      </c>
      <c r="I987" s="192" t="s">
        <v>630</v>
      </c>
      <c r="J987" s="195" t="s">
        <v>2604</v>
      </c>
      <c r="K987" s="192" t="s">
        <v>54</v>
      </c>
      <c r="L987" s="192" t="s">
        <v>55</v>
      </c>
      <c r="M987" s="146" t="s">
        <v>5</v>
      </c>
      <c r="N987" s="192" t="s">
        <v>1674</v>
      </c>
      <c r="O987" s="192" t="s">
        <v>911</v>
      </c>
      <c r="P987" s="144" t="s">
        <v>912</v>
      </c>
      <c r="Q987" s="145">
        <v>46135</v>
      </c>
      <c r="R987" s="145">
        <v>46135</v>
      </c>
      <c r="S987" s="192"/>
    </row>
    <row r="988" spans="1:19" ht="149.4" customHeight="1" x14ac:dyDescent="0.25">
      <c r="A988" s="197" t="str">
        <f t="shared" si="23"/>
        <v>INC20260423987</v>
      </c>
      <c r="B988" s="106">
        <v>46135.498611111114</v>
      </c>
      <c r="C988" s="192" t="s">
        <v>37</v>
      </c>
      <c r="D988" s="107" t="s">
        <v>2605</v>
      </c>
      <c r="E988" s="192" t="s">
        <v>50</v>
      </c>
      <c r="F988" s="192" t="s">
        <v>40</v>
      </c>
      <c r="G988" s="192" t="s">
        <v>51</v>
      </c>
      <c r="H988" s="192" t="s">
        <v>42</v>
      </c>
      <c r="I988" s="192" t="s">
        <v>630</v>
      </c>
      <c r="J988" s="195" t="s">
        <v>2606</v>
      </c>
      <c r="K988" s="192" t="s">
        <v>54</v>
      </c>
      <c r="L988" s="192" t="s">
        <v>55</v>
      </c>
      <c r="M988" s="146" t="s">
        <v>5</v>
      </c>
      <c r="N988" s="192" t="s">
        <v>2609</v>
      </c>
      <c r="O988" s="192" t="s">
        <v>911</v>
      </c>
      <c r="P988" s="144" t="s">
        <v>912</v>
      </c>
      <c r="Q988" s="108">
        <v>46135</v>
      </c>
      <c r="R988" s="145">
        <v>46135</v>
      </c>
      <c r="S988" s="40"/>
    </row>
    <row r="989" spans="1:19" ht="131.4" customHeight="1" x14ac:dyDescent="0.25">
      <c r="A989" s="197" t="str">
        <f t="shared" si="23"/>
        <v>INC20260423988</v>
      </c>
      <c r="B989" s="106">
        <v>46135.523611111108</v>
      </c>
      <c r="C989" s="192" t="s">
        <v>37</v>
      </c>
      <c r="D989" s="107" t="s">
        <v>2607</v>
      </c>
      <c r="E989" s="192" t="s">
        <v>50</v>
      </c>
      <c r="F989" s="192" t="s">
        <v>40</v>
      </c>
      <c r="G989" s="192" t="s">
        <v>51</v>
      </c>
      <c r="H989" s="192" t="s">
        <v>42</v>
      </c>
      <c r="I989" s="192" t="s">
        <v>630</v>
      </c>
      <c r="J989" s="195" t="s">
        <v>2608</v>
      </c>
      <c r="K989" s="192" t="s">
        <v>54</v>
      </c>
      <c r="L989" s="192" t="s">
        <v>55</v>
      </c>
      <c r="M989" s="146" t="s">
        <v>5</v>
      </c>
      <c r="N989" s="192" t="s">
        <v>2609</v>
      </c>
      <c r="O989" s="192" t="s">
        <v>911</v>
      </c>
      <c r="P989" s="144" t="s">
        <v>912</v>
      </c>
      <c r="Q989" s="108">
        <v>46135</v>
      </c>
      <c r="R989" s="145">
        <v>46135</v>
      </c>
      <c r="S989" s="40"/>
    </row>
    <row r="990" spans="1:19" ht="135.6" customHeight="1" x14ac:dyDescent="0.25">
      <c r="A990" s="197" t="str">
        <f t="shared" si="23"/>
        <v>INC20260423989</v>
      </c>
      <c r="B990" s="106">
        <v>46135.640277777777</v>
      </c>
      <c r="C990" s="192" t="s">
        <v>37</v>
      </c>
      <c r="D990" s="107" t="s">
        <v>2610</v>
      </c>
      <c r="E990" s="192" t="s">
        <v>50</v>
      </c>
      <c r="F990" s="192" t="s">
        <v>40</v>
      </c>
      <c r="G990" s="192" t="s">
        <v>51</v>
      </c>
      <c r="H990" s="192" t="s">
        <v>42</v>
      </c>
      <c r="I990" s="192" t="s">
        <v>630</v>
      </c>
      <c r="J990" s="195" t="s">
        <v>2611</v>
      </c>
      <c r="K990" s="192" t="s">
        <v>54</v>
      </c>
      <c r="L990" s="192" t="s">
        <v>55</v>
      </c>
      <c r="M990" s="146" t="s">
        <v>5</v>
      </c>
      <c r="N990" s="192" t="s">
        <v>2636</v>
      </c>
      <c r="O990" s="192" t="s">
        <v>911</v>
      </c>
      <c r="P990" s="144" t="s">
        <v>912</v>
      </c>
      <c r="Q990" s="108">
        <v>46136</v>
      </c>
      <c r="R990" s="145">
        <v>46135</v>
      </c>
      <c r="S990" s="40"/>
    </row>
    <row r="991" spans="1:19" ht="143.4" customHeight="1" x14ac:dyDescent="0.25">
      <c r="A991" s="197" t="str">
        <f t="shared" si="23"/>
        <v>INC20260423990</v>
      </c>
      <c r="B991" s="106">
        <v>46135.65</v>
      </c>
      <c r="C991" s="192" t="s">
        <v>37</v>
      </c>
      <c r="D991" s="192" t="s">
        <v>286</v>
      </c>
      <c r="E991" s="192" t="s">
        <v>125</v>
      </c>
      <c r="F991" s="192" t="s">
        <v>40</v>
      </c>
      <c r="G991" s="192" t="s">
        <v>41</v>
      </c>
      <c r="H991" s="192" t="s">
        <v>79</v>
      </c>
      <c r="I991" s="192" t="s">
        <v>287</v>
      </c>
      <c r="J991" s="195" t="s">
        <v>2612</v>
      </c>
      <c r="K991" s="192" t="s">
        <v>44</v>
      </c>
      <c r="L991" s="192" t="s">
        <v>81</v>
      </c>
      <c r="M991" s="146" t="s">
        <v>5</v>
      </c>
      <c r="N991" s="192" t="s">
        <v>2616</v>
      </c>
      <c r="O991" s="192" t="s">
        <v>86</v>
      </c>
      <c r="P991" s="192" t="s">
        <v>290</v>
      </c>
      <c r="Q991" s="108">
        <v>46135</v>
      </c>
      <c r="R991" s="145">
        <v>46135</v>
      </c>
      <c r="S991" s="40"/>
    </row>
    <row r="992" spans="1:19" ht="141" customHeight="1" x14ac:dyDescent="0.25">
      <c r="A992" s="197" t="str">
        <f t="shared" si="23"/>
        <v>INC20260423991</v>
      </c>
      <c r="B992" s="106">
        <v>46135.972222222219</v>
      </c>
      <c r="C992" s="192" t="s">
        <v>37</v>
      </c>
      <c r="D992" s="107" t="s">
        <v>2618</v>
      </c>
      <c r="E992" s="192" t="s">
        <v>50</v>
      </c>
      <c r="F992" s="192" t="s">
        <v>40</v>
      </c>
      <c r="G992" s="192" t="s">
        <v>51</v>
      </c>
      <c r="H992" s="192" t="s">
        <v>42</v>
      </c>
      <c r="I992" s="192" t="s">
        <v>630</v>
      </c>
      <c r="J992" s="195" t="s">
        <v>2619</v>
      </c>
      <c r="K992" s="192" t="s">
        <v>54</v>
      </c>
      <c r="L992" s="192" t="s">
        <v>55</v>
      </c>
      <c r="M992" s="146" t="s">
        <v>5</v>
      </c>
      <c r="N992" s="192" t="s">
        <v>2636</v>
      </c>
      <c r="O992" s="192" t="s">
        <v>911</v>
      </c>
      <c r="P992" s="144" t="s">
        <v>912</v>
      </c>
      <c r="Q992" s="108">
        <v>46136</v>
      </c>
      <c r="R992" s="108">
        <v>46136</v>
      </c>
      <c r="S992" s="40"/>
    </row>
    <row r="993" spans="1:19" ht="130.80000000000001" customHeight="1" x14ac:dyDescent="0.25">
      <c r="A993" s="197" t="str">
        <f t="shared" si="23"/>
        <v>INC20260423992</v>
      </c>
      <c r="B993" s="106">
        <v>46135.993750000001</v>
      </c>
      <c r="C993" s="192" t="s">
        <v>37</v>
      </c>
      <c r="D993" s="194" t="s">
        <v>2620</v>
      </c>
      <c r="E993" s="192" t="s">
        <v>50</v>
      </c>
      <c r="F993" s="192" t="s">
        <v>40</v>
      </c>
      <c r="G993" s="192" t="s">
        <v>51</v>
      </c>
      <c r="H993" s="192" t="s">
        <v>42</v>
      </c>
      <c r="I993" s="192" t="s">
        <v>630</v>
      </c>
      <c r="J993" s="195" t="s">
        <v>2621</v>
      </c>
      <c r="K993" s="192" t="s">
        <v>54</v>
      </c>
      <c r="L993" s="192" t="s">
        <v>55</v>
      </c>
      <c r="M993" s="146" t="s">
        <v>5</v>
      </c>
      <c r="N993" s="192" t="s">
        <v>2649</v>
      </c>
      <c r="O993" s="192" t="s">
        <v>911</v>
      </c>
      <c r="P993" s="144" t="s">
        <v>912</v>
      </c>
      <c r="Q993" s="108">
        <v>46136</v>
      </c>
      <c r="R993" s="108">
        <v>46136</v>
      </c>
      <c r="S993" s="40"/>
    </row>
    <row r="994" spans="1:19" ht="133.19999999999999" customHeight="1" x14ac:dyDescent="0.25">
      <c r="A994" s="197" t="str">
        <f t="shared" si="23"/>
        <v>INC20260424993</v>
      </c>
      <c r="B994" s="106">
        <v>46136.155555555553</v>
      </c>
      <c r="C994" s="40" t="s">
        <v>37</v>
      </c>
      <c r="D994" s="194" t="s">
        <v>2622</v>
      </c>
      <c r="E994" s="192" t="s">
        <v>50</v>
      </c>
      <c r="F994" s="192" t="s">
        <v>40</v>
      </c>
      <c r="G994" s="192" t="s">
        <v>51</v>
      </c>
      <c r="H994" s="192" t="s">
        <v>42</v>
      </c>
      <c r="I994" s="192" t="s">
        <v>630</v>
      </c>
      <c r="J994" s="195" t="s">
        <v>2623</v>
      </c>
      <c r="K994" s="192" t="s">
        <v>54</v>
      </c>
      <c r="L994" s="192" t="s">
        <v>55</v>
      </c>
      <c r="M994" s="146" t="s">
        <v>5</v>
      </c>
      <c r="N994" s="192" t="s">
        <v>2630</v>
      </c>
      <c r="O994" s="192" t="s">
        <v>911</v>
      </c>
      <c r="P994" s="144" t="s">
        <v>912</v>
      </c>
      <c r="Q994" s="108">
        <v>46136</v>
      </c>
      <c r="R994" s="108">
        <v>46136</v>
      </c>
      <c r="S994" s="40"/>
    </row>
    <row r="995" spans="1:19" ht="126.6" customHeight="1" x14ac:dyDescent="0.25">
      <c r="A995" s="197" t="str">
        <f t="shared" si="23"/>
        <v>INC20260424994</v>
      </c>
      <c r="B995" s="106">
        <v>46136.174305555556</v>
      </c>
      <c r="C995" s="40" t="s">
        <v>37</v>
      </c>
      <c r="D995" s="107" t="s">
        <v>2624</v>
      </c>
      <c r="E995" s="192" t="s">
        <v>50</v>
      </c>
      <c r="F995" s="192" t="s">
        <v>40</v>
      </c>
      <c r="G995" s="192" t="s">
        <v>51</v>
      </c>
      <c r="H995" s="192" t="s">
        <v>42</v>
      </c>
      <c r="I995" s="192" t="s">
        <v>630</v>
      </c>
      <c r="J995" s="195" t="s">
        <v>2625</v>
      </c>
      <c r="K995" s="192" t="s">
        <v>54</v>
      </c>
      <c r="L995" s="192" t="s">
        <v>55</v>
      </c>
      <c r="M995" s="146" t="s">
        <v>5</v>
      </c>
      <c r="N995" s="192" t="s">
        <v>2630</v>
      </c>
      <c r="O995" s="192" t="s">
        <v>911</v>
      </c>
      <c r="P995" s="144" t="s">
        <v>912</v>
      </c>
      <c r="Q995" s="108">
        <v>46136</v>
      </c>
      <c r="R995" s="108">
        <v>46136</v>
      </c>
      <c r="S995" s="40"/>
    </row>
    <row r="996" spans="1:19" ht="125.4" customHeight="1" x14ac:dyDescent="0.25">
      <c r="A996" s="197" t="str">
        <f t="shared" si="23"/>
        <v>INC20260424995</v>
      </c>
      <c r="B996" s="106">
        <v>46136.222916666666</v>
      </c>
      <c r="C996" s="40" t="s">
        <v>37</v>
      </c>
      <c r="D996" s="107" t="s">
        <v>2626</v>
      </c>
      <c r="E996" s="192" t="s">
        <v>50</v>
      </c>
      <c r="F996" s="192" t="s">
        <v>40</v>
      </c>
      <c r="G996" s="192" t="s">
        <v>51</v>
      </c>
      <c r="H996" s="192" t="s">
        <v>42</v>
      </c>
      <c r="I996" s="192" t="s">
        <v>630</v>
      </c>
      <c r="J996" s="195" t="s">
        <v>2627</v>
      </c>
      <c r="K996" s="192" t="s">
        <v>54</v>
      </c>
      <c r="L996" s="192" t="s">
        <v>55</v>
      </c>
      <c r="M996" s="146" t="s">
        <v>5</v>
      </c>
      <c r="N996" s="192" t="s">
        <v>2630</v>
      </c>
      <c r="O996" s="192" t="s">
        <v>911</v>
      </c>
      <c r="P996" s="144" t="s">
        <v>912</v>
      </c>
      <c r="Q996" s="108">
        <v>46136</v>
      </c>
      <c r="R996" s="108">
        <v>46136</v>
      </c>
      <c r="S996" s="40"/>
    </row>
    <row r="997" spans="1:19" ht="125.4" customHeight="1" x14ac:dyDescent="0.25">
      <c r="A997" s="197" t="str">
        <f t="shared" si="23"/>
        <v>INC20260424996</v>
      </c>
      <c r="B997" s="106">
        <v>46136.309027777781</v>
      </c>
      <c r="C997" s="192" t="s">
        <v>37</v>
      </c>
      <c r="D997" s="194" t="s">
        <v>38</v>
      </c>
      <c r="E997" s="192" t="s">
        <v>39</v>
      </c>
      <c r="F997" s="192" t="s">
        <v>40</v>
      </c>
      <c r="G997" s="192" t="s">
        <v>41</v>
      </c>
      <c r="H997" s="192" t="s">
        <v>42</v>
      </c>
      <c r="I997" s="192" t="s">
        <v>43</v>
      </c>
      <c r="J997" s="195" t="s">
        <v>2628</v>
      </c>
      <c r="K997" s="192" t="s">
        <v>44</v>
      </c>
      <c r="L997" s="192" t="s">
        <v>45</v>
      </c>
      <c r="M997" s="143" t="s">
        <v>5</v>
      </c>
      <c r="N997" s="192" t="s">
        <v>2630</v>
      </c>
      <c r="O997" s="192"/>
      <c r="P997" s="144" t="s">
        <v>47</v>
      </c>
      <c r="Q997" s="108">
        <v>46136</v>
      </c>
      <c r="R997" s="108">
        <v>46136</v>
      </c>
      <c r="S997" s="40"/>
    </row>
    <row r="998" spans="1:19" ht="135" customHeight="1" x14ac:dyDescent="0.25">
      <c r="A998" s="197" t="str">
        <f t="shared" si="23"/>
        <v>INC20260424997</v>
      </c>
      <c r="B998" s="106">
        <v>46136.320138888892</v>
      </c>
      <c r="C998" s="40" t="s">
        <v>37</v>
      </c>
      <c r="D998" s="107" t="s">
        <v>1598</v>
      </c>
      <c r="E998" s="192" t="s">
        <v>50</v>
      </c>
      <c r="F998" s="192" t="s">
        <v>40</v>
      </c>
      <c r="G998" s="192" t="s">
        <v>51</v>
      </c>
      <c r="H998" s="192" t="s">
        <v>42</v>
      </c>
      <c r="I998" s="192" t="s">
        <v>630</v>
      </c>
      <c r="J998" s="195" t="s">
        <v>2629</v>
      </c>
      <c r="K998" s="192" t="s">
        <v>54</v>
      </c>
      <c r="L998" s="192" t="s">
        <v>55</v>
      </c>
      <c r="M998" s="146" t="s">
        <v>5</v>
      </c>
      <c r="N998" s="192" t="s">
        <v>2630</v>
      </c>
      <c r="O998" s="192" t="s">
        <v>911</v>
      </c>
      <c r="P998" s="144" t="s">
        <v>912</v>
      </c>
      <c r="Q998" s="108">
        <v>46136</v>
      </c>
      <c r="R998" s="108">
        <v>46136</v>
      </c>
      <c r="S998" s="40"/>
    </row>
    <row r="999" spans="1:19" ht="139.19999999999999" customHeight="1" x14ac:dyDescent="0.25">
      <c r="A999" s="197" t="str">
        <f t="shared" si="23"/>
        <v>INC20260424998</v>
      </c>
      <c r="B999" s="106">
        <v>46136.320138888892</v>
      </c>
      <c r="C999" s="40" t="s">
        <v>37</v>
      </c>
      <c r="D999" s="107" t="s">
        <v>1598</v>
      </c>
      <c r="E999" s="192" t="s">
        <v>50</v>
      </c>
      <c r="F999" s="192" t="s">
        <v>40</v>
      </c>
      <c r="G999" s="192" t="s">
        <v>51</v>
      </c>
      <c r="H999" s="192" t="s">
        <v>42</v>
      </c>
      <c r="I999" s="192" t="s">
        <v>630</v>
      </c>
      <c r="J999" s="195" t="s">
        <v>1673</v>
      </c>
      <c r="K999" s="192" t="s">
        <v>54</v>
      </c>
      <c r="L999" s="192" t="s">
        <v>55</v>
      </c>
      <c r="M999" s="146" t="s">
        <v>5</v>
      </c>
      <c r="N999" s="192" t="s">
        <v>2630</v>
      </c>
      <c r="O999" s="192" t="s">
        <v>911</v>
      </c>
      <c r="P999" s="144" t="s">
        <v>912</v>
      </c>
      <c r="Q999" s="108">
        <v>46136</v>
      </c>
      <c r="R999" s="108">
        <v>46136</v>
      </c>
      <c r="S999" s="40"/>
    </row>
    <row r="1000" spans="1:19" ht="135" customHeight="1" x14ac:dyDescent="0.25">
      <c r="A1000" s="197" t="str">
        <f t="shared" si="23"/>
        <v>INC20260424999</v>
      </c>
      <c r="B1000" s="106">
        <v>46136.348611111112</v>
      </c>
      <c r="C1000" s="40" t="s">
        <v>37</v>
      </c>
      <c r="D1000" s="107" t="s">
        <v>2632</v>
      </c>
      <c r="E1000" s="192" t="s">
        <v>50</v>
      </c>
      <c r="F1000" s="192" t="s">
        <v>40</v>
      </c>
      <c r="G1000" s="192" t="s">
        <v>51</v>
      </c>
      <c r="H1000" s="192" t="s">
        <v>42</v>
      </c>
      <c r="I1000" s="192" t="s">
        <v>630</v>
      </c>
      <c r="J1000" s="195" t="s">
        <v>2631</v>
      </c>
      <c r="K1000" s="192" t="s">
        <v>54</v>
      </c>
      <c r="L1000" s="192" t="s">
        <v>55</v>
      </c>
      <c r="M1000" s="146" t="s">
        <v>5</v>
      </c>
      <c r="N1000" s="192" t="s">
        <v>2630</v>
      </c>
      <c r="O1000" s="192" t="s">
        <v>911</v>
      </c>
      <c r="P1000" s="144" t="s">
        <v>912</v>
      </c>
      <c r="Q1000" s="108">
        <v>46136</v>
      </c>
      <c r="R1000" s="108">
        <v>46136</v>
      </c>
      <c r="S1000" s="40"/>
    </row>
    <row r="1001" spans="1:19" ht="121.2" customHeight="1" x14ac:dyDescent="0.25">
      <c r="A1001" s="197" t="str">
        <f t="shared" si="23"/>
        <v>INC202604241000</v>
      </c>
      <c r="B1001" s="106">
        <v>46136.351388888892</v>
      </c>
      <c r="C1001" s="40" t="s">
        <v>37</v>
      </c>
      <c r="D1001" s="107" t="s">
        <v>1598</v>
      </c>
      <c r="E1001" s="192" t="s">
        <v>50</v>
      </c>
      <c r="F1001" s="192" t="s">
        <v>40</v>
      </c>
      <c r="G1001" s="192" t="s">
        <v>51</v>
      </c>
      <c r="H1001" s="192" t="s">
        <v>42</v>
      </c>
      <c r="I1001" s="192" t="s">
        <v>630</v>
      </c>
      <c r="J1001" s="195" t="s">
        <v>2633</v>
      </c>
      <c r="K1001" s="192" t="s">
        <v>54</v>
      </c>
      <c r="L1001" s="192" t="s">
        <v>55</v>
      </c>
      <c r="M1001" s="146" t="s">
        <v>5</v>
      </c>
      <c r="N1001" s="192" t="s">
        <v>2630</v>
      </c>
      <c r="O1001" s="192" t="s">
        <v>911</v>
      </c>
      <c r="P1001" s="144" t="s">
        <v>912</v>
      </c>
      <c r="Q1001" s="108">
        <v>46136</v>
      </c>
      <c r="R1001" s="108">
        <v>46136</v>
      </c>
      <c r="S1001" s="40"/>
    </row>
    <row r="1002" spans="1:19" ht="130.80000000000001" customHeight="1" x14ac:dyDescent="0.25">
      <c r="A1002" s="197" t="str">
        <f t="shared" si="23"/>
        <v>INC202604241001</v>
      </c>
      <c r="B1002" s="106">
        <v>46136.371527777781</v>
      </c>
      <c r="C1002" s="40" t="s">
        <v>37</v>
      </c>
      <c r="D1002" s="107" t="s">
        <v>1598</v>
      </c>
      <c r="E1002" s="192" t="s">
        <v>50</v>
      </c>
      <c r="F1002" s="192" t="s">
        <v>40</v>
      </c>
      <c r="G1002" s="192" t="s">
        <v>51</v>
      </c>
      <c r="H1002" s="192" t="s">
        <v>42</v>
      </c>
      <c r="I1002" s="192" t="s">
        <v>630</v>
      </c>
      <c r="J1002" s="195" t="s">
        <v>2634</v>
      </c>
      <c r="K1002" s="192" t="s">
        <v>54</v>
      </c>
      <c r="L1002" s="192" t="s">
        <v>55</v>
      </c>
      <c r="M1002" s="146" t="s">
        <v>5</v>
      </c>
      <c r="N1002" s="192" t="s">
        <v>2635</v>
      </c>
      <c r="O1002" s="192" t="s">
        <v>911</v>
      </c>
      <c r="P1002" s="144" t="s">
        <v>912</v>
      </c>
      <c r="Q1002" s="108">
        <v>46136</v>
      </c>
      <c r="R1002" s="108">
        <v>46136</v>
      </c>
      <c r="S1002" s="40"/>
    </row>
    <row r="1003" spans="1:19" ht="134.4" customHeight="1" x14ac:dyDescent="0.25">
      <c r="A1003" s="197" t="str">
        <f t="shared" si="23"/>
        <v>INC202604241002</v>
      </c>
      <c r="B1003" s="106">
        <v>46136.372916666667</v>
      </c>
      <c r="C1003" s="40" t="s">
        <v>37</v>
      </c>
      <c r="D1003" s="194" t="s">
        <v>1598</v>
      </c>
      <c r="E1003" s="192" t="s">
        <v>50</v>
      </c>
      <c r="F1003" s="192" t="s">
        <v>40</v>
      </c>
      <c r="G1003" s="192" t="s">
        <v>51</v>
      </c>
      <c r="H1003" s="192" t="s">
        <v>42</v>
      </c>
      <c r="I1003" s="192" t="s">
        <v>630</v>
      </c>
      <c r="J1003" s="195" t="s">
        <v>2629</v>
      </c>
      <c r="K1003" s="192" t="s">
        <v>54</v>
      </c>
      <c r="L1003" s="192" t="s">
        <v>55</v>
      </c>
      <c r="M1003" s="146" t="s">
        <v>5</v>
      </c>
      <c r="N1003" s="192" t="s">
        <v>2630</v>
      </c>
      <c r="O1003" s="192" t="s">
        <v>911</v>
      </c>
      <c r="P1003" s="144" t="s">
        <v>912</v>
      </c>
      <c r="Q1003" s="108"/>
      <c r="R1003" s="108">
        <v>46136</v>
      </c>
      <c r="S1003" s="40"/>
    </row>
    <row r="1004" spans="1:19" ht="129.6" customHeight="1" x14ac:dyDescent="0.25">
      <c r="A1004" s="197" t="str">
        <f t="shared" si="23"/>
        <v>INC202604241003</v>
      </c>
      <c r="B1004" s="106">
        <v>46136.390972222223</v>
      </c>
      <c r="C1004" s="40" t="s">
        <v>37</v>
      </c>
      <c r="D1004" s="107" t="s">
        <v>1598</v>
      </c>
      <c r="E1004" s="192" t="s">
        <v>50</v>
      </c>
      <c r="F1004" s="192" t="s">
        <v>40</v>
      </c>
      <c r="G1004" s="192" t="s">
        <v>51</v>
      </c>
      <c r="H1004" s="192" t="s">
        <v>42</v>
      </c>
      <c r="I1004" s="192" t="s">
        <v>630</v>
      </c>
      <c r="J1004" s="195" t="s">
        <v>2629</v>
      </c>
      <c r="K1004" s="192" t="s">
        <v>54</v>
      </c>
      <c r="L1004" s="192" t="s">
        <v>55</v>
      </c>
      <c r="M1004" s="146" t="s">
        <v>5</v>
      </c>
      <c r="N1004" s="192" t="s">
        <v>2630</v>
      </c>
      <c r="O1004" s="192" t="s">
        <v>911</v>
      </c>
      <c r="P1004" s="144" t="s">
        <v>912</v>
      </c>
      <c r="Q1004" s="108"/>
      <c r="R1004" s="108">
        <v>46136</v>
      </c>
      <c r="S1004" s="40"/>
    </row>
    <row r="1005" spans="1:19" ht="146.4" customHeight="1" x14ac:dyDescent="0.25">
      <c r="A1005" s="197" t="str">
        <f t="shared" si="23"/>
        <v>INC202604241004</v>
      </c>
      <c r="B1005" s="200">
        <v>46136.429166666669</v>
      </c>
      <c r="C1005" s="40" t="s">
        <v>37</v>
      </c>
      <c r="D1005" s="107" t="s">
        <v>2637</v>
      </c>
      <c r="E1005" s="192" t="s">
        <v>50</v>
      </c>
      <c r="F1005" s="192" t="s">
        <v>40</v>
      </c>
      <c r="G1005" s="192" t="s">
        <v>51</v>
      </c>
      <c r="H1005" s="192" t="s">
        <v>42</v>
      </c>
      <c r="I1005" s="192" t="s">
        <v>630</v>
      </c>
      <c r="J1005" s="195" t="s">
        <v>2638</v>
      </c>
      <c r="K1005" s="192" t="s">
        <v>54</v>
      </c>
      <c r="L1005" s="192" t="s">
        <v>55</v>
      </c>
      <c r="M1005" s="146" t="s">
        <v>5</v>
      </c>
      <c r="N1005" s="192" t="s">
        <v>2684</v>
      </c>
      <c r="O1005" s="192" t="s">
        <v>911</v>
      </c>
      <c r="P1005" s="144" t="s">
        <v>912</v>
      </c>
      <c r="Q1005" s="108">
        <v>46136</v>
      </c>
      <c r="R1005" s="108">
        <v>46136</v>
      </c>
      <c r="S1005" s="40"/>
    </row>
    <row r="1006" spans="1:19" ht="120.6" customHeight="1" x14ac:dyDescent="0.25">
      <c r="A1006" s="197" t="str">
        <f t="shared" si="23"/>
        <v>INC202604241005</v>
      </c>
      <c r="B1006" s="106">
        <v>46136.433333333334</v>
      </c>
      <c r="C1006" s="40" t="s">
        <v>37</v>
      </c>
      <c r="D1006" s="107" t="s">
        <v>1598</v>
      </c>
      <c r="E1006" s="192" t="s">
        <v>50</v>
      </c>
      <c r="F1006" s="192" t="s">
        <v>40</v>
      </c>
      <c r="G1006" s="192" t="s">
        <v>51</v>
      </c>
      <c r="H1006" s="192" t="s">
        <v>42</v>
      </c>
      <c r="I1006" s="192" t="s">
        <v>630</v>
      </c>
      <c r="J1006" s="195" t="s">
        <v>2639</v>
      </c>
      <c r="K1006" s="192" t="s">
        <v>54</v>
      </c>
      <c r="L1006" s="192" t="s">
        <v>55</v>
      </c>
      <c r="M1006" s="146" t="s">
        <v>5</v>
      </c>
      <c r="N1006" s="192" t="s">
        <v>2630</v>
      </c>
      <c r="O1006" s="192" t="s">
        <v>911</v>
      </c>
      <c r="P1006" s="144" t="s">
        <v>912</v>
      </c>
      <c r="Q1006" s="108">
        <v>46136</v>
      </c>
      <c r="R1006" s="108">
        <v>46136</v>
      </c>
      <c r="S1006" s="40"/>
    </row>
    <row r="1007" spans="1:19" ht="127.2" customHeight="1" x14ac:dyDescent="0.25">
      <c r="A1007" s="197" t="str">
        <f t="shared" si="23"/>
        <v>INC202604241006</v>
      </c>
      <c r="B1007" s="106">
        <v>46136.474305555559</v>
      </c>
      <c r="C1007" s="40" t="s">
        <v>37</v>
      </c>
      <c r="D1007" s="107" t="s">
        <v>2641</v>
      </c>
      <c r="E1007" s="192" t="s">
        <v>50</v>
      </c>
      <c r="F1007" s="192" t="s">
        <v>40</v>
      </c>
      <c r="G1007" s="192" t="s">
        <v>51</v>
      </c>
      <c r="H1007" s="192" t="s">
        <v>42</v>
      </c>
      <c r="I1007" s="192" t="s">
        <v>630</v>
      </c>
      <c r="J1007" s="195" t="s">
        <v>2642</v>
      </c>
      <c r="K1007" s="192" t="s">
        <v>54</v>
      </c>
      <c r="L1007" s="192" t="s">
        <v>55</v>
      </c>
      <c r="M1007" s="146" t="s">
        <v>5</v>
      </c>
      <c r="N1007" s="192" t="s">
        <v>2646</v>
      </c>
      <c r="O1007" s="192" t="s">
        <v>911</v>
      </c>
      <c r="P1007" s="144" t="s">
        <v>912</v>
      </c>
      <c r="Q1007" s="108">
        <v>46136</v>
      </c>
      <c r="R1007" s="108">
        <v>46136</v>
      </c>
      <c r="S1007" s="40"/>
    </row>
    <row r="1008" spans="1:19" ht="135" customHeight="1" x14ac:dyDescent="0.25">
      <c r="A1008" s="197" t="str">
        <f t="shared" si="23"/>
        <v>INC202604241007</v>
      </c>
      <c r="B1008" s="106">
        <v>46136.512499999997</v>
      </c>
      <c r="C1008" s="40" t="s">
        <v>37</v>
      </c>
      <c r="D1008" s="107" t="s">
        <v>1598</v>
      </c>
      <c r="E1008" s="192" t="s">
        <v>50</v>
      </c>
      <c r="F1008" s="192" t="s">
        <v>40</v>
      </c>
      <c r="G1008" s="192" t="s">
        <v>51</v>
      </c>
      <c r="H1008" s="192" t="s">
        <v>42</v>
      </c>
      <c r="I1008" s="192" t="s">
        <v>630</v>
      </c>
      <c r="J1008" s="195" t="s">
        <v>2643</v>
      </c>
      <c r="K1008" s="192" t="s">
        <v>54</v>
      </c>
      <c r="L1008" s="192" t="s">
        <v>55</v>
      </c>
      <c r="M1008" s="146" t="s">
        <v>5</v>
      </c>
      <c r="N1008" s="192" t="s">
        <v>2630</v>
      </c>
      <c r="O1008" s="192" t="s">
        <v>911</v>
      </c>
      <c r="P1008" s="144" t="s">
        <v>912</v>
      </c>
      <c r="Q1008" s="108">
        <v>46136</v>
      </c>
      <c r="R1008" s="108">
        <v>46136</v>
      </c>
      <c r="S1008" s="40"/>
    </row>
    <row r="1009" spans="1:19" ht="139.19999999999999" customHeight="1" x14ac:dyDescent="0.25">
      <c r="A1009" s="197" t="str">
        <f t="shared" si="23"/>
        <v>INC202604241008</v>
      </c>
      <c r="B1009" s="106">
        <v>46136.52847222222</v>
      </c>
      <c r="C1009" s="40" t="s">
        <v>37</v>
      </c>
      <c r="D1009" s="107" t="s">
        <v>2644</v>
      </c>
      <c r="E1009" s="192" t="s">
        <v>50</v>
      </c>
      <c r="F1009" s="192" t="s">
        <v>40</v>
      </c>
      <c r="G1009" s="192" t="s">
        <v>51</v>
      </c>
      <c r="H1009" s="192" t="s">
        <v>42</v>
      </c>
      <c r="I1009" s="192" t="s">
        <v>630</v>
      </c>
      <c r="J1009" s="195" t="s">
        <v>2645</v>
      </c>
      <c r="K1009" s="192" t="s">
        <v>54</v>
      </c>
      <c r="L1009" s="192" t="s">
        <v>55</v>
      </c>
      <c r="M1009" s="146" t="s">
        <v>5</v>
      </c>
      <c r="N1009" s="192" t="s">
        <v>2690</v>
      </c>
      <c r="O1009" s="192" t="s">
        <v>911</v>
      </c>
      <c r="P1009" s="144" t="s">
        <v>912</v>
      </c>
      <c r="Q1009" s="108">
        <v>46136</v>
      </c>
      <c r="R1009" s="108">
        <v>46136</v>
      </c>
      <c r="S1009" s="40"/>
    </row>
    <row r="1010" spans="1:19" ht="130.80000000000001" customHeight="1" x14ac:dyDescent="0.25">
      <c r="A1010" s="197" t="str">
        <f t="shared" si="23"/>
        <v>INC202604241009</v>
      </c>
      <c r="B1010" s="200">
        <v>46136.497916666667</v>
      </c>
      <c r="C1010" s="40" t="s">
        <v>37</v>
      </c>
      <c r="D1010" s="194" t="s">
        <v>2647</v>
      </c>
      <c r="E1010" s="192" t="s">
        <v>50</v>
      </c>
      <c r="F1010" s="192" t="s">
        <v>40</v>
      </c>
      <c r="G1010" s="192" t="s">
        <v>51</v>
      </c>
      <c r="H1010" s="192" t="s">
        <v>42</v>
      </c>
      <c r="I1010" s="192" t="s">
        <v>630</v>
      </c>
      <c r="J1010" s="195" t="s">
        <v>2648</v>
      </c>
      <c r="K1010" s="192" t="s">
        <v>54</v>
      </c>
      <c r="L1010" s="192" t="s">
        <v>55</v>
      </c>
      <c r="M1010" s="146" t="s">
        <v>5</v>
      </c>
      <c r="N1010" s="192" t="s">
        <v>2630</v>
      </c>
      <c r="O1010" s="192" t="s">
        <v>911</v>
      </c>
      <c r="P1010" s="144" t="s">
        <v>912</v>
      </c>
      <c r="Q1010" s="108">
        <v>46136</v>
      </c>
      <c r="R1010" s="108">
        <v>46136</v>
      </c>
      <c r="S1010" s="40"/>
    </row>
    <row r="1011" spans="1:19" ht="149.4" customHeight="1" x14ac:dyDescent="0.25">
      <c r="A1011" s="197" t="str">
        <f t="shared" si="23"/>
        <v>INC202604201010</v>
      </c>
      <c r="B1011" s="201">
        <v>46132.682638888888</v>
      </c>
      <c r="C1011" s="192" t="s">
        <v>77</v>
      </c>
      <c r="D1011" s="194" t="s">
        <v>78</v>
      </c>
      <c r="E1011" s="194" t="s">
        <v>74</v>
      </c>
      <c r="F1011" s="192" t="s">
        <v>40</v>
      </c>
      <c r="G1011" s="192" t="s">
        <v>60</v>
      </c>
      <c r="H1011" s="192" t="s">
        <v>79</v>
      </c>
      <c r="I1011" s="192" t="s">
        <v>84</v>
      </c>
      <c r="J1011" s="121" t="s">
        <v>2652</v>
      </c>
      <c r="K1011" s="192" t="s">
        <v>110</v>
      </c>
      <c r="L1011" s="192" t="s">
        <v>81</v>
      </c>
      <c r="M1011" s="146" t="s">
        <v>5</v>
      </c>
      <c r="N1011" s="192" t="s">
        <v>2653</v>
      </c>
      <c r="O1011" s="192" t="s">
        <v>86</v>
      </c>
      <c r="P1011" s="192" t="s">
        <v>87</v>
      </c>
      <c r="Q1011" s="108">
        <v>46132</v>
      </c>
      <c r="R1011" s="108">
        <v>46136</v>
      </c>
      <c r="S1011" s="40"/>
    </row>
    <row r="1012" spans="1:19" ht="146.4" customHeight="1" x14ac:dyDescent="0.25">
      <c r="A1012" s="197" t="str">
        <f t="shared" si="23"/>
        <v>INC202604211011</v>
      </c>
      <c r="B1012" s="201">
        <v>46133.848611111112</v>
      </c>
      <c r="C1012" s="192" t="s">
        <v>77</v>
      </c>
      <c r="D1012" s="194" t="s">
        <v>78</v>
      </c>
      <c r="E1012" s="194" t="s">
        <v>116</v>
      </c>
      <c r="F1012" s="192" t="s">
        <v>40</v>
      </c>
      <c r="G1012" s="192" t="s">
        <v>60</v>
      </c>
      <c r="H1012" s="192" t="s">
        <v>79</v>
      </c>
      <c r="I1012" s="192" t="s">
        <v>84</v>
      </c>
      <c r="J1012" s="121" t="s">
        <v>2654</v>
      </c>
      <c r="K1012" s="192" t="s">
        <v>110</v>
      </c>
      <c r="L1012" s="192" t="s">
        <v>81</v>
      </c>
      <c r="M1012" s="146" t="s">
        <v>5</v>
      </c>
      <c r="N1012" s="192" t="s">
        <v>2655</v>
      </c>
      <c r="O1012" s="192" t="s">
        <v>86</v>
      </c>
      <c r="P1012" s="192" t="s">
        <v>87</v>
      </c>
      <c r="Q1012" s="108">
        <v>46133</v>
      </c>
      <c r="R1012" s="108">
        <v>46136</v>
      </c>
      <c r="S1012" s="40"/>
    </row>
    <row r="1013" spans="1:19" ht="135.6" customHeight="1" x14ac:dyDescent="0.25">
      <c r="A1013" s="197" t="str">
        <f t="shared" si="23"/>
        <v>INC202604241012</v>
      </c>
      <c r="B1013" s="201">
        <v>46136.604861111111</v>
      </c>
      <c r="C1013" s="40" t="s">
        <v>37</v>
      </c>
      <c r="D1013" s="157" t="s">
        <v>2656</v>
      </c>
      <c r="E1013" s="192" t="s">
        <v>50</v>
      </c>
      <c r="F1013" s="192" t="s">
        <v>40</v>
      </c>
      <c r="G1013" s="192" t="s">
        <v>51</v>
      </c>
      <c r="H1013" s="192" t="s">
        <v>92</v>
      </c>
      <c r="I1013" s="192" t="s">
        <v>93</v>
      </c>
      <c r="J1013" s="195" t="s">
        <v>2686</v>
      </c>
      <c r="K1013" s="192" t="s">
        <v>54</v>
      </c>
      <c r="L1013" s="192" t="s">
        <v>55</v>
      </c>
      <c r="M1013" s="146" t="s">
        <v>5</v>
      </c>
      <c r="N1013" s="192" t="s">
        <v>2685</v>
      </c>
      <c r="O1013" s="192"/>
      <c r="P1013" s="144"/>
      <c r="Q1013" s="108">
        <v>46136</v>
      </c>
      <c r="R1013" s="108">
        <v>46136</v>
      </c>
      <c r="S1013" s="40"/>
    </row>
    <row r="1014" spans="1:19" ht="141.6" customHeight="1" x14ac:dyDescent="0.25">
      <c r="A1014" s="197" t="str">
        <f t="shared" si="23"/>
        <v>INC202604241013</v>
      </c>
      <c r="B1014" s="106">
        <v>46136.619444444441</v>
      </c>
      <c r="C1014" s="192" t="s">
        <v>37</v>
      </c>
      <c r="D1014" s="194" t="s">
        <v>262</v>
      </c>
      <c r="E1014" s="192" t="s">
        <v>69</v>
      </c>
      <c r="F1014" s="192" t="s">
        <v>59</v>
      </c>
      <c r="G1014" s="192" t="s">
        <v>41</v>
      </c>
      <c r="H1014" s="192" t="s">
        <v>61</v>
      </c>
      <c r="I1014" s="192" t="s">
        <v>62</v>
      </c>
      <c r="J1014" s="121" t="s">
        <v>2595</v>
      </c>
      <c r="K1014" s="192" t="s">
        <v>63</v>
      </c>
      <c r="L1014" s="146" t="s">
        <v>6</v>
      </c>
      <c r="M1014" s="146" t="s">
        <v>5</v>
      </c>
      <c r="N1014" s="192" t="s">
        <v>1683</v>
      </c>
      <c r="O1014" s="192" t="s">
        <v>66</v>
      </c>
      <c r="P1014" s="192" t="s">
        <v>67</v>
      </c>
      <c r="Q1014" s="108">
        <v>46135</v>
      </c>
      <c r="R1014" s="108">
        <v>46136</v>
      </c>
      <c r="S1014" s="40"/>
    </row>
    <row r="1015" spans="1:19" ht="141.6" customHeight="1" x14ac:dyDescent="0.25">
      <c r="A1015" s="197" t="str">
        <f t="shared" si="23"/>
        <v>INC202604221014</v>
      </c>
      <c r="B1015" s="201">
        <v>46134.634027777778</v>
      </c>
      <c r="C1015" s="40" t="s">
        <v>77</v>
      </c>
      <c r="D1015" s="107" t="s">
        <v>78</v>
      </c>
      <c r="E1015" s="40" t="s">
        <v>486</v>
      </c>
      <c r="F1015" s="192" t="s">
        <v>40</v>
      </c>
      <c r="G1015" s="192" t="s">
        <v>60</v>
      </c>
      <c r="H1015" s="192" t="s">
        <v>79</v>
      </c>
      <c r="I1015" s="192" t="s">
        <v>80</v>
      </c>
      <c r="J1015" s="121" t="s">
        <v>2657</v>
      </c>
      <c r="K1015" s="192" t="s">
        <v>151</v>
      </c>
      <c r="L1015" s="192" t="s">
        <v>81</v>
      </c>
      <c r="M1015" s="146" t="s">
        <v>5</v>
      </c>
      <c r="N1015" s="192" t="s">
        <v>2658</v>
      </c>
      <c r="O1015" s="197" t="s">
        <v>83</v>
      </c>
      <c r="P1015" s="197" t="s">
        <v>1366</v>
      </c>
      <c r="Q1015" s="108">
        <v>46134</v>
      </c>
      <c r="R1015" s="108">
        <v>46139</v>
      </c>
      <c r="S1015" s="40"/>
    </row>
    <row r="1016" spans="1:19" ht="136.80000000000001" customHeight="1" x14ac:dyDescent="0.25">
      <c r="A1016" s="197" t="str">
        <f t="shared" si="23"/>
        <v>INC202604221015</v>
      </c>
      <c r="B1016" s="201">
        <v>46134.372916666667</v>
      </c>
      <c r="C1016" s="40" t="s">
        <v>77</v>
      </c>
      <c r="D1016" s="107" t="s">
        <v>78</v>
      </c>
      <c r="E1016" s="40" t="s">
        <v>486</v>
      </c>
      <c r="F1016" s="192" t="s">
        <v>40</v>
      </c>
      <c r="G1016" s="192" t="s">
        <v>60</v>
      </c>
      <c r="H1016" s="192" t="s">
        <v>79</v>
      </c>
      <c r="I1016" s="192" t="s">
        <v>80</v>
      </c>
      <c r="J1016" s="121" t="s">
        <v>2659</v>
      </c>
      <c r="K1016" s="192" t="s">
        <v>110</v>
      </c>
      <c r="L1016" s="192" t="s">
        <v>81</v>
      </c>
      <c r="M1016" s="146" t="s">
        <v>5</v>
      </c>
      <c r="N1016" s="192" t="s">
        <v>2660</v>
      </c>
      <c r="O1016" s="197" t="s">
        <v>83</v>
      </c>
      <c r="P1016" s="197" t="s">
        <v>1366</v>
      </c>
      <c r="Q1016" s="108">
        <v>46135</v>
      </c>
      <c r="R1016" s="108">
        <v>46139</v>
      </c>
      <c r="S1016" s="40"/>
    </row>
    <row r="1017" spans="1:19" ht="137.4" customHeight="1" x14ac:dyDescent="0.25">
      <c r="A1017" s="197" t="str">
        <f t="shared" si="23"/>
        <v>INC202604221016</v>
      </c>
      <c r="B1017" s="201">
        <v>46134.46875</v>
      </c>
      <c r="C1017" s="40" t="s">
        <v>77</v>
      </c>
      <c r="D1017" s="107" t="s">
        <v>78</v>
      </c>
      <c r="E1017" s="192" t="s">
        <v>109</v>
      </c>
      <c r="F1017" s="192" t="s">
        <v>40</v>
      </c>
      <c r="G1017" s="192" t="s">
        <v>60</v>
      </c>
      <c r="H1017" s="192" t="s">
        <v>79</v>
      </c>
      <c r="I1017" s="192" t="s">
        <v>80</v>
      </c>
      <c r="J1017" s="121" t="s">
        <v>2661</v>
      </c>
      <c r="K1017" s="192" t="s">
        <v>110</v>
      </c>
      <c r="L1017" s="192" t="s">
        <v>81</v>
      </c>
      <c r="M1017" s="146" t="s">
        <v>5</v>
      </c>
      <c r="N1017" s="192" t="s">
        <v>2662</v>
      </c>
      <c r="O1017" s="197" t="s">
        <v>83</v>
      </c>
      <c r="P1017" s="197" t="s">
        <v>1366</v>
      </c>
      <c r="Q1017" s="108">
        <v>46135</v>
      </c>
      <c r="R1017" s="108">
        <v>46139</v>
      </c>
      <c r="S1017" s="40"/>
    </row>
    <row r="1018" spans="1:19" ht="147" customHeight="1" x14ac:dyDescent="0.25">
      <c r="A1018" s="197" t="str">
        <f t="shared" si="23"/>
        <v>INC202604221017</v>
      </c>
      <c r="B1018" s="201">
        <v>46134.467361111114</v>
      </c>
      <c r="C1018" s="192" t="s">
        <v>77</v>
      </c>
      <c r="D1018" s="194" t="s">
        <v>78</v>
      </c>
      <c r="E1018" s="194" t="s">
        <v>58</v>
      </c>
      <c r="F1018" s="192" t="s">
        <v>40</v>
      </c>
      <c r="G1018" s="192" t="s">
        <v>60</v>
      </c>
      <c r="H1018" s="192" t="s">
        <v>79</v>
      </c>
      <c r="I1018" s="192" t="s">
        <v>84</v>
      </c>
      <c r="J1018" s="121" t="s">
        <v>2663</v>
      </c>
      <c r="K1018" s="192" t="s">
        <v>63</v>
      </c>
      <c r="L1018" s="192" t="s">
        <v>81</v>
      </c>
      <c r="M1018" s="146" t="s">
        <v>5</v>
      </c>
      <c r="N1018" s="192" t="s">
        <v>2664</v>
      </c>
      <c r="O1018" s="192" t="s">
        <v>86</v>
      </c>
      <c r="P1018" s="192" t="s">
        <v>87</v>
      </c>
      <c r="Q1018" s="108">
        <v>46135</v>
      </c>
      <c r="R1018" s="108">
        <v>46139</v>
      </c>
      <c r="S1018" s="40"/>
    </row>
    <row r="1019" spans="1:19" ht="135" customHeight="1" x14ac:dyDescent="0.25">
      <c r="A1019" s="197" t="str">
        <f t="shared" si="23"/>
        <v>INC202604221018</v>
      </c>
      <c r="B1019" s="201">
        <v>46134.484722222223</v>
      </c>
      <c r="C1019" s="192" t="s">
        <v>77</v>
      </c>
      <c r="D1019" s="194" t="s">
        <v>78</v>
      </c>
      <c r="E1019" s="194" t="s">
        <v>69</v>
      </c>
      <c r="F1019" s="192" t="s">
        <v>40</v>
      </c>
      <c r="G1019" s="192" t="s">
        <v>41</v>
      </c>
      <c r="H1019" s="192" t="s">
        <v>79</v>
      </c>
      <c r="I1019" s="192" t="s">
        <v>84</v>
      </c>
      <c r="J1019" s="121" t="s">
        <v>2665</v>
      </c>
      <c r="K1019" s="192" t="s">
        <v>63</v>
      </c>
      <c r="L1019" s="192" t="s">
        <v>81</v>
      </c>
      <c r="M1019" s="146" t="s">
        <v>5</v>
      </c>
      <c r="N1019" s="192" t="s">
        <v>2666</v>
      </c>
      <c r="O1019" s="192" t="s">
        <v>86</v>
      </c>
      <c r="P1019" s="192" t="s">
        <v>87</v>
      </c>
      <c r="Q1019" s="108">
        <v>46135</v>
      </c>
      <c r="R1019" s="108">
        <v>46139</v>
      </c>
      <c r="S1019" s="40"/>
    </row>
    <row r="1020" spans="1:19" ht="148.80000000000001" customHeight="1" x14ac:dyDescent="0.25">
      <c r="A1020" s="197" t="str">
        <f t="shared" si="23"/>
        <v>INC202604231019</v>
      </c>
      <c r="B1020" s="193">
        <v>46135.704861111109</v>
      </c>
      <c r="C1020" s="192" t="s">
        <v>77</v>
      </c>
      <c r="D1020" s="194" t="s">
        <v>78</v>
      </c>
      <c r="E1020" s="194" t="s">
        <v>69</v>
      </c>
      <c r="F1020" s="192" t="s">
        <v>40</v>
      </c>
      <c r="G1020" s="192" t="s">
        <v>41</v>
      </c>
      <c r="H1020" s="192" t="s">
        <v>79</v>
      </c>
      <c r="I1020" s="192" t="s">
        <v>84</v>
      </c>
      <c r="J1020" s="121" t="s">
        <v>2667</v>
      </c>
      <c r="K1020" s="192" t="s">
        <v>63</v>
      </c>
      <c r="L1020" s="192" t="s">
        <v>81</v>
      </c>
      <c r="M1020" s="146" t="s">
        <v>5</v>
      </c>
      <c r="N1020" s="192" t="s">
        <v>2668</v>
      </c>
      <c r="O1020" s="192" t="s">
        <v>86</v>
      </c>
      <c r="P1020" s="192" t="s">
        <v>87</v>
      </c>
      <c r="Q1020" s="108">
        <v>46135</v>
      </c>
      <c r="R1020" s="108">
        <v>46139</v>
      </c>
      <c r="S1020" s="40"/>
    </row>
    <row r="1021" spans="1:19" ht="145.19999999999999" customHeight="1" x14ac:dyDescent="0.25">
      <c r="A1021" s="197" t="str">
        <f t="shared" si="23"/>
        <v>INC202604241020</v>
      </c>
      <c r="B1021" s="201">
        <v>46136.570833333331</v>
      </c>
      <c r="C1021" s="192" t="s">
        <v>77</v>
      </c>
      <c r="D1021" s="194" t="s">
        <v>78</v>
      </c>
      <c r="E1021" s="194" t="s">
        <v>69</v>
      </c>
      <c r="F1021" s="192" t="s">
        <v>40</v>
      </c>
      <c r="G1021" s="192" t="s">
        <v>60</v>
      </c>
      <c r="H1021" s="192" t="s">
        <v>79</v>
      </c>
      <c r="I1021" s="192" t="s">
        <v>84</v>
      </c>
      <c r="J1021" s="121" t="s">
        <v>2670</v>
      </c>
      <c r="K1021" s="192" t="s">
        <v>63</v>
      </c>
      <c r="L1021" s="192" t="s">
        <v>81</v>
      </c>
      <c r="M1021" s="146" t="s">
        <v>5</v>
      </c>
      <c r="N1021" s="192" t="s">
        <v>2669</v>
      </c>
      <c r="O1021" s="192" t="s">
        <v>86</v>
      </c>
      <c r="P1021" s="192" t="s">
        <v>87</v>
      </c>
      <c r="Q1021" s="108">
        <v>46136</v>
      </c>
      <c r="R1021" s="108">
        <v>46139</v>
      </c>
      <c r="S1021" s="40"/>
    </row>
    <row r="1022" spans="1:19" ht="144.6" customHeight="1" x14ac:dyDescent="0.25">
      <c r="A1022" s="197" t="str">
        <f t="shared" si="23"/>
        <v>INC202604241021</v>
      </c>
      <c r="B1022" s="201">
        <v>46136.631249999999</v>
      </c>
      <c r="C1022" s="40" t="s">
        <v>77</v>
      </c>
      <c r="D1022" s="107" t="s">
        <v>78</v>
      </c>
      <c r="E1022" s="194" t="s">
        <v>69</v>
      </c>
      <c r="F1022" s="192" t="s">
        <v>40</v>
      </c>
      <c r="G1022" s="192" t="s">
        <v>60</v>
      </c>
      <c r="H1022" s="192" t="s">
        <v>79</v>
      </c>
      <c r="I1022" s="192" t="s">
        <v>80</v>
      </c>
      <c r="J1022" s="121" t="s">
        <v>2671</v>
      </c>
      <c r="K1022" s="192" t="s">
        <v>2672</v>
      </c>
      <c r="L1022" s="192" t="s">
        <v>81</v>
      </c>
      <c r="M1022" s="146" t="s">
        <v>5</v>
      </c>
      <c r="N1022" s="192" t="s">
        <v>2673</v>
      </c>
      <c r="O1022" s="197" t="s">
        <v>83</v>
      </c>
      <c r="P1022" s="197" t="s">
        <v>1366</v>
      </c>
      <c r="Q1022" s="108">
        <v>46136</v>
      </c>
      <c r="R1022" s="108">
        <v>46139</v>
      </c>
      <c r="S1022" s="40"/>
    </row>
    <row r="1023" spans="1:19" ht="142.80000000000001" customHeight="1" x14ac:dyDescent="0.25">
      <c r="A1023" s="197" t="str">
        <f t="shared" si="23"/>
        <v>INC202604241022</v>
      </c>
      <c r="B1023" s="193">
        <v>46136.781944444447</v>
      </c>
      <c r="C1023" s="40" t="s">
        <v>77</v>
      </c>
      <c r="D1023" s="107" t="s">
        <v>78</v>
      </c>
      <c r="E1023" s="194" t="s">
        <v>69</v>
      </c>
      <c r="F1023" s="192" t="s">
        <v>40</v>
      </c>
      <c r="G1023" s="192" t="s">
        <v>41</v>
      </c>
      <c r="H1023" s="192" t="s">
        <v>79</v>
      </c>
      <c r="I1023" s="192" t="s">
        <v>80</v>
      </c>
      <c r="J1023" s="121" t="s">
        <v>2674</v>
      </c>
      <c r="K1023" s="192" t="s">
        <v>44</v>
      </c>
      <c r="L1023" s="192" t="s">
        <v>81</v>
      </c>
      <c r="M1023" s="146" t="s">
        <v>5</v>
      </c>
      <c r="N1023" s="192" t="s">
        <v>2673</v>
      </c>
      <c r="O1023" s="192" t="s">
        <v>325</v>
      </c>
      <c r="P1023" s="197" t="s">
        <v>874</v>
      </c>
      <c r="Q1023" s="108">
        <v>46136</v>
      </c>
      <c r="R1023" s="108">
        <v>46139</v>
      </c>
      <c r="S1023" s="40"/>
    </row>
    <row r="1024" spans="1:19" ht="139.19999999999999" customHeight="1" x14ac:dyDescent="0.25">
      <c r="A1024" s="197" t="str">
        <f t="shared" si="23"/>
        <v>INC202604241023</v>
      </c>
      <c r="B1024" s="193">
        <v>46136.811111111114</v>
      </c>
      <c r="C1024" s="40" t="s">
        <v>77</v>
      </c>
      <c r="D1024" s="107" t="s">
        <v>78</v>
      </c>
      <c r="E1024" s="194" t="s">
        <v>225</v>
      </c>
      <c r="F1024" s="192" t="s">
        <v>40</v>
      </c>
      <c r="G1024" s="192" t="s">
        <v>60</v>
      </c>
      <c r="H1024" s="192" t="s">
        <v>79</v>
      </c>
      <c r="I1024" s="192" t="s">
        <v>80</v>
      </c>
      <c r="J1024" s="121" t="s">
        <v>2675</v>
      </c>
      <c r="K1024" s="192" t="s">
        <v>63</v>
      </c>
      <c r="L1024" s="192" t="s">
        <v>81</v>
      </c>
      <c r="M1024" s="146" t="s">
        <v>5</v>
      </c>
      <c r="N1024" s="192" t="s">
        <v>2676</v>
      </c>
      <c r="O1024" s="197" t="s">
        <v>83</v>
      </c>
      <c r="P1024" s="197" t="s">
        <v>1366</v>
      </c>
      <c r="Q1024" s="108">
        <v>46136</v>
      </c>
      <c r="R1024" s="108">
        <v>46139</v>
      </c>
      <c r="S1024" s="40"/>
    </row>
    <row r="1025" spans="1:19" ht="135.6" customHeight="1" x14ac:dyDescent="0.25">
      <c r="A1025" s="197" t="str">
        <f t="shared" si="23"/>
        <v>INC202604251024</v>
      </c>
      <c r="B1025" s="201">
        <v>46137.484027777777</v>
      </c>
      <c r="C1025" s="40" t="s">
        <v>77</v>
      </c>
      <c r="D1025" s="107" t="s">
        <v>78</v>
      </c>
      <c r="E1025" s="194" t="s">
        <v>317</v>
      </c>
      <c r="F1025" s="192" t="s">
        <v>40</v>
      </c>
      <c r="G1025" s="192" t="s">
        <v>41</v>
      </c>
      <c r="H1025" s="192" t="s">
        <v>79</v>
      </c>
      <c r="I1025" s="192" t="s">
        <v>80</v>
      </c>
      <c r="J1025" s="121" t="s">
        <v>2677</v>
      </c>
      <c r="K1025" s="192" t="s">
        <v>44</v>
      </c>
      <c r="L1025" s="192" t="s">
        <v>81</v>
      </c>
      <c r="M1025" s="146" t="s">
        <v>5</v>
      </c>
      <c r="N1025" s="192" t="s">
        <v>2678</v>
      </c>
      <c r="O1025" s="192" t="s">
        <v>325</v>
      </c>
      <c r="P1025" s="197" t="s">
        <v>874</v>
      </c>
      <c r="Q1025" s="108">
        <v>46137</v>
      </c>
      <c r="R1025" s="108">
        <v>46139</v>
      </c>
      <c r="S1025" s="40"/>
    </row>
    <row r="1026" spans="1:19" ht="158.4" customHeight="1" x14ac:dyDescent="0.25">
      <c r="A1026" s="197" t="str">
        <f t="shared" si="23"/>
        <v>INC202604251025</v>
      </c>
      <c r="B1026" s="201">
        <v>46137.329861111109</v>
      </c>
      <c r="C1026" s="40" t="s">
        <v>77</v>
      </c>
      <c r="D1026" s="107" t="s">
        <v>78</v>
      </c>
      <c r="E1026" s="194" t="s">
        <v>2679</v>
      </c>
      <c r="F1026" s="192" t="s">
        <v>40</v>
      </c>
      <c r="G1026" s="192" t="s">
        <v>41</v>
      </c>
      <c r="H1026" s="192" t="s">
        <v>79</v>
      </c>
      <c r="I1026" s="192" t="s">
        <v>80</v>
      </c>
      <c r="J1026" s="121" t="s">
        <v>2680</v>
      </c>
      <c r="K1026" s="192" t="s">
        <v>44</v>
      </c>
      <c r="L1026" s="192" t="s">
        <v>81</v>
      </c>
      <c r="M1026" s="146" t="s">
        <v>5</v>
      </c>
      <c r="N1026" s="192" t="s">
        <v>2681</v>
      </c>
      <c r="O1026" s="192" t="s">
        <v>325</v>
      </c>
      <c r="P1026" s="197" t="s">
        <v>874</v>
      </c>
      <c r="Q1026" s="108">
        <v>46137</v>
      </c>
      <c r="R1026" s="108">
        <v>46139</v>
      </c>
      <c r="S1026" s="40"/>
    </row>
    <row r="1027" spans="1:19" ht="139.19999999999999" customHeight="1" x14ac:dyDescent="0.25">
      <c r="A1027" s="197" t="str">
        <f t="shared" si="23"/>
        <v>INC202604241026</v>
      </c>
      <c r="B1027" s="106">
        <v>46136.619444444441</v>
      </c>
      <c r="C1027" s="40" t="s">
        <v>37</v>
      </c>
      <c r="D1027" s="107" t="s">
        <v>262</v>
      </c>
      <c r="E1027" s="192" t="s">
        <v>225</v>
      </c>
      <c r="F1027" s="192" t="s">
        <v>59</v>
      </c>
      <c r="G1027" s="192" t="s">
        <v>41</v>
      </c>
      <c r="H1027" s="192" t="s">
        <v>61</v>
      </c>
      <c r="I1027" s="192" t="s">
        <v>62</v>
      </c>
      <c r="J1027" s="121" t="s">
        <v>2682</v>
      </c>
      <c r="K1027" s="192" t="s">
        <v>63</v>
      </c>
      <c r="L1027" s="146" t="s">
        <v>6</v>
      </c>
      <c r="M1027" s="146" t="s">
        <v>5</v>
      </c>
      <c r="N1027" s="192" t="s">
        <v>2764</v>
      </c>
      <c r="O1027" s="192" t="s">
        <v>66</v>
      </c>
      <c r="P1027" s="192" t="s">
        <v>67</v>
      </c>
      <c r="Q1027" s="108"/>
      <c r="R1027" s="108">
        <v>46139</v>
      </c>
      <c r="S1027" s="40"/>
    </row>
    <row r="1028" spans="1:19" ht="142.80000000000001" customHeight="1" x14ac:dyDescent="0.25">
      <c r="A1028" s="197" t="str">
        <f t="shared" si="23"/>
        <v>INC202604251027</v>
      </c>
      <c r="B1028" s="106">
        <v>46137.149305555555</v>
      </c>
      <c r="C1028" s="40" t="s">
        <v>37</v>
      </c>
      <c r="D1028" s="107" t="s">
        <v>2691</v>
      </c>
      <c r="E1028" s="192" t="s">
        <v>50</v>
      </c>
      <c r="F1028" s="192" t="s">
        <v>40</v>
      </c>
      <c r="G1028" s="192" t="s">
        <v>51</v>
      </c>
      <c r="H1028" s="192" t="s">
        <v>42</v>
      </c>
      <c r="I1028" s="192" t="s">
        <v>630</v>
      </c>
      <c r="J1028" s="195" t="s">
        <v>2692</v>
      </c>
      <c r="K1028" s="192" t="s">
        <v>54</v>
      </c>
      <c r="L1028" s="192" t="s">
        <v>55</v>
      </c>
      <c r="M1028" s="206" t="s">
        <v>5</v>
      </c>
      <c r="N1028" s="40" t="s">
        <v>2775</v>
      </c>
      <c r="O1028" s="192" t="s">
        <v>911</v>
      </c>
      <c r="P1028" s="144" t="s">
        <v>912</v>
      </c>
      <c r="Q1028" s="108">
        <v>46137</v>
      </c>
      <c r="R1028" s="108">
        <v>46139</v>
      </c>
      <c r="S1028" s="40"/>
    </row>
    <row r="1029" spans="1:19" ht="143.4" customHeight="1" x14ac:dyDescent="0.25">
      <c r="A1029" s="197" t="str">
        <f t="shared" si="23"/>
        <v>INC202604251028</v>
      </c>
      <c r="B1029" s="106">
        <v>46137.395138888889</v>
      </c>
      <c r="C1029" s="40" t="s">
        <v>37</v>
      </c>
      <c r="D1029" s="107" t="s">
        <v>2694</v>
      </c>
      <c r="E1029" s="192" t="s">
        <v>50</v>
      </c>
      <c r="F1029" s="192" t="s">
        <v>40</v>
      </c>
      <c r="G1029" s="192" t="s">
        <v>51</v>
      </c>
      <c r="H1029" s="192" t="s">
        <v>42</v>
      </c>
      <c r="I1029" s="192" t="s">
        <v>630</v>
      </c>
      <c r="J1029" s="195" t="s">
        <v>2695</v>
      </c>
      <c r="K1029" s="192" t="s">
        <v>54</v>
      </c>
      <c r="L1029" s="192" t="s">
        <v>55</v>
      </c>
      <c r="M1029" s="146" t="s">
        <v>6</v>
      </c>
      <c r="N1029" s="192" t="s">
        <v>2693</v>
      </c>
      <c r="O1029" s="192" t="s">
        <v>911</v>
      </c>
      <c r="P1029" s="144" t="s">
        <v>912</v>
      </c>
      <c r="Q1029" s="108"/>
      <c r="R1029" s="108">
        <v>46139</v>
      </c>
      <c r="S1029" s="40"/>
    </row>
    <row r="1030" spans="1:19" ht="129.6" customHeight="1" x14ac:dyDescent="0.25">
      <c r="A1030" s="197" t="str">
        <f t="shared" si="23"/>
        <v>INC202604251029</v>
      </c>
      <c r="B1030" s="106">
        <v>46137.40347222222</v>
      </c>
      <c r="C1030" s="40" t="s">
        <v>37</v>
      </c>
      <c r="D1030" s="107" t="s">
        <v>2698</v>
      </c>
      <c r="E1030" s="192" t="s">
        <v>50</v>
      </c>
      <c r="F1030" s="192" t="s">
        <v>40</v>
      </c>
      <c r="G1030" s="192" t="s">
        <v>51</v>
      </c>
      <c r="H1030" s="192" t="s">
        <v>42</v>
      </c>
      <c r="I1030" s="192" t="s">
        <v>630</v>
      </c>
      <c r="J1030" s="195" t="s">
        <v>2697</v>
      </c>
      <c r="K1030" s="192" t="s">
        <v>54</v>
      </c>
      <c r="L1030" s="192" t="s">
        <v>55</v>
      </c>
      <c r="M1030" s="146" t="s">
        <v>5</v>
      </c>
      <c r="N1030" s="192" t="s">
        <v>2700</v>
      </c>
      <c r="O1030" s="192" t="s">
        <v>911</v>
      </c>
      <c r="P1030" s="144" t="s">
        <v>912</v>
      </c>
      <c r="Q1030" s="108">
        <v>46137</v>
      </c>
      <c r="R1030" s="108">
        <v>46139</v>
      </c>
      <c r="S1030" s="40"/>
    </row>
    <row r="1031" spans="1:19" ht="154.80000000000001" customHeight="1" x14ac:dyDescent="0.25">
      <c r="A1031" s="197" t="str">
        <f t="shared" si="23"/>
        <v>INC202604251030</v>
      </c>
      <c r="B1031" s="106">
        <v>46137.509027777778</v>
      </c>
      <c r="C1031" s="40" t="s">
        <v>37</v>
      </c>
      <c r="D1031" s="107" t="s">
        <v>1598</v>
      </c>
      <c r="E1031" s="192" t="s">
        <v>50</v>
      </c>
      <c r="F1031" s="192" t="s">
        <v>40</v>
      </c>
      <c r="G1031" s="192" t="s">
        <v>51</v>
      </c>
      <c r="H1031" s="192" t="s">
        <v>42</v>
      </c>
      <c r="I1031" s="192" t="s">
        <v>630</v>
      </c>
      <c r="J1031" s="195" t="s">
        <v>2701</v>
      </c>
      <c r="K1031" s="192" t="s">
        <v>54</v>
      </c>
      <c r="L1031" s="192" t="s">
        <v>55</v>
      </c>
      <c r="M1031" s="146" t="s">
        <v>6</v>
      </c>
      <c r="N1031" s="192" t="s">
        <v>2693</v>
      </c>
      <c r="O1031" s="192" t="s">
        <v>911</v>
      </c>
      <c r="P1031" s="144" t="s">
        <v>912</v>
      </c>
      <c r="Q1031" s="108"/>
      <c r="R1031" s="108">
        <v>46139</v>
      </c>
      <c r="S1031" s="40"/>
    </row>
    <row r="1032" spans="1:19" ht="156.6" customHeight="1" x14ac:dyDescent="0.25">
      <c r="A1032" s="197" t="str">
        <f t="shared" si="23"/>
        <v>INC202604251031</v>
      </c>
      <c r="B1032" s="106">
        <v>46137.511805555558</v>
      </c>
      <c r="C1032" s="40" t="s">
        <v>37</v>
      </c>
      <c r="D1032" s="107" t="s">
        <v>2702</v>
      </c>
      <c r="E1032" s="192" t="s">
        <v>50</v>
      </c>
      <c r="F1032" s="192" t="s">
        <v>40</v>
      </c>
      <c r="G1032" s="192" t="s">
        <v>51</v>
      </c>
      <c r="H1032" s="192" t="s">
        <v>42</v>
      </c>
      <c r="I1032" s="192" t="s">
        <v>630</v>
      </c>
      <c r="J1032" s="195" t="s">
        <v>2703</v>
      </c>
      <c r="K1032" s="192" t="s">
        <v>54</v>
      </c>
      <c r="L1032" s="192" t="s">
        <v>55</v>
      </c>
      <c r="M1032" s="146" t="s">
        <v>5</v>
      </c>
      <c r="N1032" s="192" t="s">
        <v>2715</v>
      </c>
      <c r="O1032" s="192" t="s">
        <v>911</v>
      </c>
      <c r="P1032" s="144" t="s">
        <v>912</v>
      </c>
      <c r="Q1032" s="108">
        <v>46138</v>
      </c>
      <c r="R1032" s="108">
        <v>46139</v>
      </c>
      <c r="S1032" s="40"/>
    </row>
    <row r="1033" spans="1:19" ht="144.6" customHeight="1" x14ac:dyDescent="0.25">
      <c r="A1033" s="197" t="str">
        <f t="shared" si="23"/>
        <v>INC202604251032</v>
      </c>
      <c r="B1033" s="106">
        <v>46137.410416666666</v>
      </c>
      <c r="C1033" s="40" t="s">
        <v>37</v>
      </c>
      <c r="D1033" s="107" t="s">
        <v>2705</v>
      </c>
      <c r="E1033" s="192" t="s">
        <v>50</v>
      </c>
      <c r="F1033" s="192" t="s">
        <v>40</v>
      </c>
      <c r="G1033" s="192" t="s">
        <v>51</v>
      </c>
      <c r="H1033" s="192" t="s">
        <v>42</v>
      </c>
      <c r="I1033" s="192" t="s">
        <v>630</v>
      </c>
      <c r="J1033" s="195" t="s">
        <v>2704</v>
      </c>
      <c r="K1033" s="192" t="s">
        <v>54</v>
      </c>
      <c r="L1033" s="192" t="s">
        <v>55</v>
      </c>
      <c r="M1033" s="146" t="s">
        <v>5</v>
      </c>
      <c r="N1033" s="192" t="s">
        <v>2700</v>
      </c>
      <c r="O1033" s="192" t="s">
        <v>911</v>
      </c>
      <c r="P1033" s="144" t="s">
        <v>912</v>
      </c>
      <c r="Q1033" s="108">
        <v>46137</v>
      </c>
      <c r="R1033" s="108">
        <v>46139</v>
      </c>
      <c r="S1033" s="40"/>
    </row>
    <row r="1034" spans="1:19" ht="150.6" customHeight="1" x14ac:dyDescent="0.25">
      <c r="A1034" s="197" t="str">
        <f t="shared" si="23"/>
        <v>INC202604251033</v>
      </c>
      <c r="B1034" s="106">
        <v>46137.633333333331</v>
      </c>
      <c r="C1034" s="40" t="s">
        <v>37</v>
      </c>
      <c r="D1034" s="107" t="s">
        <v>2707</v>
      </c>
      <c r="E1034" s="192" t="s">
        <v>50</v>
      </c>
      <c r="F1034" s="192" t="s">
        <v>40</v>
      </c>
      <c r="G1034" s="192" t="s">
        <v>51</v>
      </c>
      <c r="H1034" s="192" t="s">
        <v>42</v>
      </c>
      <c r="I1034" s="192" t="s">
        <v>630</v>
      </c>
      <c r="J1034" s="195" t="s">
        <v>2706</v>
      </c>
      <c r="K1034" s="192" t="s">
        <v>54</v>
      </c>
      <c r="L1034" s="192" t="s">
        <v>55</v>
      </c>
      <c r="M1034" s="146" t="s">
        <v>5</v>
      </c>
      <c r="N1034" s="192" t="s">
        <v>2700</v>
      </c>
      <c r="O1034" s="192" t="s">
        <v>911</v>
      </c>
      <c r="P1034" s="144" t="s">
        <v>912</v>
      </c>
      <c r="Q1034" s="108">
        <v>46137</v>
      </c>
      <c r="R1034" s="108">
        <v>46139</v>
      </c>
      <c r="S1034" s="40"/>
    </row>
    <row r="1035" spans="1:19" ht="140.4" customHeight="1" x14ac:dyDescent="0.25">
      <c r="A1035" s="197" t="str">
        <f t="shared" si="23"/>
        <v>INC202604251034</v>
      </c>
      <c r="B1035" s="106">
        <v>46137.669444444444</v>
      </c>
      <c r="C1035" s="40" t="s">
        <v>37</v>
      </c>
      <c r="D1035" s="107" t="s">
        <v>1598</v>
      </c>
      <c r="E1035" s="192" t="s">
        <v>50</v>
      </c>
      <c r="F1035" s="192" t="s">
        <v>40</v>
      </c>
      <c r="G1035" s="192" t="s">
        <v>51</v>
      </c>
      <c r="H1035" s="192" t="s">
        <v>42</v>
      </c>
      <c r="I1035" s="192" t="s">
        <v>630</v>
      </c>
      <c r="J1035" s="195" t="s">
        <v>2701</v>
      </c>
      <c r="K1035" s="192" t="s">
        <v>54</v>
      </c>
      <c r="L1035" s="192" t="s">
        <v>55</v>
      </c>
      <c r="M1035" s="146" t="s">
        <v>5</v>
      </c>
      <c r="N1035" s="192" t="s">
        <v>2710</v>
      </c>
      <c r="O1035" s="192" t="s">
        <v>911</v>
      </c>
      <c r="P1035" s="144" t="s">
        <v>912</v>
      </c>
      <c r="Q1035" s="108">
        <v>46137</v>
      </c>
      <c r="R1035" s="108">
        <v>46139</v>
      </c>
      <c r="S1035" s="40"/>
    </row>
    <row r="1036" spans="1:19" ht="151.80000000000001" customHeight="1" x14ac:dyDescent="0.25">
      <c r="A1036" s="197" t="str">
        <f t="shared" si="23"/>
        <v>INC202604251035</v>
      </c>
      <c r="B1036" s="106">
        <v>46137.695833333331</v>
      </c>
      <c r="C1036" s="40" t="s">
        <v>37</v>
      </c>
      <c r="D1036" s="107" t="s">
        <v>2709</v>
      </c>
      <c r="E1036" s="192" t="s">
        <v>50</v>
      </c>
      <c r="F1036" s="192" t="s">
        <v>40</v>
      </c>
      <c r="G1036" s="192" t="s">
        <v>51</v>
      </c>
      <c r="H1036" s="192" t="s">
        <v>42</v>
      </c>
      <c r="I1036" s="192" t="s">
        <v>630</v>
      </c>
      <c r="J1036" s="195" t="s">
        <v>2708</v>
      </c>
      <c r="K1036" s="192" t="s">
        <v>54</v>
      </c>
      <c r="L1036" s="192" t="s">
        <v>55</v>
      </c>
      <c r="M1036" s="146" t="s">
        <v>6</v>
      </c>
      <c r="N1036" s="192" t="s">
        <v>2699</v>
      </c>
      <c r="O1036" s="192" t="s">
        <v>911</v>
      </c>
      <c r="P1036" s="144" t="s">
        <v>912</v>
      </c>
      <c r="Q1036" s="108"/>
      <c r="R1036" s="108">
        <v>46139</v>
      </c>
      <c r="S1036" s="40"/>
    </row>
    <row r="1037" spans="1:19" ht="149.4" customHeight="1" x14ac:dyDescent="0.25">
      <c r="A1037" s="197" t="str">
        <f t="shared" si="23"/>
        <v>INC202604251036</v>
      </c>
      <c r="B1037" s="106">
        <v>46137.786111111112</v>
      </c>
      <c r="C1037" s="40" t="s">
        <v>37</v>
      </c>
      <c r="D1037" s="107" t="s">
        <v>2711</v>
      </c>
      <c r="E1037" s="192" t="s">
        <v>50</v>
      </c>
      <c r="F1037" s="192" t="s">
        <v>40</v>
      </c>
      <c r="G1037" s="192" t="s">
        <v>51</v>
      </c>
      <c r="H1037" s="192" t="s">
        <v>42</v>
      </c>
      <c r="I1037" s="192" t="s">
        <v>630</v>
      </c>
      <c r="J1037" s="195" t="s">
        <v>2712</v>
      </c>
      <c r="K1037" s="192" t="s">
        <v>54</v>
      </c>
      <c r="L1037" s="192" t="s">
        <v>55</v>
      </c>
      <c r="M1037" s="146" t="s">
        <v>6</v>
      </c>
      <c r="N1037" s="192" t="s">
        <v>2751</v>
      </c>
      <c r="O1037" s="192" t="s">
        <v>911</v>
      </c>
      <c r="P1037" s="144" t="s">
        <v>912</v>
      </c>
      <c r="Q1037" s="108"/>
      <c r="R1037" s="108">
        <v>46139</v>
      </c>
      <c r="S1037" s="40"/>
    </row>
    <row r="1038" spans="1:19" ht="161.4" customHeight="1" x14ac:dyDescent="0.25">
      <c r="A1038" s="197" t="str">
        <f t="shared" si="23"/>
        <v>INC202604251037</v>
      </c>
      <c r="B1038" s="106">
        <v>46137.817361111112</v>
      </c>
      <c r="C1038" s="40" t="s">
        <v>37</v>
      </c>
      <c r="D1038" s="107" t="s">
        <v>2713</v>
      </c>
      <c r="E1038" s="192" t="s">
        <v>50</v>
      </c>
      <c r="F1038" s="192" t="s">
        <v>40</v>
      </c>
      <c r="G1038" s="192" t="s">
        <v>51</v>
      </c>
      <c r="H1038" s="192" t="s">
        <v>42</v>
      </c>
      <c r="I1038" s="192" t="s">
        <v>630</v>
      </c>
      <c r="J1038" s="195" t="s">
        <v>2714</v>
      </c>
      <c r="K1038" s="192" t="s">
        <v>54</v>
      </c>
      <c r="L1038" s="192" t="s">
        <v>55</v>
      </c>
      <c r="M1038" s="146" t="s">
        <v>6</v>
      </c>
      <c r="N1038" s="192" t="s">
        <v>2699</v>
      </c>
      <c r="O1038" s="192" t="s">
        <v>911</v>
      </c>
      <c r="P1038" s="144" t="s">
        <v>912</v>
      </c>
      <c r="Q1038" s="108"/>
      <c r="R1038" s="108">
        <v>46139</v>
      </c>
      <c r="S1038" s="40"/>
    </row>
    <row r="1039" spans="1:19" ht="163.19999999999999" customHeight="1" x14ac:dyDescent="0.25">
      <c r="A1039" s="197" t="str">
        <f t="shared" si="23"/>
        <v>INC202604261038</v>
      </c>
      <c r="B1039" s="106">
        <v>46138.24722222222</v>
      </c>
      <c r="C1039" s="40" t="s">
        <v>37</v>
      </c>
      <c r="D1039" s="107" t="s">
        <v>2716</v>
      </c>
      <c r="E1039" s="192" t="s">
        <v>50</v>
      </c>
      <c r="F1039" s="192" t="s">
        <v>40</v>
      </c>
      <c r="G1039" s="192" t="s">
        <v>51</v>
      </c>
      <c r="H1039" s="192" t="s">
        <v>42</v>
      </c>
      <c r="I1039" s="192" t="s">
        <v>630</v>
      </c>
      <c r="J1039" s="195" t="s">
        <v>2717</v>
      </c>
      <c r="K1039" s="192" t="s">
        <v>54</v>
      </c>
      <c r="L1039" s="192" t="s">
        <v>55</v>
      </c>
      <c r="M1039" s="146" t="s">
        <v>5</v>
      </c>
      <c r="N1039" s="192" t="s">
        <v>2718</v>
      </c>
      <c r="O1039" s="192" t="s">
        <v>911</v>
      </c>
      <c r="P1039" s="144" t="s">
        <v>912</v>
      </c>
      <c r="Q1039" s="108">
        <v>46138</v>
      </c>
      <c r="R1039" s="108">
        <v>46139</v>
      </c>
      <c r="S1039" s="40"/>
    </row>
    <row r="1040" spans="1:19" ht="146.4" customHeight="1" x14ac:dyDescent="0.25">
      <c r="A1040" s="197" t="str">
        <f t="shared" si="23"/>
        <v>INC202604261039</v>
      </c>
      <c r="B1040" s="106">
        <v>46138.34375</v>
      </c>
      <c r="C1040" s="40" t="s">
        <v>37</v>
      </c>
      <c r="D1040" s="107" t="s">
        <v>2720</v>
      </c>
      <c r="E1040" s="192" t="s">
        <v>50</v>
      </c>
      <c r="F1040" s="192" t="s">
        <v>40</v>
      </c>
      <c r="G1040" s="192" t="s">
        <v>51</v>
      </c>
      <c r="H1040" s="192" t="s">
        <v>42</v>
      </c>
      <c r="I1040" s="192" t="s">
        <v>630</v>
      </c>
      <c r="J1040" s="195" t="s">
        <v>2719</v>
      </c>
      <c r="K1040" s="192" t="s">
        <v>54</v>
      </c>
      <c r="L1040" s="192" t="s">
        <v>55</v>
      </c>
      <c r="M1040" s="146" t="s">
        <v>6</v>
      </c>
      <c r="N1040" s="192" t="s">
        <v>2721</v>
      </c>
      <c r="O1040" s="192" t="s">
        <v>911</v>
      </c>
      <c r="P1040" s="144" t="s">
        <v>912</v>
      </c>
      <c r="Q1040" s="108"/>
      <c r="R1040" s="108">
        <v>46139</v>
      </c>
      <c r="S1040" s="40"/>
    </row>
    <row r="1041" spans="1:19" ht="135" customHeight="1" x14ac:dyDescent="0.25">
      <c r="A1041" s="197" t="str">
        <f t="shared" si="23"/>
        <v>INC202604261040</v>
      </c>
      <c r="B1041" s="106">
        <v>46138.429861111108</v>
      </c>
      <c r="C1041" s="40" t="s">
        <v>37</v>
      </c>
      <c r="D1041" s="107" t="s">
        <v>2722</v>
      </c>
      <c r="E1041" s="192" t="s">
        <v>50</v>
      </c>
      <c r="F1041" s="192" t="s">
        <v>40</v>
      </c>
      <c r="G1041" s="192" t="s">
        <v>51</v>
      </c>
      <c r="H1041" s="192" t="s">
        <v>42</v>
      </c>
      <c r="I1041" s="192" t="s">
        <v>630</v>
      </c>
      <c r="J1041" s="195" t="s">
        <v>2723</v>
      </c>
      <c r="K1041" s="192" t="s">
        <v>54</v>
      </c>
      <c r="L1041" s="192" t="s">
        <v>55</v>
      </c>
      <c r="M1041" s="146" t="s">
        <v>5</v>
      </c>
      <c r="N1041" s="192" t="s">
        <v>2718</v>
      </c>
      <c r="O1041" s="192" t="s">
        <v>911</v>
      </c>
      <c r="P1041" s="144" t="s">
        <v>912</v>
      </c>
      <c r="Q1041" s="108">
        <v>46138</v>
      </c>
      <c r="R1041" s="108">
        <v>46139</v>
      </c>
      <c r="S1041" s="40"/>
    </row>
    <row r="1042" spans="1:19" ht="140.4" customHeight="1" x14ac:dyDescent="0.25">
      <c r="A1042" s="197" t="str">
        <f t="shared" si="23"/>
        <v>INC202604261041</v>
      </c>
      <c r="B1042" s="106">
        <v>46138.468055555553</v>
      </c>
      <c r="C1042" s="40" t="s">
        <v>37</v>
      </c>
      <c r="D1042" s="107" t="s">
        <v>1598</v>
      </c>
      <c r="E1042" s="192" t="s">
        <v>50</v>
      </c>
      <c r="F1042" s="192" t="s">
        <v>40</v>
      </c>
      <c r="G1042" s="192" t="s">
        <v>51</v>
      </c>
      <c r="H1042" s="192" t="s">
        <v>42</v>
      </c>
      <c r="I1042" s="192" t="s">
        <v>630</v>
      </c>
      <c r="J1042" s="195" t="s">
        <v>2724</v>
      </c>
      <c r="K1042" s="192" t="s">
        <v>54</v>
      </c>
      <c r="L1042" s="192" t="s">
        <v>55</v>
      </c>
      <c r="M1042" s="146" t="s">
        <v>6</v>
      </c>
      <c r="N1042" s="192" t="s">
        <v>2721</v>
      </c>
      <c r="O1042" s="192" t="s">
        <v>911</v>
      </c>
      <c r="P1042" s="144" t="s">
        <v>912</v>
      </c>
      <c r="Q1042" s="108"/>
      <c r="R1042" s="108">
        <v>46139</v>
      </c>
      <c r="S1042" s="40"/>
    </row>
    <row r="1043" spans="1:19" ht="144.6" customHeight="1" x14ac:dyDescent="0.25">
      <c r="A1043" s="197" t="str">
        <f t="shared" si="23"/>
        <v>INC202604261042</v>
      </c>
      <c r="B1043" s="106">
        <v>46138.487500000003</v>
      </c>
      <c r="C1043" s="40" t="s">
        <v>37</v>
      </c>
      <c r="D1043" s="107" t="s">
        <v>1598</v>
      </c>
      <c r="E1043" s="192" t="s">
        <v>50</v>
      </c>
      <c r="F1043" s="192" t="s">
        <v>40</v>
      </c>
      <c r="G1043" s="192" t="s">
        <v>51</v>
      </c>
      <c r="H1043" s="192" t="s">
        <v>42</v>
      </c>
      <c r="I1043" s="192" t="s">
        <v>630</v>
      </c>
      <c r="J1043" s="195" t="s">
        <v>2725</v>
      </c>
      <c r="K1043" s="192" t="s">
        <v>54</v>
      </c>
      <c r="L1043" s="192" t="s">
        <v>55</v>
      </c>
      <c r="M1043" s="146" t="s">
        <v>5</v>
      </c>
      <c r="N1043" s="192" t="s">
        <v>2718</v>
      </c>
      <c r="O1043" s="192" t="s">
        <v>911</v>
      </c>
      <c r="P1043" s="144" t="s">
        <v>912</v>
      </c>
      <c r="Q1043" s="108">
        <v>46138</v>
      </c>
      <c r="R1043" s="108">
        <v>46139</v>
      </c>
      <c r="S1043" s="40"/>
    </row>
    <row r="1044" spans="1:19" ht="141.6" customHeight="1" x14ac:dyDescent="0.25">
      <c r="A1044" s="197" t="str">
        <f t="shared" si="23"/>
        <v>INC202604261043</v>
      </c>
      <c r="B1044" s="106">
        <v>46138.495138888888</v>
      </c>
      <c r="C1044" s="40" t="s">
        <v>37</v>
      </c>
      <c r="D1044" s="107" t="s">
        <v>2726</v>
      </c>
      <c r="E1044" s="192" t="s">
        <v>50</v>
      </c>
      <c r="F1044" s="192" t="s">
        <v>40</v>
      </c>
      <c r="G1044" s="192" t="s">
        <v>51</v>
      </c>
      <c r="H1044" s="192" t="s">
        <v>42</v>
      </c>
      <c r="I1044" s="192" t="s">
        <v>630</v>
      </c>
      <c r="J1044" s="195" t="s">
        <v>2727</v>
      </c>
      <c r="K1044" s="192" t="s">
        <v>54</v>
      </c>
      <c r="L1044" s="192" t="s">
        <v>55</v>
      </c>
      <c r="M1044" s="146" t="s">
        <v>5</v>
      </c>
      <c r="N1044" s="192" t="s">
        <v>2718</v>
      </c>
      <c r="O1044" s="192" t="s">
        <v>911</v>
      </c>
      <c r="P1044" s="144" t="s">
        <v>912</v>
      </c>
      <c r="Q1044" s="108">
        <v>46138</v>
      </c>
      <c r="R1044" s="108">
        <v>46139</v>
      </c>
      <c r="S1044" s="40"/>
    </row>
    <row r="1045" spans="1:19" ht="142.80000000000001" customHeight="1" x14ac:dyDescent="0.25">
      <c r="A1045" s="197" t="str">
        <f t="shared" si="23"/>
        <v>INC202604261044</v>
      </c>
      <c r="B1045" s="106">
        <v>46138.517361111109</v>
      </c>
      <c r="C1045" s="40" t="s">
        <v>37</v>
      </c>
      <c r="D1045" s="107" t="s">
        <v>2728</v>
      </c>
      <c r="E1045" s="192" t="s">
        <v>50</v>
      </c>
      <c r="F1045" s="192" t="s">
        <v>40</v>
      </c>
      <c r="G1045" s="192" t="s">
        <v>51</v>
      </c>
      <c r="H1045" s="192" t="s">
        <v>42</v>
      </c>
      <c r="I1045" s="192" t="s">
        <v>630</v>
      </c>
      <c r="J1045" s="195" t="s">
        <v>2729</v>
      </c>
      <c r="K1045" s="192" t="s">
        <v>54</v>
      </c>
      <c r="L1045" s="192" t="s">
        <v>55</v>
      </c>
      <c r="M1045" s="146" t="s">
        <v>5</v>
      </c>
      <c r="N1045" s="192" t="s">
        <v>2718</v>
      </c>
      <c r="O1045" s="192" t="s">
        <v>911</v>
      </c>
      <c r="P1045" s="144" t="s">
        <v>912</v>
      </c>
      <c r="Q1045" s="108">
        <v>46138</v>
      </c>
      <c r="R1045" s="108">
        <v>46139</v>
      </c>
      <c r="S1045" s="40"/>
    </row>
    <row r="1046" spans="1:19" ht="123" customHeight="1" x14ac:dyDescent="0.25">
      <c r="A1046" s="197" t="str">
        <f t="shared" si="23"/>
        <v>INC202604261045</v>
      </c>
      <c r="B1046" s="106">
        <v>46138.569444444445</v>
      </c>
      <c r="C1046" s="40" t="s">
        <v>37</v>
      </c>
      <c r="D1046" s="107" t="s">
        <v>2730</v>
      </c>
      <c r="E1046" s="192" t="s">
        <v>50</v>
      </c>
      <c r="F1046" s="192" t="s">
        <v>40</v>
      </c>
      <c r="G1046" s="192" t="s">
        <v>51</v>
      </c>
      <c r="H1046" s="192" t="s">
        <v>42</v>
      </c>
      <c r="I1046" s="192" t="s">
        <v>630</v>
      </c>
      <c r="J1046" s="195" t="s">
        <v>2731</v>
      </c>
      <c r="K1046" s="192" t="s">
        <v>54</v>
      </c>
      <c r="L1046" s="192" t="s">
        <v>55</v>
      </c>
      <c r="M1046" s="146" t="s">
        <v>5</v>
      </c>
      <c r="N1046" s="192" t="s">
        <v>2718</v>
      </c>
      <c r="O1046" s="192" t="s">
        <v>911</v>
      </c>
      <c r="P1046" s="144" t="s">
        <v>912</v>
      </c>
      <c r="Q1046" s="108">
        <v>46138</v>
      </c>
      <c r="R1046" s="108">
        <v>46139</v>
      </c>
      <c r="S1046" s="40"/>
    </row>
    <row r="1047" spans="1:19" ht="134.4" customHeight="1" x14ac:dyDescent="0.25">
      <c r="A1047" s="197" t="str">
        <f t="shared" si="23"/>
        <v>INC202604261046</v>
      </c>
      <c r="B1047" s="106">
        <v>46138.650694444441</v>
      </c>
      <c r="C1047" s="40" t="s">
        <v>37</v>
      </c>
      <c r="D1047" s="107" t="s">
        <v>2734</v>
      </c>
      <c r="E1047" s="192" t="s">
        <v>50</v>
      </c>
      <c r="F1047" s="192" t="s">
        <v>40</v>
      </c>
      <c r="G1047" s="192" t="s">
        <v>51</v>
      </c>
      <c r="H1047" s="192" t="s">
        <v>42</v>
      </c>
      <c r="I1047" s="192" t="s">
        <v>630</v>
      </c>
      <c r="J1047" s="195" t="s">
        <v>2733</v>
      </c>
      <c r="K1047" s="192" t="s">
        <v>54</v>
      </c>
      <c r="L1047" s="192" t="s">
        <v>55</v>
      </c>
      <c r="M1047" s="146" t="s">
        <v>5</v>
      </c>
      <c r="N1047" s="192" t="s">
        <v>2735</v>
      </c>
      <c r="O1047" s="192" t="s">
        <v>911</v>
      </c>
      <c r="P1047" s="144" t="s">
        <v>912</v>
      </c>
      <c r="Q1047" s="108">
        <v>46138</v>
      </c>
      <c r="R1047" s="108">
        <v>46139</v>
      </c>
      <c r="S1047" s="40"/>
    </row>
    <row r="1048" spans="1:19" ht="132.6" customHeight="1" x14ac:dyDescent="0.25">
      <c r="A1048" s="197" t="str">
        <f t="shared" si="23"/>
        <v>INC202604261047</v>
      </c>
      <c r="B1048" s="106">
        <v>46138.697222222225</v>
      </c>
      <c r="C1048" s="40" t="s">
        <v>37</v>
      </c>
      <c r="D1048" s="107" t="s">
        <v>2736</v>
      </c>
      <c r="E1048" s="192" t="s">
        <v>50</v>
      </c>
      <c r="F1048" s="192" t="s">
        <v>40</v>
      </c>
      <c r="G1048" s="192" t="s">
        <v>51</v>
      </c>
      <c r="H1048" s="192" t="s">
        <v>42</v>
      </c>
      <c r="I1048" s="192" t="s">
        <v>630</v>
      </c>
      <c r="J1048" s="195" t="s">
        <v>2737</v>
      </c>
      <c r="K1048" s="192" t="s">
        <v>54</v>
      </c>
      <c r="L1048" s="192" t="s">
        <v>55</v>
      </c>
      <c r="M1048" s="146" t="s">
        <v>5</v>
      </c>
      <c r="N1048" s="192" t="s">
        <v>2741</v>
      </c>
      <c r="O1048" s="192" t="s">
        <v>911</v>
      </c>
      <c r="P1048" s="144" t="s">
        <v>912</v>
      </c>
      <c r="Q1048" s="108">
        <v>46138</v>
      </c>
      <c r="R1048" s="108">
        <v>46139</v>
      </c>
      <c r="S1048" s="40"/>
    </row>
    <row r="1049" spans="1:19" ht="126.6" customHeight="1" x14ac:dyDescent="0.25">
      <c r="A1049" s="197" t="str">
        <f t="shared" si="23"/>
        <v>INC202604261048</v>
      </c>
      <c r="B1049" s="106">
        <v>46138.754166666666</v>
      </c>
      <c r="C1049" s="40" t="s">
        <v>37</v>
      </c>
      <c r="D1049" s="107" t="s">
        <v>2740</v>
      </c>
      <c r="E1049" s="192" t="s">
        <v>50</v>
      </c>
      <c r="F1049" s="192" t="s">
        <v>40</v>
      </c>
      <c r="G1049" s="192" t="s">
        <v>51</v>
      </c>
      <c r="H1049" s="192" t="s">
        <v>42</v>
      </c>
      <c r="I1049" s="192" t="s">
        <v>630</v>
      </c>
      <c r="J1049" s="195" t="s">
        <v>2739</v>
      </c>
      <c r="K1049" s="192" t="s">
        <v>54</v>
      </c>
      <c r="L1049" s="192" t="s">
        <v>55</v>
      </c>
      <c r="M1049" s="146" t="s">
        <v>6</v>
      </c>
      <c r="N1049" s="192" t="s">
        <v>2738</v>
      </c>
      <c r="O1049" s="192" t="s">
        <v>911</v>
      </c>
      <c r="P1049" s="144" t="s">
        <v>912</v>
      </c>
      <c r="Q1049" s="108"/>
      <c r="R1049" s="108">
        <v>46139</v>
      </c>
      <c r="S1049" s="40"/>
    </row>
    <row r="1050" spans="1:19" ht="132.6" customHeight="1" x14ac:dyDescent="0.25">
      <c r="A1050" s="197" t="str">
        <f t="shared" si="23"/>
        <v>INC202604261049</v>
      </c>
      <c r="B1050" s="106">
        <v>46138.8125</v>
      </c>
      <c r="C1050" s="40" t="s">
        <v>37</v>
      </c>
      <c r="D1050" s="107" t="s">
        <v>2742</v>
      </c>
      <c r="E1050" s="192" t="s">
        <v>50</v>
      </c>
      <c r="F1050" s="192" t="s">
        <v>40</v>
      </c>
      <c r="G1050" s="192" t="s">
        <v>51</v>
      </c>
      <c r="H1050" s="192" t="s">
        <v>42</v>
      </c>
      <c r="I1050" s="192" t="s">
        <v>630</v>
      </c>
      <c r="J1050" s="195" t="s">
        <v>2743</v>
      </c>
      <c r="K1050" s="192" t="s">
        <v>54</v>
      </c>
      <c r="L1050" s="192" t="s">
        <v>55</v>
      </c>
      <c r="M1050" s="146" t="s">
        <v>6</v>
      </c>
      <c r="N1050" s="192" t="s">
        <v>2732</v>
      </c>
      <c r="O1050" s="192" t="s">
        <v>911</v>
      </c>
      <c r="P1050" s="144" t="s">
        <v>912</v>
      </c>
      <c r="Q1050" s="108"/>
      <c r="R1050" s="108">
        <v>46139</v>
      </c>
      <c r="S1050" s="40"/>
    </row>
    <row r="1051" spans="1:19" ht="137.4" customHeight="1" x14ac:dyDescent="0.25">
      <c r="A1051" s="197" t="str">
        <f t="shared" ref="A1051:A1064" si="24">"INC"&amp;TEXT(B1051,"yyyymmdd")&amp;TEXT(ROW(A1051)-1,"000")</f>
        <v>INC202604261050</v>
      </c>
      <c r="B1051" s="106">
        <v>46138.875694444447</v>
      </c>
      <c r="C1051" s="40" t="s">
        <v>37</v>
      </c>
      <c r="D1051" s="107" t="s">
        <v>2745</v>
      </c>
      <c r="E1051" s="192" t="s">
        <v>50</v>
      </c>
      <c r="F1051" s="192" t="s">
        <v>40</v>
      </c>
      <c r="G1051" s="192" t="s">
        <v>51</v>
      </c>
      <c r="H1051" s="192" t="s">
        <v>42</v>
      </c>
      <c r="I1051" s="192" t="s">
        <v>630</v>
      </c>
      <c r="J1051" s="195" t="s">
        <v>2744</v>
      </c>
      <c r="K1051" s="192" t="s">
        <v>54</v>
      </c>
      <c r="L1051" s="192" t="s">
        <v>55</v>
      </c>
      <c r="M1051" s="146" t="s">
        <v>5</v>
      </c>
      <c r="N1051" s="192" t="s">
        <v>2746</v>
      </c>
      <c r="O1051" s="192" t="s">
        <v>911</v>
      </c>
      <c r="P1051" s="144" t="s">
        <v>912</v>
      </c>
      <c r="Q1051" s="108">
        <v>46138</v>
      </c>
      <c r="R1051" s="108">
        <v>46139</v>
      </c>
      <c r="S1051" s="40"/>
    </row>
    <row r="1052" spans="1:19" ht="126.6" customHeight="1" x14ac:dyDescent="0.25">
      <c r="A1052" s="197" t="str">
        <f t="shared" si="24"/>
        <v>INC202604271051</v>
      </c>
      <c r="B1052" s="106">
        <v>46139.270138888889</v>
      </c>
      <c r="C1052" s="40" t="s">
        <v>37</v>
      </c>
      <c r="D1052" s="107" t="s">
        <v>1598</v>
      </c>
      <c r="E1052" s="192" t="s">
        <v>50</v>
      </c>
      <c r="F1052" s="192" t="s">
        <v>40</v>
      </c>
      <c r="G1052" s="192" t="s">
        <v>51</v>
      </c>
      <c r="H1052" s="192" t="s">
        <v>42</v>
      </c>
      <c r="I1052" s="192" t="s">
        <v>630</v>
      </c>
      <c r="J1052" s="195" t="s">
        <v>2747</v>
      </c>
      <c r="K1052" s="192" t="s">
        <v>54</v>
      </c>
      <c r="L1052" s="192" t="s">
        <v>55</v>
      </c>
      <c r="M1052" s="146" t="s">
        <v>5</v>
      </c>
      <c r="N1052" s="192" t="s">
        <v>2755</v>
      </c>
      <c r="O1052" s="192" t="s">
        <v>911</v>
      </c>
      <c r="P1052" s="144" t="s">
        <v>912</v>
      </c>
      <c r="Q1052" s="108">
        <v>46139</v>
      </c>
      <c r="R1052" s="108">
        <v>46139</v>
      </c>
      <c r="S1052" s="40"/>
    </row>
    <row r="1053" spans="1:19" ht="129.6" customHeight="1" x14ac:dyDescent="0.25">
      <c r="A1053" s="197" t="str">
        <f t="shared" si="24"/>
        <v>INC202604271052</v>
      </c>
      <c r="B1053" s="106">
        <v>46139.270138888889</v>
      </c>
      <c r="C1053" s="40" t="s">
        <v>37</v>
      </c>
      <c r="D1053" s="107" t="s">
        <v>1598</v>
      </c>
      <c r="E1053" s="192" t="s">
        <v>50</v>
      </c>
      <c r="F1053" s="192" t="s">
        <v>40</v>
      </c>
      <c r="G1053" s="192" t="s">
        <v>51</v>
      </c>
      <c r="H1053" s="192" t="s">
        <v>42</v>
      </c>
      <c r="I1053" s="192" t="s">
        <v>630</v>
      </c>
      <c r="J1053" s="195" t="s">
        <v>2701</v>
      </c>
      <c r="K1053" s="192" t="s">
        <v>54</v>
      </c>
      <c r="L1053" s="192" t="s">
        <v>55</v>
      </c>
      <c r="M1053" s="146" t="s">
        <v>5</v>
      </c>
      <c r="N1053" s="192" t="s">
        <v>2755</v>
      </c>
      <c r="O1053" s="192" t="s">
        <v>911</v>
      </c>
      <c r="P1053" s="144" t="s">
        <v>912</v>
      </c>
      <c r="Q1053" s="108"/>
      <c r="R1053" s="108">
        <v>46139</v>
      </c>
      <c r="S1053" s="40"/>
    </row>
    <row r="1054" spans="1:19" ht="140.4" customHeight="1" x14ac:dyDescent="0.25">
      <c r="A1054" s="197" t="str">
        <f t="shared" si="24"/>
        <v>INC202604271053</v>
      </c>
      <c r="B1054" s="106">
        <v>46139.270138888889</v>
      </c>
      <c r="C1054" s="40" t="s">
        <v>37</v>
      </c>
      <c r="D1054" s="107" t="s">
        <v>1598</v>
      </c>
      <c r="E1054" s="192" t="s">
        <v>50</v>
      </c>
      <c r="F1054" s="192" t="s">
        <v>40</v>
      </c>
      <c r="G1054" s="192" t="s">
        <v>51</v>
      </c>
      <c r="H1054" s="192" t="s">
        <v>42</v>
      </c>
      <c r="I1054" s="192" t="s">
        <v>630</v>
      </c>
      <c r="J1054" s="195" t="s">
        <v>2629</v>
      </c>
      <c r="K1054" s="192" t="s">
        <v>54</v>
      </c>
      <c r="L1054" s="192" t="s">
        <v>55</v>
      </c>
      <c r="M1054" s="146" t="s">
        <v>5</v>
      </c>
      <c r="N1054" s="192" t="s">
        <v>2755</v>
      </c>
      <c r="O1054" s="192" t="s">
        <v>911</v>
      </c>
      <c r="P1054" s="144" t="s">
        <v>912</v>
      </c>
      <c r="Q1054" s="108">
        <v>46139</v>
      </c>
      <c r="R1054" s="108">
        <v>46139</v>
      </c>
      <c r="S1054" s="40"/>
    </row>
    <row r="1055" spans="1:19" ht="118.8" customHeight="1" x14ac:dyDescent="0.25">
      <c r="A1055" s="197" t="str">
        <f t="shared" si="24"/>
        <v>INC202604271054</v>
      </c>
      <c r="B1055" s="106">
        <v>46139.299305555556</v>
      </c>
      <c r="C1055" s="40" t="s">
        <v>37</v>
      </c>
      <c r="D1055" s="107" t="s">
        <v>2750</v>
      </c>
      <c r="E1055" s="192" t="s">
        <v>50</v>
      </c>
      <c r="F1055" s="192" t="s">
        <v>40</v>
      </c>
      <c r="G1055" s="192" t="s">
        <v>51</v>
      </c>
      <c r="H1055" s="192" t="s">
        <v>42</v>
      </c>
      <c r="I1055" s="192" t="s">
        <v>630</v>
      </c>
      <c r="J1055" s="195" t="s">
        <v>2749</v>
      </c>
      <c r="K1055" s="192" t="s">
        <v>54</v>
      </c>
      <c r="L1055" s="192" t="s">
        <v>55</v>
      </c>
      <c r="M1055" s="146" t="s">
        <v>6</v>
      </c>
      <c r="N1055" s="192" t="s">
        <v>2756</v>
      </c>
      <c r="O1055" s="192" t="s">
        <v>911</v>
      </c>
      <c r="P1055" s="144" t="s">
        <v>912</v>
      </c>
      <c r="Q1055" s="108"/>
      <c r="R1055" s="108">
        <v>46139</v>
      </c>
      <c r="S1055" s="40"/>
    </row>
    <row r="1056" spans="1:19" ht="124.8" customHeight="1" x14ac:dyDescent="0.25">
      <c r="A1056" s="197" t="str">
        <f t="shared" si="24"/>
        <v>INC202604271055</v>
      </c>
      <c r="B1056" s="106">
        <v>46139.353472222225</v>
      </c>
      <c r="C1056" s="40" t="s">
        <v>37</v>
      </c>
      <c r="D1056" s="107" t="s">
        <v>2752</v>
      </c>
      <c r="E1056" s="192" t="s">
        <v>50</v>
      </c>
      <c r="F1056" s="192" t="s">
        <v>40</v>
      </c>
      <c r="G1056" s="192" t="s">
        <v>51</v>
      </c>
      <c r="H1056" s="192" t="s">
        <v>42</v>
      </c>
      <c r="I1056" s="192" t="s">
        <v>630</v>
      </c>
      <c r="J1056" s="195" t="s">
        <v>2753</v>
      </c>
      <c r="K1056" s="192" t="s">
        <v>54</v>
      </c>
      <c r="L1056" s="192" t="s">
        <v>55</v>
      </c>
      <c r="M1056" s="146" t="s">
        <v>6</v>
      </c>
      <c r="N1056" s="192" t="s">
        <v>2748</v>
      </c>
      <c r="O1056" s="192" t="s">
        <v>911</v>
      </c>
      <c r="P1056" s="144" t="s">
        <v>912</v>
      </c>
      <c r="Q1056" s="108"/>
      <c r="R1056" s="108">
        <v>46139</v>
      </c>
      <c r="S1056" s="40"/>
    </row>
    <row r="1057" spans="1:19" ht="143.4" customHeight="1" x14ac:dyDescent="0.25">
      <c r="A1057" s="197" t="str">
        <f t="shared" si="24"/>
        <v>INC202604271056</v>
      </c>
      <c r="B1057" s="106">
        <v>46139.35833333333</v>
      </c>
      <c r="C1057" s="40" t="s">
        <v>37</v>
      </c>
      <c r="D1057" s="194" t="s">
        <v>38</v>
      </c>
      <c r="E1057" s="192" t="s">
        <v>39</v>
      </c>
      <c r="F1057" s="192" t="s">
        <v>40</v>
      </c>
      <c r="G1057" s="192" t="s">
        <v>41</v>
      </c>
      <c r="H1057" s="192" t="s">
        <v>42</v>
      </c>
      <c r="I1057" s="192" t="s">
        <v>43</v>
      </c>
      <c r="J1057" s="205" t="s">
        <v>2754</v>
      </c>
      <c r="K1057" s="192" t="s">
        <v>44</v>
      </c>
      <c r="L1057" s="192" t="s">
        <v>45</v>
      </c>
      <c r="M1057" s="143" t="s">
        <v>6</v>
      </c>
      <c r="N1057" s="198" t="s">
        <v>2765</v>
      </c>
      <c r="O1057" s="192"/>
      <c r="P1057" s="144" t="s">
        <v>47</v>
      </c>
      <c r="Q1057" s="108"/>
      <c r="R1057" s="108">
        <v>46139</v>
      </c>
      <c r="S1057" s="40"/>
    </row>
    <row r="1058" spans="1:19" ht="139.19999999999999" customHeight="1" x14ac:dyDescent="0.25">
      <c r="A1058" s="197" t="str">
        <f t="shared" si="24"/>
        <v>INC202604271057</v>
      </c>
      <c r="B1058" s="106">
        <v>46139.48333333333</v>
      </c>
      <c r="C1058" s="40" t="s">
        <v>37</v>
      </c>
      <c r="D1058" s="107" t="s">
        <v>2758</v>
      </c>
      <c r="E1058" s="192" t="s">
        <v>50</v>
      </c>
      <c r="F1058" s="192" t="s">
        <v>40</v>
      </c>
      <c r="G1058" s="192" t="s">
        <v>51</v>
      </c>
      <c r="H1058" s="192" t="s">
        <v>42</v>
      </c>
      <c r="I1058" s="192" t="s">
        <v>630</v>
      </c>
      <c r="J1058" s="195" t="s">
        <v>2757</v>
      </c>
      <c r="K1058" s="192" t="s">
        <v>54</v>
      </c>
      <c r="L1058" s="192" t="s">
        <v>55</v>
      </c>
      <c r="M1058" s="206" t="s">
        <v>5</v>
      </c>
      <c r="N1058" s="40" t="s">
        <v>2771</v>
      </c>
      <c r="O1058" s="192" t="s">
        <v>911</v>
      </c>
      <c r="P1058" s="144" t="s">
        <v>912</v>
      </c>
      <c r="Q1058" s="108">
        <v>46139</v>
      </c>
      <c r="R1058" s="108">
        <v>46139</v>
      </c>
      <c r="S1058" s="40"/>
    </row>
    <row r="1059" spans="1:19" ht="141.6" customHeight="1" x14ac:dyDescent="0.25">
      <c r="A1059" s="197" t="str">
        <f t="shared" si="24"/>
        <v>INC202604271058</v>
      </c>
      <c r="B1059" s="106">
        <v>46139.484722222223</v>
      </c>
      <c r="C1059" s="40" t="s">
        <v>37</v>
      </c>
      <c r="D1059" s="107" t="s">
        <v>2759</v>
      </c>
      <c r="E1059" s="192" t="s">
        <v>50</v>
      </c>
      <c r="F1059" s="192" t="s">
        <v>40</v>
      </c>
      <c r="G1059" s="192" t="s">
        <v>51</v>
      </c>
      <c r="H1059" s="192" t="s">
        <v>42</v>
      </c>
      <c r="I1059" s="192" t="s">
        <v>630</v>
      </c>
      <c r="J1059" s="195" t="s">
        <v>2760</v>
      </c>
      <c r="K1059" s="192" t="s">
        <v>54</v>
      </c>
      <c r="L1059" s="192" t="s">
        <v>55</v>
      </c>
      <c r="M1059" s="206" t="s">
        <v>5</v>
      </c>
      <c r="N1059" s="40" t="s">
        <v>2771</v>
      </c>
      <c r="O1059" s="192" t="s">
        <v>911</v>
      </c>
      <c r="P1059" s="144" t="s">
        <v>912</v>
      </c>
      <c r="Q1059" s="108">
        <v>46139</v>
      </c>
      <c r="R1059" s="108">
        <v>46139</v>
      </c>
      <c r="S1059" s="40"/>
    </row>
    <row r="1060" spans="1:19" ht="143.4" customHeight="1" x14ac:dyDescent="0.25">
      <c r="A1060" s="197" t="str">
        <f t="shared" si="24"/>
        <v>INC202604241059</v>
      </c>
      <c r="B1060" s="106">
        <v>46136.679861111108</v>
      </c>
      <c r="C1060" s="40" t="s">
        <v>37</v>
      </c>
      <c r="D1060" s="107" t="s">
        <v>129</v>
      </c>
      <c r="E1060" s="192" t="s">
        <v>50</v>
      </c>
      <c r="F1060" s="192" t="s">
        <v>40</v>
      </c>
      <c r="G1060" s="192" t="s">
        <v>51</v>
      </c>
      <c r="H1060" s="192" t="s">
        <v>92</v>
      </c>
      <c r="I1060" s="192" t="s">
        <v>93</v>
      </c>
      <c r="J1060" s="205" t="s">
        <v>2761</v>
      </c>
      <c r="K1060" s="192" t="s">
        <v>54</v>
      </c>
      <c r="L1060" s="192" t="s">
        <v>55</v>
      </c>
      <c r="M1060" s="146" t="s">
        <v>6</v>
      </c>
      <c r="N1060" s="192" t="s">
        <v>2748</v>
      </c>
      <c r="O1060" s="40"/>
      <c r="P1060" s="40"/>
      <c r="Q1060" s="108"/>
      <c r="R1060" s="108">
        <v>46139</v>
      </c>
      <c r="S1060" s="40"/>
    </row>
    <row r="1061" spans="1:19" ht="149.4" customHeight="1" x14ac:dyDescent="0.25">
      <c r="A1061" s="197" t="str">
        <f t="shared" si="24"/>
        <v>INC202604271060</v>
      </c>
      <c r="B1061" s="106">
        <v>46139.56527777778</v>
      </c>
      <c r="C1061" s="40" t="s">
        <v>37</v>
      </c>
      <c r="D1061" s="107" t="s">
        <v>2766</v>
      </c>
      <c r="E1061" s="192" t="s">
        <v>50</v>
      </c>
      <c r="F1061" s="192" t="s">
        <v>40</v>
      </c>
      <c r="G1061" s="192" t="s">
        <v>51</v>
      </c>
      <c r="H1061" s="192" t="s">
        <v>42</v>
      </c>
      <c r="I1061" s="192" t="s">
        <v>630</v>
      </c>
      <c r="J1061" s="205" t="s">
        <v>2767</v>
      </c>
      <c r="K1061" s="192" t="s">
        <v>54</v>
      </c>
      <c r="L1061" s="192" t="s">
        <v>55</v>
      </c>
      <c r="M1061" s="146" t="s">
        <v>6</v>
      </c>
      <c r="N1061" s="40" t="s">
        <v>2774</v>
      </c>
      <c r="O1061" s="192" t="s">
        <v>911</v>
      </c>
      <c r="P1061" s="144" t="s">
        <v>912</v>
      </c>
      <c r="Q1061" s="108"/>
      <c r="R1061" s="40"/>
      <c r="S1061" s="40"/>
    </row>
    <row r="1062" spans="1:19" ht="136.80000000000001" customHeight="1" x14ac:dyDescent="0.25">
      <c r="A1062" s="197" t="str">
        <f t="shared" si="24"/>
        <v>INC202604271061</v>
      </c>
      <c r="B1062" s="106">
        <v>46139.582638888889</v>
      </c>
      <c r="C1062" s="40" t="s">
        <v>37</v>
      </c>
      <c r="D1062" s="107" t="s">
        <v>49</v>
      </c>
      <c r="E1062" s="192" t="s">
        <v>50</v>
      </c>
      <c r="F1062" s="192" t="s">
        <v>40</v>
      </c>
      <c r="G1062" s="192" t="s">
        <v>51</v>
      </c>
      <c r="H1062" s="192" t="s">
        <v>92</v>
      </c>
      <c r="I1062" s="192" t="s">
        <v>93</v>
      </c>
      <c r="J1062" s="205" t="s">
        <v>2768</v>
      </c>
      <c r="K1062" s="192" t="s">
        <v>54</v>
      </c>
      <c r="L1062" s="192" t="s">
        <v>55</v>
      </c>
      <c r="M1062" s="146" t="s">
        <v>6</v>
      </c>
      <c r="N1062" s="192" t="s">
        <v>2748</v>
      </c>
      <c r="O1062" s="40"/>
      <c r="P1062" s="40"/>
      <c r="Q1062" s="108"/>
      <c r="R1062" s="40"/>
      <c r="S1062" s="40"/>
    </row>
    <row r="1063" spans="1:19" ht="145.19999999999999" customHeight="1" x14ac:dyDescent="0.25">
      <c r="A1063" s="197" t="str">
        <f t="shared" si="24"/>
        <v>INC202604271062</v>
      </c>
      <c r="B1063" s="106">
        <v>46139.561111111114</v>
      </c>
      <c r="C1063" s="40" t="s">
        <v>37</v>
      </c>
      <c r="D1063" s="107" t="s">
        <v>129</v>
      </c>
      <c r="E1063" s="192" t="s">
        <v>50</v>
      </c>
      <c r="F1063" s="192" t="s">
        <v>40</v>
      </c>
      <c r="G1063" s="192" t="s">
        <v>51</v>
      </c>
      <c r="H1063" s="192" t="s">
        <v>92</v>
      </c>
      <c r="I1063" s="192" t="s">
        <v>93</v>
      </c>
      <c r="J1063" s="205" t="s">
        <v>2772</v>
      </c>
      <c r="K1063" s="192" t="s">
        <v>54</v>
      </c>
      <c r="L1063" s="192" t="s">
        <v>55</v>
      </c>
      <c r="M1063" s="146" t="s">
        <v>6</v>
      </c>
      <c r="N1063" s="192" t="s">
        <v>2748</v>
      </c>
      <c r="O1063" s="40"/>
      <c r="P1063" s="40"/>
      <c r="Q1063" s="108"/>
      <c r="R1063" s="40"/>
      <c r="S1063" s="40"/>
    </row>
    <row r="1064" spans="1:19" ht="141" customHeight="1" x14ac:dyDescent="0.25">
      <c r="A1064" s="197" t="str">
        <f t="shared" si="24"/>
        <v>INC202604271063</v>
      </c>
      <c r="B1064" s="106">
        <v>46139.584027777775</v>
      </c>
      <c r="C1064" s="40" t="s">
        <v>37</v>
      </c>
      <c r="D1064" s="107" t="s">
        <v>129</v>
      </c>
      <c r="E1064" s="192" t="s">
        <v>50</v>
      </c>
      <c r="F1064" s="192" t="s">
        <v>40</v>
      </c>
      <c r="G1064" s="192" t="s">
        <v>51</v>
      </c>
      <c r="H1064" s="192" t="s">
        <v>92</v>
      </c>
      <c r="I1064" s="192" t="s">
        <v>93</v>
      </c>
      <c r="J1064" s="205" t="s">
        <v>2773</v>
      </c>
      <c r="K1064" s="192" t="s">
        <v>54</v>
      </c>
      <c r="L1064" s="192" t="s">
        <v>55</v>
      </c>
      <c r="M1064" s="146" t="s">
        <v>6</v>
      </c>
      <c r="N1064" s="192" t="s">
        <v>2748</v>
      </c>
      <c r="O1064" s="40"/>
      <c r="P1064" s="40"/>
      <c r="Q1064" s="108"/>
      <c r="R1064" s="40"/>
      <c r="S1064" s="40"/>
    </row>
  </sheetData>
  <autoFilter ref="A1:R1060" xr:uid="{00000000-0009-0000-0000-000001000000}"/>
  <conditionalFormatting sqref="L876">
    <cfRule type="containsText" dxfId="30" priority="87" operator="containsText" text="Closed">
      <formula>NOT(ISERROR(SEARCH("Closed",L876)))</formula>
    </cfRule>
    <cfRule type="containsText" dxfId="29" priority="88" operator="containsText" text="Open">
      <formula>NOT(ISERROR(SEARCH("Open",L876)))</formula>
    </cfRule>
  </conditionalFormatting>
  <conditionalFormatting sqref="L878:L879">
    <cfRule type="containsText" dxfId="28" priority="86" operator="containsText" text="Open">
      <formula>NOT(ISERROR(SEARCH("Open",L878)))</formula>
    </cfRule>
    <cfRule type="containsText" dxfId="27" priority="85" operator="containsText" text="Closed">
      <formula>NOT(ISERROR(SEARCH("Closed",L878)))</formula>
    </cfRule>
  </conditionalFormatting>
  <conditionalFormatting sqref="L887:L889">
    <cfRule type="containsText" dxfId="26" priority="73" operator="containsText" text="Closed">
      <formula>NOT(ISERROR(SEARCH("Closed",L887)))</formula>
    </cfRule>
    <cfRule type="containsText" dxfId="25" priority="74" operator="containsText" text="Open">
      <formula>NOT(ISERROR(SEARCH("Open",L887)))</formula>
    </cfRule>
  </conditionalFormatting>
  <conditionalFormatting sqref="L945:L946">
    <cfRule type="containsText" dxfId="24" priority="44" operator="containsText" text="Open">
      <formula>NOT(ISERROR(SEARCH("Open",L945)))</formula>
    </cfRule>
    <cfRule type="containsText" dxfId="23" priority="43" operator="containsText" text="Closed">
      <formula>NOT(ISERROR(SEARCH("Closed",L945)))</formula>
    </cfRule>
  </conditionalFormatting>
  <conditionalFormatting sqref="L948">
    <cfRule type="containsText" dxfId="22" priority="41" operator="containsText" text="Closed">
      <formula>NOT(ISERROR(SEARCH("Closed",L948)))</formula>
    </cfRule>
    <cfRule type="containsText" dxfId="21" priority="42" operator="containsText" text="Open">
      <formula>NOT(ISERROR(SEARCH("Open",L948)))</formula>
    </cfRule>
  </conditionalFormatting>
  <conditionalFormatting sqref="L968:L969">
    <cfRule type="containsText" dxfId="20" priority="30" operator="containsText" text="Open">
      <formula>NOT(ISERROR(SEARCH("Open",L968)))</formula>
    </cfRule>
    <cfRule type="containsText" dxfId="19" priority="29" operator="containsText" text="Closed">
      <formula>NOT(ISERROR(SEARCH("Closed",L968)))</formula>
    </cfRule>
  </conditionalFormatting>
  <conditionalFormatting sqref="L975:L976">
    <cfRule type="containsText" dxfId="18" priority="27" operator="containsText" text="Closed">
      <formula>NOT(ISERROR(SEARCH("Closed",L975)))</formula>
    </cfRule>
    <cfRule type="containsText" dxfId="17" priority="28" operator="containsText" text="Open">
      <formula>NOT(ISERROR(SEARCH("Open",L975)))</formula>
    </cfRule>
  </conditionalFormatting>
  <conditionalFormatting sqref="L1014">
    <cfRule type="containsText" dxfId="16" priority="19" operator="containsText" text="Closed">
      <formula>NOT(ISERROR(SEARCH("Closed",L1014)))</formula>
    </cfRule>
    <cfRule type="containsText" dxfId="15" priority="20" operator="containsText" text="Open">
      <formula>NOT(ISERROR(SEARCH("Open",L1014)))</formula>
    </cfRule>
  </conditionalFormatting>
  <conditionalFormatting sqref="L1027">
    <cfRule type="containsText" dxfId="14" priority="9" operator="containsText" text="Closed">
      <formula>NOT(ISERROR(SEARCH("Closed",L1027)))</formula>
    </cfRule>
    <cfRule type="containsText" dxfId="13" priority="10" operator="containsText" text="Open">
      <formula>NOT(ISERROR(SEARCH("Open",L1027)))</formula>
    </cfRule>
  </conditionalFormatting>
  <conditionalFormatting sqref="M507:M870">
    <cfRule type="containsText" dxfId="12" priority="95" operator="containsText" text="Closed">
      <formula>NOT(ISERROR(SEARCH("Closed",M507)))</formula>
    </cfRule>
    <cfRule type="containsText" dxfId="11" priority="96" operator="containsText" text="Open">
      <formula>NOT(ISERROR(SEARCH("Open",M507)))</formula>
    </cfRule>
  </conditionalFormatting>
  <conditionalFormatting sqref="M872:M879">
    <cfRule type="containsText" dxfId="10" priority="89" operator="containsText" text="Closed">
      <formula>NOT(ISERROR(SEARCH("Closed",M872)))</formula>
    </cfRule>
    <cfRule type="containsText" dxfId="9" priority="90" operator="containsText" text="Open">
      <formula>NOT(ISERROR(SEARCH("Open",M872)))</formula>
    </cfRule>
  </conditionalFormatting>
  <conditionalFormatting sqref="M881">
    <cfRule type="containsText" dxfId="8" priority="83" operator="containsText" text="Closed">
      <formula>NOT(ISERROR(SEARCH("Closed",M881)))</formula>
    </cfRule>
    <cfRule type="containsText" dxfId="7" priority="84" operator="containsText" text="Open">
      <formula>NOT(ISERROR(SEARCH("Open",M881)))</formula>
    </cfRule>
  </conditionalFormatting>
  <conditionalFormatting sqref="M883:M957">
    <cfRule type="containsText" dxfId="6" priority="45" operator="containsText" text="Closed">
      <formula>NOT(ISERROR(SEARCH("Closed",M883)))</formula>
    </cfRule>
    <cfRule type="containsText" dxfId="5" priority="46" operator="containsText" text="Open">
      <formula>NOT(ISERROR(SEARCH("Open",M883)))</formula>
    </cfRule>
  </conditionalFormatting>
  <conditionalFormatting sqref="M960">
    <cfRule type="containsText" dxfId="4" priority="39" operator="containsText" text="Closed">
      <formula>NOT(ISERROR(SEARCH("Closed",M960)))</formula>
    </cfRule>
    <cfRule type="containsText" dxfId="3" priority="40" operator="containsText" text="Open">
      <formula>NOT(ISERROR(SEARCH("Open",M960)))</formula>
    </cfRule>
  </conditionalFormatting>
  <conditionalFormatting sqref="M962:M1064">
    <cfRule type="containsText" dxfId="1" priority="1" operator="containsText" text="Closed">
      <formula>NOT(ISERROR(SEARCH("Closed",M962)))</formula>
    </cfRule>
    <cfRule type="containsText" dxfId="0" priority="2" operator="containsText" text="Open">
      <formula>NOT(ISERROR(SEARCH("Open",M962)))</formula>
    </cfRule>
  </conditionalFormatting>
  <dataValidations disablePrompts="1" count="1">
    <dataValidation type="list" allowBlank="1" showErrorMessage="1" sqref="C1 C166 C503 C507 C697 C828 C991" xr:uid="{00000000-0002-0000-0100-000000000000}">
      <formula1>"Email,WA,Channel"</formula1>
    </dataValidation>
  </dataValidations>
  <hyperlinks>
    <hyperlink ref="P2" r:id="rId1" xr:uid="{00000000-0004-0000-0100-000000000000}"/>
    <hyperlink ref="P3" r:id="rId2" xr:uid="{00000000-0004-0000-0100-000001000000}"/>
    <hyperlink ref="D5" r:id="rId3" xr:uid="{00000000-0004-0000-0100-000002000000}"/>
    <hyperlink ref="P9" r:id="rId4" xr:uid="{00000000-0004-0000-0100-000003000000}"/>
    <hyperlink ref="D13" r:id="rId5" xr:uid="{00000000-0004-0000-0100-000004000000}"/>
    <hyperlink ref="P14" r:id="rId6" xr:uid="{00000000-0004-0000-0100-000005000000}"/>
    <hyperlink ref="D16" r:id="rId7" xr:uid="{00000000-0004-0000-0100-000006000000}"/>
    <hyperlink ref="D19" r:id="rId8" xr:uid="{00000000-0004-0000-0100-000007000000}"/>
    <hyperlink ref="D20" r:id="rId9" xr:uid="{00000000-0004-0000-0100-000008000000}"/>
    <hyperlink ref="P21" r:id="rId10" xr:uid="{00000000-0004-0000-0100-000009000000}"/>
    <hyperlink ref="D26" r:id="rId11" xr:uid="{00000000-0004-0000-0100-00000A000000}"/>
    <hyperlink ref="D27" r:id="rId12" xr:uid="{00000000-0004-0000-0100-00000B000000}"/>
    <hyperlink ref="D36" r:id="rId13" xr:uid="{00000000-0004-0000-0100-00000C000000}"/>
    <hyperlink ref="D38" r:id="rId14" xr:uid="{00000000-0004-0000-0100-00000D000000}"/>
    <hyperlink ref="P42" r:id="rId15" xr:uid="{00000000-0004-0000-0100-00000E000000}"/>
    <hyperlink ref="D43" r:id="rId16" xr:uid="{00000000-0004-0000-0100-00000F000000}"/>
    <hyperlink ref="D46" r:id="rId17" xr:uid="{00000000-0004-0000-0100-000010000000}"/>
    <hyperlink ref="P49" r:id="rId18" xr:uid="{00000000-0004-0000-0100-000011000000}"/>
    <hyperlink ref="P55" r:id="rId19" xr:uid="{00000000-0004-0000-0100-000012000000}"/>
    <hyperlink ref="D63" r:id="rId20" xr:uid="{00000000-0004-0000-0100-000013000000}"/>
    <hyperlink ref="D65" r:id="rId21" xr:uid="{00000000-0004-0000-0100-000014000000}"/>
    <hyperlink ref="P67" r:id="rId22" xr:uid="{00000000-0004-0000-0100-000015000000}"/>
    <hyperlink ref="D68" r:id="rId23" xr:uid="{00000000-0004-0000-0100-000016000000}"/>
    <hyperlink ref="D69" r:id="rId24" xr:uid="{00000000-0004-0000-0100-000017000000}"/>
    <hyperlink ref="D74" r:id="rId25" xr:uid="{00000000-0004-0000-0100-000018000000}"/>
    <hyperlink ref="D75" r:id="rId26" xr:uid="{00000000-0004-0000-0100-000019000000}"/>
    <hyperlink ref="P78" r:id="rId27" xr:uid="{00000000-0004-0000-0100-00001A000000}"/>
    <hyperlink ref="P81" r:id="rId28" xr:uid="{00000000-0004-0000-0100-00001B000000}"/>
    <hyperlink ref="D83" r:id="rId29" xr:uid="{00000000-0004-0000-0100-00001C000000}"/>
    <hyperlink ref="D84" r:id="rId30" xr:uid="{00000000-0004-0000-0100-00001D000000}"/>
    <hyperlink ref="D85" r:id="rId31" xr:uid="{00000000-0004-0000-0100-00001E000000}"/>
    <hyperlink ref="P86" r:id="rId32" xr:uid="{00000000-0004-0000-0100-00001F000000}"/>
    <hyperlink ref="P87" r:id="rId33" xr:uid="{00000000-0004-0000-0100-000020000000}"/>
    <hyperlink ref="D88" r:id="rId34" xr:uid="{00000000-0004-0000-0100-000021000000}"/>
    <hyperlink ref="D123" r:id="rId35" xr:uid="{00000000-0004-0000-0100-000022000000}"/>
    <hyperlink ref="D124" r:id="rId36" xr:uid="{00000000-0004-0000-0100-000023000000}"/>
    <hyperlink ref="D125" r:id="rId37" xr:uid="{00000000-0004-0000-0100-000024000000}"/>
    <hyperlink ref="P126" r:id="rId38" xr:uid="{00000000-0004-0000-0100-000025000000}"/>
    <hyperlink ref="D129" r:id="rId39" xr:uid="{00000000-0004-0000-0100-000026000000}"/>
    <hyperlink ref="P130" r:id="rId40" xr:uid="{00000000-0004-0000-0100-000027000000}"/>
    <hyperlink ref="D132" r:id="rId41" xr:uid="{00000000-0004-0000-0100-000028000000}"/>
    <hyperlink ref="D133" r:id="rId42" xr:uid="{00000000-0004-0000-0100-000029000000}"/>
    <hyperlink ref="D137" r:id="rId43" xr:uid="{00000000-0004-0000-0100-00002A000000}"/>
    <hyperlink ref="D141" r:id="rId44" xr:uid="{00000000-0004-0000-0100-00002B000000}"/>
    <hyperlink ref="D146" r:id="rId45" xr:uid="{00000000-0004-0000-0100-00002C000000}"/>
    <hyperlink ref="P147" r:id="rId46" xr:uid="{00000000-0004-0000-0100-00002D000000}"/>
    <hyperlink ref="D148" r:id="rId47" xr:uid="{00000000-0004-0000-0100-00002E000000}"/>
    <hyperlink ref="D149" r:id="rId48" xr:uid="{00000000-0004-0000-0100-00002F000000}"/>
    <hyperlink ref="D150" r:id="rId49" xr:uid="{00000000-0004-0000-0100-000030000000}"/>
    <hyperlink ref="P151" r:id="rId50" xr:uid="{00000000-0004-0000-0100-000031000000}"/>
    <hyperlink ref="P162" r:id="rId51" xr:uid="{00000000-0004-0000-0100-000032000000}"/>
    <hyperlink ref="D163" r:id="rId52" xr:uid="{00000000-0004-0000-0100-000033000000}"/>
    <hyperlink ref="D164" r:id="rId53" xr:uid="{00000000-0004-0000-0100-000034000000}"/>
    <hyperlink ref="P165" r:id="rId54" xr:uid="{00000000-0004-0000-0100-000035000000}"/>
    <hyperlink ref="P169" r:id="rId55" xr:uid="{00000000-0004-0000-0100-000036000000}"/>
    <hyperlink ref="D170" r:id="rId56" xr:uid="{00000000-0004-0000-0100-000037000000}"/>
    <hyperlink ref="D179" r:id="rId57" xr:uid="{00000000-0004-0000-0100-000038000000}"/>
    <hyperlink ref="D181" r:id="rId58" xr:uid="{00000000-0004-0000-0100-000039000000}"/>
    <hyperlink ref="D196" r:id="rId59" xr:uid="{00000000-0004-0000-0100-00003A000000}"/>
    <hyperlink ref="D201" r:id="rId60" xr:uid="{00000000-0004-0000-0100-00003B000000}"/>
    <hyperlink ref="P202" r:id="rId61" xr:uid="{00000000-0004-0000-0100-00003C000000}"/>
    <hyperlink ref="D203" r:id="rId62" xr:uid="{00000000-0004-0000-0100-00003D000000}"/>
    <hyperlink ref="D205" r:id="rId63" xr:uid="{00000000-0004-0000-0100-00003E000000}"/>
    <hyperlink ref="D207" r:id="rId64" xr:uid="{00000000-0004-0000-0100-00003F000000}"/>
    <hyperlink ref="P208" r:id="rId65" xr:uid="{00000000-0004-0000-0100-000040000000}"/>
    <hyperlink ref="D210" r:id="rId66" xr:uid="{00000000-0004-0000-0100-000041000000}"/>
    <hyperlink ref="D211" r:id="rId67" xr:uid="{00000000-0004-0000-0100-000042000000}"/>
    <hyperlink ref="D212" r:id="rId68" xr:uid="{00000000-0004-0000-0100-000043000000}"/>
    <hyperlink ref="P215" r:id="rId69" xr:uid="{00000000-0004-0000-0100-000044000000}"/>
    <hyperlink ref="P222" r:id="rId70" xr:uid="{00000000-0004-0000-0100-000045000000}"/>
    <hyperlink ref="D226" r:id="rId71" xr:uid="{00000000-0004-0000-0100-000046000000}"/>
    <hyperlink ref="D229" r:id="rId72" xr:uid="{00000000-0004-0000-0100-000047000000}"/>
    <hyperlink ref="P244" r:id="rId73" xr:uid="{00000000-0004-0000-0100-000048000000}"/>
    <hyperlink ref="D245" r:id="rId74" xr:uid="{00000000-0004-0000-0100-000049000000}"/>
    <hyperlink ref="D246" r:id="rId75" xr:uid="{00000000-0004-0000-0100-00004A000000}"/>
    <hyperlink ref="D247" r:id="rId76" xr:uid="{00000000-0004-0000-0100-00004B000000}"/>
    <hyperlink ref="P248" r:id="rId77" xr:uid="{00000000-0004-0000-0100-00004C000000}"/>
    <hyperlink ref="D249" r:id="rId78" xr:uid="{00000000-0004-0000-0100-00004D000000}"/>
    <hyperlink ref="P252" r:id="rId79" xr:uid="{00000000-0004-0000-0100-00004E000000}"/>
    <hyperlink ref="P263" r:id="rId80" xr:uid="{00000000-0004-0000-0100-00004F000000}"/>
    <hyperlink ref="D264" r:id="rId81" xr:uid="{00000000-0004-0000-0100-000050000000}"/>
    <hyperlink ref="D265" r:id="rId82" xr:uid="{00000000-0004-0000-0100-000051000000}"/>
    <hyperlink ref="D266" r:id="rId83" xr:uid="{00000000-0004-0000-0100-000052000000}"/>
    <hyperlink ref="P267" r:id="rId84" xr:uid="{00000000-0004-0000-0100-000053000000}"/>
    <hyperlink ref="D268" r:id="rId85" xr:uid="{00000000-0004-0000-0100-000054000000}"/>
    <hyperlink ref="D269" r:id="rId86" xr:uid="{00000000-0004-0000-0100-000055000000}"/>
    <hyperlink ref="D270" r:id="rId87" xr:uid="{00000000-0004-0000-0100-000056000000}"/>
    <hyperlink ref="D271" r:id="rId88" xr:uid="{00000000-0004-0000-0100-000057000000}"/>
    <hyperlink ref="D272" r:id="rId89" xr:uid="{00000000-0004-0000-0100-000058000000}"/>
    <hyperlink ref="P291" r:id="rId90" xr:uid="{00000000-0004-0000-0100-000059000000}"/>
    <hyperlink ref="D292" r:id="rId91" xr:uid="{00000000-0004-0000-0100-00005A000000}"/>
    <hyperlink ref="D293" r:id="rId92" xr:uid="{00000000-0004-0000-0100-00005B000000}"/>
    <hyperlink ref="D294" r:id="rId93" xr:uid="{00000000-0004-0000-0100-00005C000000}"/>
    <hyperlink ref="P296" r:id="rId94" xr:uid="{00000000-0004-0000-0100-00005D000000}"/>
    <hyperlink ref="D297" r:id="rId95" xr:uid="{00000000-0004-0000-0100-00005E000000}"/>
    <hyperlink ref="P299" r:id="rId96" xr:uid="{00000000-0004-0000-0100-00005F000000}"/>
    <hyperlink ref="D302" r:id="rId97" xr:uid="{00000000-0004-0000-0100-000060000000}"/>
    <hyperlink ref="D303" r:id="rId98" xr:uid="{00000000-0004-0000-0100-000061000000}"/>
    <hyperlink ref="P306" r:id="rId99" xr:uid="{00000000-0004-0000-0100-000062000000}"/>
    <hyperlink ref="P310" r:id="rId100" xr:uid="{00000000-0004-0000-0100-000063000000}"/>
    <hyperlink ref="D386" r:id="rId101" xr:uid="{00000000-0004-0000-0100-000064000000}"/>
    <hyperlink ref="D387" r:id="rId102" xr:uid="{00000000-0004-0000-0100-000065000000}"/>
    <hyperlink ref="D388" r:id="rId103" xr:uid="{00000000-0004-0000-0100-000066000000}"/>
    <hyperlink ref="D389" r:id="rId104" xr:uid="{00000000-0004-0000-0100-000067000000}"/>
    <hyperlink ref="P390" r:id="rId105" xr:uid="{00000000-0004-0000-0100-000068000000}"/>
    <hyperlink ref="D391" r:id="rId106" xr:uid="{00000000-0004-0000-0100-000069000000}"/>
    <hyperlink ref="D392" r:id="rId107" xr:uid="{00000000-0004-0000-0100-00006A000000}"/>
    <hyperlink ref="D393" r:id="rId108" xr:uid="{00000000-0004-0000-0100-00006B000000}"/>
    <hyperlink ref="D394" r:id="rId109" xr:uid="{00000000-0004-0000-0100-00006C000000}"/>
    <hyperlink ref="C396" r:id="rId110" xr:uid="{00000000-0004-0000-0100-00006D000000}"/>
    <hyperlink ref="D396" r:id="rId111" xr:uid="{00000000-0004-0000-0100-00006E000000}"/>
    <hyperlink ref="P397" r:id="rId112" xr:uid="{00000000-0004-0000-0100-00006F000000}"/>
    <hyperlink ref="D399" r:id="rId113" xr:uid="{00000000-0004-0000-0100-000070000000}"/>
    <hyperlink ref="D400" r:id="rId114" xr:uid="{00000000-0004-0000-0100-000071000000}"/>
    <hyperlink ref="P416" r:id="rId115" xr:uid="{00000000-0004-0000-0100-000072000000}"/>
    <hyperlink ref="D417" r:id="rId116" xr:uid="{00000000-0004-0000-0100-000073000000}"/>
    <hyperlink ref="D419" r:id="rId117" xr:uid="{00000000-0004-0000-0100-000074000000}"/>
    <hyperlink ref="D421" r:id="rId118" xr:uid="{00000000-0004-0000-0100-000075000000}"/>
    <hyperlink ref="P423" r:id="rId119" xr:uid="{00000000-0004-0000-0100-000076000000}"/>
    <hyperlink ref="C427" r:id="rId120" xr:uid="{00000000-0004-0000-0100-000077000000}"/>
    <hyperlink ref="D427" r:id="rId121" xr:uid="{00000000-0004-0000-0100-000078000000}"/>
    <hyperlink ref="C428" r:id="rId122" xr:uid="{00000000-0004-0000-0100-000079000000}"/>
    <hyperlink ref="D428" r:id="rId123" xr:uid="{00000000-0004-0000-0100-00007A000000}"/>
    <hyperlink ref="C429" r:id="rId124" xr:uid="{00000000-0004-0000-0100-00007B000000}"/>
    <hyperlink ref="D429" r:id="rId125" xr:uid="{00000000-0004-0000-0100-00007C000000}"/>
    <hyperlink ref="P438" r:id="rId126" xr:uid="{00000000-0004-0000-0100-00007D000000}"/>
    <hyperlink ref="D439" r:id="rId127" xr:uid="{00000000-0004-0000-0100-00007E000000}"/>
    <hyperlink ref="P441" r:id="rId128" xr:uid="{00000000-0004-0000-0100-00007F000000}"/>
    <hyperlink ref="D445" r:id="rId129" xr:uid="{00000000-0004-0000-0100-000080000000}"/>
    <hyperlink ref="D448" r:id="rId130" xr:uid="{00000000-0004-0000-0100-000081000000}"/>
    <hyperlink ref="P450" r:id="rId131" xr:uid="{00000000-0004-0000-0100-000082000000}"/>
    <hyperlink ref="D453" r:id="rId132" xr:uid="{00000000-0004-0000-0100-000083000000}"/>
    <hyperlink ref="D454" r:id="rId133" xr:uid="{00000000-0004-0000-0100-000084000000}"/>
    <hyperlink ref="D464" r:id="rId134" xr:uid="{00000000-0004-0000-0100-000085000000}"/>
    <hyperlink ref="D466" r:id="rId135" xr:uid="{00000000-0004-0000-0100-000086000000}"/>
    <hyperlink ref="P467" r:id="rId136" xr:uid="{00000000-0004-0000-0100-000087000000}"/>
    <hyperlink ref="D471" r:id="rId137" xr:uid="{00000000-0004-0000-0100-000088000000}"/>
    <hyperlink ref="D472" r:id="rId138" xr:uid="{00000000-0004-0000-0100-000089000000}"/>
    <hyperlink ref="D473" r:id="rId139" xr:uid="{00000000-0004-0000-0100-00008A000000}"/>
    <hyperlink ref="P474" r:id="rId140" xr:uid="{00000000-0004-0000-0100-00008B000000}"/>
    <hyperlink ref="D483" r:id="rId141" xr:uid="{00000000-0004-0000-0100-00008C000000}"/>
    <hyperlink ref="P485" r:id="rId142" xr:uid="{00000000-0004-0000-0100-00008D000000}"/>
    <hyperlink ref="D488" r:id="rId143" xr:uid="{00000000-0004-0000-0100-00008E000000}"/>
    <hyperlink ref="D489" r:id="rId144" xr:uid="{00000000-0004-0000-0100-00008F000000}"/>
    <hyperlink ref="D490" r:id="rId145" xr:uid="{00000000-0004-0000-0100-000090000000}"/>
    <hyperlink ref="P491" r:id="rId146" xr:uid="{00000000-0004-0000-0100-000091000000}"/>
    <hyperlink ref="D499" r:id="rId147" xr:uid="{00000000-0004-0000-0100-000092000000}"/>
    <hyperlink ref="D500" r:id="rId148" xr:uid="{00000000-0004-0000-0100-000093000000}"/>
    <hyperlink ref="D502" r:id="rId149" xr:uid="{00000000-0004-0000-0100-000094000000}"/>
    <hyperlink ref="P504" r:id="rId150" xr:uid="{00000000-0004-0000-0100-000095000000}"/>
    <hyperlink ref="P506" r:id="rId151" xr:uid="{00000000-0004-0000-0100-000096000000}"/>
    <hyperlink ref="P510" r:id="rId152" xr:uid="{00000000-0004-0000-0100-000097000000}"/>
    <hyperlink ref="D513" r:id="rId153" xr:uid="{00000000-0004-0000-0100-000098000000}"/>
    <hyperlink ref="D514" r:id="rId154" xr:uid="{00000000-0004-0000-0100-000099000000}"/>
    <hyperlink ref="D515" r:id="rId155" xr:uid="{00000000-0004-0000-0100-00009A000000}"/>
    <hyperlink ref="P539" r:id="rId156" xr:uid="{00000000-0004-0000-0100-00009B000000}"/>
    <hyperlink ref="D540" r:id="rId157" xr:uid="{00000000-0004-0000-0100-00009C000000}"/>
    <hyperlink ref="P541" r:id="rId158" xr:uid="{00000000-0004-0000-0100-00009D000000}"/>
    <hyperlink ref="D543" r:id="rId159" xr:uid="{00000000-0004-0000-0100-00009E000000}"/>
    <hyperlink ref="D544" r:id="rId160" xr:uid="{00000000-0004-0000-0100-00009F000000}"/>
    <hyperlink ref="D568" r:id="rId161" xr:uid="{00000000-0004-0000-0100-0000A0000000}"/>
    <hyperlink ref="P569" r:id="rId162" xr:uid="{00000000-0004-0000-0100-0000A1000000}"/>
    <hyperlink ref="D570" r:id="rId163" xr:uid="{00000000-0004-0000-0100-0000A2000000}"/>
    <hyperlink ref="P584" r:id="rId164" xr:uid="{00000000-0004-0000-0100-0000A3000000}"/>
    <hyperlink ref="D586" r:id="rId165" xr:uid="{00000000-0004-0000-0100-0000A4000000}"/>
    <hyperlink ref="P588" r:id="rId166" xr:uid="{00000000-0004-0000-0100-0000A5000000}"/>
    <hyperlink ref="D589" r:id="rId167" xr:uid="{00000000-0004-0000-0100-0000A6000000}"/>
    <hyperlink ref="D611" r:id="rId168" xr:uid="{00000000-0004-0000-0100-0000A7000000}"/>
    <hyperlink ref="D612" r:id="rId169" xr:uid="{00000000-0004-0000-0100-0000A8000000}"/>
    <hyperlink ref="P615" r:id="rId170" xr:uid="{00000000-0004-0000-0100-0000A9000000}"/>
    <hyperlink ref="D623" r:id="rId171" xr:uid="{00000000-0004-0000-0100-0000AA000000}"/>
    <hyperlink ref="D634" r:id="rId172" xr:uid="{00000000-0004-0000-0100-0000AB000000}"/>
    <hyperlink ref="D636" r:id="rId173" xr:uid="{00000000-0004-0000-0100-0000AC000000}"/>
    <hyperlink ref="P639" r:id="rId174" xr:uid="{00000000-0004-0000-0100-0000AD000000}"/>
    <hyperlink ref="D641" r:id="rId175" tooltip="mailto:kkd_ipm2@corp.bri.co.id" xr:uid="{00000000-0004-0000-0100-0000AE000000}"/>
    <hyperlink ref="D695" r:id="rId176" xr:uid="{00000000-0004-0000-0100-0000AF000000}"/>
    <hyperlink ref="D696" r:id="rId177" xr:uid="{00000000-0004-0000-0100-0000B0000000}"/>
    <hyperlink ref="P698" r:id="rId178" xr:uid="{00000000-0004-0000-0100-0000B1000000}"/>
    <hyperlink ref="D707" r:id="rId179" xr:uid="{00000000-0004-0000-0100-0000B2000000}"/>
    <hyperlink ref="D708" r:id="rId180" xr:uid="{00000000-0004-0000-0100-0000B3000000}"/>
    <hyperlink ref="D710" r:id="rId181" xr:uid="{00000000-0004-0000-0100-0000B4000000}"/>
    <hyperlink ref="P712" r:id="rId182" xr:uid="{00000000-0004-0000-0100-0000B5000000}"/>
    <hyperlink ref="P713" r:id="rId183" xr:uid="{00000000-0004-0000-0100-0000B6000000}"/>
    <hyperlink ref="D713" r:id="rId184" xr:uid="{00000000-0004-0000-0100-0000B7000000}"/>
    <hyperlink ref="P714" r:id="rId185" xr:uid="{00000000-0004-0000-0100-0000B8000000}"/>
    <hyperlink ref="D714" r:id="rId186" tooltip="mailto:mkiozuuytoauni@keio.jp" xr:uid="{00000000-0004-0000-0100-0000B9000000}"/>
    <hyperlink ref="P715" r:id="rId187" xr:uid="{00000000-0004-0000-0100-0000BA000000}"/>
    <hyperlink ref="P716" r:id="rId188" xr:uid="{00000000-0004-0000-0100-0000BB000000}"/>
    <hyperlink ref="P717" r:id="rId189" xr:uid="{00000000-0004-0000-0100-0000BC000000}"/>
    <hyperlink ref="P718" r:id="rId190" xr:uid="{00000000-0004-0000-0100-0000BD000000}"/>
    <hyperlink ref="P719" r:id="rId191" xr:uid="{00000000-0004-0000-0100-0000BE000000}"/>
    <hyperlink ref="P720" r:id="rId192" xr:uid="{00000000-0004-0000-0100-0000BF000000}"/>
    <hyperlink ref="P721" r:id="rId193" xr:uid="{00000000-0004-0000-0100-0000C0000000}"/>
    <hyperlink ref="P722" r:id="rId194" xr:uid="{00000000-0004-0000-0100-0000C1000000}"/>
    <hyperlink ref="P723" r:id="rId195" xr:uid="{00000000-0004-0000-0100-0000C2000000}"/>
    <hyperlink ref="D729" r:id="rId196" xr:uid="{00000000-0004-0000-0100-0000C3000000}"/>
    <hyperlink ref="D732" r:id="rId197" tooltip="mailto:jacobdeabreu7@icloud.com" xr:uid="{00000000-0004-0000-0100-0000C4000000}"/>
    <hyperlink ref="P733" r:id="rId198" xr:uid="{00000000-0004-0000-0100-0000C5000000}"/>
    <hyperlink ref="D735" r:id="rId199" xr:uid="{00000000-0004-0000-0100-0000C6000000}"/>
    <hyperlink ref="P736" r:id="rId200" xr:uid="{00000000-0004-0000-0100-0000C7000000}"/>
    <hyperlink ref="P737" r:id="rId201" xr:uid="{00000000-0004-0000-0100-0000C8000000}"/>
    <hyperlink ref="D739" r:id="rId202" xr:uid="{00000000-0004-0000-0100-0000C9000000}"/>
    <hyperlink ref="P752" r:id="rId203" xr:uid="{00000000-0004-0000-0100-0000CA000000}"/>
    <hyperlink ref="P753" r:id="rId204" xr:uid="{00000000-0004-0000-0100-0000CB000000}"/>
    <hyperlink ref="P755" r:id="rId205" xr:uid="{00000000-0004-0000-0100-0000CC000000}"/>
    <hyperlink ref="D756" r:id="rId206" xr:uid="{00000000-0004-0000-0100-0000CD000000}"/>
    <hyperlink ref="D757" r:id="rId207" xr:uid="{00000000-0004-0000-0100-0000CE000000}"/>
    <hyperlink ref="D759" r:id="rId208" xr:uid="{00000000-0004-0000-0100-0000CF000000}"/>
    <hyperlink ref="D761" r:id="rId209" xr:uid="{00000000-0004-0000-0100-0000D0000000}"/>
    <hyperlink ref="P762" r:id="rId210" xr:uid="{00000000-0004-0000-0100-0000D1000000}"/>
    <hyperlink ref="P764" r:id="rId211" xr:uid="{00000000-0004-0000-0100-0000D2000000}"/>
    <hyperlink ref="P765" r:id="rId212" xr:uid="{00000000-0004-0000-0100-0000D3000000}"/>
    <hyperlink ref="P767" r:id="rId213" xr:uid="{00000000-0004-0000-0100-0000D4000000}"/>
    <hyperlink ref="P770" r:id="rId214" xr:uid="{00000000-0004-0000-0100-0000D5000000}"/>
    <hyperlink ref="P772" r:id="rId215" xr:uid="{00000000-0004-0000-0100-0000D6000000}"/>
    <hyperlink ref="P773" r:id="rId216" xr:uid="{00000000-0004-0000-0100-0000D7000000}"/>
    <hyperlink ref="P774" r:id="rId217" xr:uid="{00000000-0004-0000-0100-0000D8000000}"/>
    <hyperlink ref="D775" r:id="rId218" tooltip="mailto:bernfulanda@gmail.com" xr:uid="{00000000-0004-0000-0100-0000D9000000}"/>
    <hyperlink ref="D777" r:id="rId219" xr:uid="{00000000-0004-0000-0100-0000DA000000}"/>
    <hyperlink ref="P785" r:id="rId220" xr:uid="{00000000-0004-0000-0100-0000DB000000}"/>
    <hyperlink ref="D786" r:id="rId221" xr:uid="{00000000-0004-0000-0100-0000DC000000}"/>
    <hyperlink ref="P786" r:id="rId222" xr:uid="{00000000-0004-0000-0100-0000DD000000}"/>
    <hyperlink ref="D787" r:id="rId223" xr:uid="{00000000-0004-0000-0100-0000DE000000}"/>
    <hyperlink ref="D788" r:id="rId224" xr:uid="{00000000-0004-0000-0100-0000DF000000}"/>
    <hyperlink ref="P789" r:id="rId225" xr:uid="{00000000-0004-0000-0100-0000E0000000}"/>
    <hyperlink ref="P790" r:id="rId226" xr:uid="{00000000-0004-0000-0100-0000E1000000}"/>
    <hyperlink ref="P791" r:id="rId227" xr:uid="{00000000-0004-0000-0100-0000E2000000}"/>
    <hyperlink ref="P792" r:id="rId228" xr:uid="{00000000-0004-0000-0100-0000E3000000}"/>
    <hyperlink ref="P793" r:id="rId229" xr:uid="{00000000-0004-0000-0100-0000E4000000}"/>
    <hyperlink ref="P794" r:id="rId230" xr:uid="{00000000-0004-0000-0100-0000E5000000}"/>
    <hyperlink ref="D794" r:id="rId231" tooltip="mailto:anauliana32@gmail.com" xr:uid="{00000000-0004-0000-0100-0000E6000000}"/>
    <hyperlink ref="D795" r:id="rId232" xr:uid="{00000000-0004-0000-0100-0000E7000000}"/>
    <hyperlink ref="D796" r:id="rId233" xr:uid="{00000000-0004-0000-0100-0000E8000000}"/>
    <hyperlink ref="D798" r:id="rId234" xr:uid="{00000000-0004-0000-0100-0000E9000000}"/>
    <hyperlink ref="D799" r:id="rId235" xr:uid="{00000000-0004-0000-0100-0000EA000000}"/>
    <hyperlink ref="D800" r:id="rId236" xr:uid="{00000000-0004-0000-0100-0000EB000000}"/>
    <hyperlink ref="D805" r:id="rId237" xr:uid="{00000000-0004-0000-0100-0000EC000000}"/>
    <hyperlink ref="P804" r:id="rId238" xr:uid="{00000000-0004-0000-0100-0000ED000000}"/>
    <hyperlink ref="D806" r:id="rId239" xr:uid="{00000000-0004-0000-0100-0000EE000000}"/>
    <hyperlink ref="P809" r:id="rId240" xr:uid="{00000000-0004-0000-0100-0000EF000000}"/>
    <hyperlink ref="D813" r:id="rId241" xr:uid="{00000000-0004-0000-0100-0000F0000000}"/>
    <hyperlink ref="D814" r:id="rId242" xr:uid="{00000000-0004-0000-0100-0000F1000000}"/>
    <hyperlink ref="D816" r:id="rId243" xr:uid="{00000000-0004-0000-0100-0000F2000000}"/>
    <hyperlink ref="P818" r:id="rId244" xr:uid="{00000000-0004-0000-0100-0000F3000000}"/>
    <hyperlink ref="D819" r:id="rId245" xr:uid="{00000000-0004-0000-0100-0000F4000000}"/>
    <hyperlink ref="P830" r:id="rId246" xr:uid="{00000000-0004-0000-0100-0000F5000000}"/>
    <hyperlink ref="D855" r:id="rId247" xr:uid="{00000000-0004-0000-0100-0000F6000000}"/>
    <hyperlink ref="D857" r:id="rId248" xr:uid="{00000000-0004-0000-0100-0000F7000000}"/>
    <hyperlink ref="D858" r:id="rId249" xr:uid="{00000000-0004-0000-0100-0000F8000000}"/>
    <hyperlink ref="D859" r:id="rId250" xr:uid="{00000000-0004-0000-0100-0000F9000000}"/>
    <hyperlink ref="D860" r:id="rId251" xr:uid="{00000000-0004-0000-0100-0000FA000000}"/>
    <hyperlink ref="D861" r:id="rId252" xr:uid="{00000000-0004-0000-0100-0000FB000000}"/>
    <hyperlink ref="D862" r:id="rId253" xr:uid="{00000000-0004-0000-0100-0000FC000000}"/>
    <hyperlink ref="D863" r:id="rId254" xr:uid="{00000000-0004-0000-0100-0000FD000000}"/>
    <hyperlink ref="P864" r:id="rId255" xr:uid="{00000000-0004-0000-0100-0000FE000000}"/>
    <hyperlink ref="D870" r:id="rId256" xr:uid="{556805A0-E2D1-4CC4-9140-1CC630C1EC5E}"/>
    <hyperlink ref="P873" r:id="rId257" xr:uid="{B926C1A9-582F-458D-9318-B7853D2BAF46}"/>
    <hyperlink ref="D876" r:id="rId258" xr:uid="{59D99C94-C44A-4BA6-9371-2EE56CDB3064}"/>
    <hyperlink ref="D878" r:id="rId259" xr:uid="{98428262-1FFE-417F-B870-7B90DABD5FA5}"/>
    <hyperlink ref="D879" r:id="rId260" xr:uid="{08C975B9-1284-4A11-B60E-1BBF6863F2D6}"/>
    <hyperlink ref="P884" r:id="rId261" xr:uid="{3219D488-8C9F-4224-9779-88628A2935ED}"/>
    <hyperlink ref="D889" r:id="rId262" xr:uid="{EC3E4971-BAF5-4A1F-B60A-A1A777DC2C29}"/>
    <hyperlink ref="P890" r:id="rId263" xr:uid="{CFCB2933-96DE-4D1B-B59F-0CF842C8C83A}"/>
    <hyperlink ref="P903" r:id="rId264" xr:uid="{F8114705-F832-4069-BAF3-1FD02AF3096D}"/>
    <hyperlink ref="P801" r:id="rId265" xr:uid="{AE8A0057-CBE9-46D6-8263-E58CCD728CAB}"/>
    <hyperlink ref="P808" r:id="rId266" xr:uid="{37361FB2-F5D6-4533-BB60-D628811911E6}"/>
    <hyperlink ref="P811" r:id="rId267" xr:uid="{3A24C844-EE18-48CA-89FB-0CF1649BC6AC}"/>
    <hyperlink ref="P812" r:id="rId268" xr:uid="{6A93340A-B8AF-4F78-91D7-7AE8167DEC32}"/>
    <hyperlink ref="P817" r:id="rId269" xr:uid="{3AC60C53-A129-4F8D-919C-0D6D604D82F4}"/>
    <hyperlink ref="P822" r:id="rId270" xr:uid="{CE799BF0-0629-44E6-A9D5-7FF7D56F6ED3}"/>
    <hyperlink ref="P823" r:id="rId271" xr:uid="{540A9692-978B-45D1-B572-6D64508C6D72}"/>
    <hyperlink ref="P872" r:id="rId272" xr:uid="{7C29430D-7E16-4322-8324-EA020FE59F47}"/>
    <hyperlink ref="P874" r:id="rId273" xr:uid="{88E42EDE-D61B-4B5E-A1D1-84B42473A999}"/>
    <hyperlink ref="P875" r:id="rId274" xr:uid="{2B08B986-0BC4-4FAF-AA57-3597655ECCD0}"/>
    <hyperlink ref="P881" r:id="rId275" xr:uid="{CAF8C22C-BC75-44F7-9A76-DC841AEC5977}"/>
    <hyperlink ref="P885" r:id="rId276" xr:uid="{72193D54-C616-46E3-88F0-C8D51594FA43}"/>
    <hyperlink ref="P886" r:id="rId277" xr:uid="{1C06331F-AF26-4BB2-A045-0F608BD78EF4}"/>
    <hyperlink ref="P892" r:id="rId278" xr:uid="{EAD38FF9-EB6A-4321-98D5-9953E07E571A}"/>
    <hyperlink ref="P893" r:id="rId279" xr:uid="{5018182A-99F8-48E0-B664-EDC67BC96681}"/>
    <hyperlink ref="P894" r:id="rId280" xr:uid="{3C1EE399-9583-4A9D-9B18-C79033D8887C}"/>
    <hyperlink ref="P895" r:id="rId281" xr:uid="{2719CA29-4AB1-4CB3-B87F-B92961289321}"/>
    <hyperlink ref="P896" r:id="rId282" xr:uid="{7A21A23A-2359-4B78-8705-170AE7E89BDC}"/>
    <hyperlink ref="P898" r:id="rId283" xr:uid="{F4E43608-36FA-4F64-A972-C312D7D40194}"/>
    <hyperlink ref="P899" r:id="rId284" xr:uid="{5F67E0AC-A887-43D7-A734-CD07E077EBD1}"/>
    <hyperlink ref="P900" r:id="rId285" xr:uid="{8D273791-B0F5-464B-8298-1F5FF81CCB44}"/>
    <hyperlink ref="P901" r:id="rId286" xr:uid="{D3BC8D5E-6452-411E-B752-CECEA8807ECB}"/>
    <hyperlink ref="P902" r:id="rId287" xr:uid="{1CEF362B-0932-4A65-96F4-E69A97091098}"/>
    <hyperlink ref="P904" r:id="rId288" xr:uid="{19A89C7A-B976-4E21-9C34-23C59E75E592}"/>
    <hyperlink ref="P943" r:id="rId289" xr:uid="{61C686A2-97F9-410B-B032-8E32B0E943C1}"/>
    <hyperlink ref="D945" r:id="rId290" xr:uid="{68636753-3163-4AB0-A1FA-2FB12063D204}"/>
    <hyperlink ref="D946" r:id="rId291" xr:uid="{2FE78D8D-B932-4CA1-9E48-E21B64FE711C}"/>
    <hyperlink ref="P947" r:id="rId292" xr:uid="{E2CE15FB-EF85-4F8B-8FF3-6AFBA1E86EB0}"/>
    <hyperlink ref="D948" r:id="rId293" xr:uid="{CE7279DF-CEE2-4387-AF75-EC3CBF2B116D}"/>
    <hyperlink ref="D949" r:id="rId294" xr:uid="{9EF53A4D-CA55-45AD-8FB7-8E9B74649C4F}"/>
    <hyperlink ref="P950" r:id="rId295" xr:uid="{4AEA12CE-0328-48C4-9856-DC11A9D9C459}"/>
    <hyperlink ref="P952" r:id="rId296" xr:uid="{503A5AB2-517D-48DD-A382-84942DB75C83}"/>
    <hyperlink ref="P953" r:id="rId297" xr:uid="{867315F8-4644-40F9-BA17-72C23831316B}"/>
    <hyperlink ref="P954" r:id="rId298" xr:uid="{CB744496-C9C3-468E-8E99-85DFD3F92A03}"/>
    <hyperlink ref="P897" r:id="rId299" xr:uid="{9EBEE328-DD0A-4DB0-8ECC-441EC12FFE6B}"/>
    <hyperlink ref="P955" r:id="rId300" xr:uid="{24B8BD7F-A095-46AB-A4B5-B3EF36B1D91F}"/>
    <hyperlink ref="P963" r:id="rId301" xr:uid="{41697DD1-FC3F-49A8-BD7B-C58A32429A38}"/>
    <hyperlink ref="P964" r:id="rId302" xr:uid="{0D653E27-79FF-4ABD-A216-7EAF85890A2A}"/>
    <hyperlink ref="P965" r:id="rId303" xr:uid="{01890429-8CA4-4BC3-AA5A-9B6C67B3F663}"/>
    <hyperlink ref="P966" r:id="rId304" xr:uid="{43C28278-13AD-43E8-BA87-8C52CDB48B35}"/>
    <hyperlink ref="P967" r:id="rId305" xr:uid="{F2F8E840-CD0C-4DAB-A9D3-4A5876A7D0BA}"/>
    <hyperlink ref="D968" r:id="rId306" xr:uid="{7BA1250A-5A0D-4AB0-A9A9-9BDB8FAB2E28}"/>
    <hyperlink ref="P970" r:id="rId307" xr:uid="{5DA46441-AD4C-4A7A-B16C-8DB35528979B}"/>
    <hyperlink ref="P971" r:id="rId308" xr:uid="{6F385A6D-DB3E-4B95-A1A8-08F8EE18E446}"/>
    <hyperlink ref="P972" r:id="rId309" xr:uid="{EE610B33-8C14-4692-882B-E19A9B6EF1A5}"/>
    <hyperlink ref="P973" r:id="rId310" xr:uid="{935C636E-B0C3-4B5B-87E2-440F1ECDB9BC}"/>
    <hyperlink ref="P974" r:id="rId311" xr:uid="{0F19042B-5F80-4ECB-A755-F38B00CC7608}"/>
    <hyperlink ref="P978" r:id="rId312" xr:uid="{E03F729A-DB0A-45BC-9BE2-BCA4F1F9689A}"/>
    <hyperlink ref="P979" r:id="rId313" xr:uid="{B6FC9899-F581-4FA2-8F64-4E3BFC7B71F8}"/>
    <hyperlink ref="P987" r:id="rId314" xr:uid="{3FE6BEF5-4882-4C75-B010-E6CCCE5AF894}"/>
    <hyperlink ref="P988" r:id="rId315" xr:uid="{47190B56-54DE-4CF1-9325-9678BCB747AE}"/>
    <hyperlink ref="P989" r:id="rId316" xr:uid="{9A963E9B-0D9C-4E03-B363-D9FDA4196E41}"/>
    <hyperlink ref="P990" r:id="rId317" xr:uid="{54DF71A9-3365-43F2-850F-A92DFA6C0867}"/>
    <hyperlink ref="P992" r:id="rId318" xr:uid="{F0774CAF-28AD-41CB-B5F4-E417E29A2CBB}"/>
    <hyperlink ref="P993" r:id="rId319" xr:uid="{274D17AC-6D98-4FE1-9C34-805E18FFA18D}"/>
    <hyperlink ref="P994" r:id="rId320" xr:uid="{B3102633-9915-4352-81D3-AF34339F7945}"/>
    <hyperlink ref="P995" r:id="rId321" xr:uid="{2CB9EE9F-B13D-477C-8E7D-EF026968DDF8}"/>
    <hyperlink ref="P996" r:id="rId322" xr:uid="{F6C01377-8068-4918-AD17-599CE710FD95}"/>
    <hyperlink ref="P997" r:id="rId323" xr:uid="{D422F642-C5EF-42E7-8CAE-B8406AB877BA}"/>
    <hyperlink ref="P998" r:id="rId324" xr:uid="{14E71C9B-43F0-41F9-9E87-484E583AB086}"/>
    <hyperlink ref="P999" r:id="rId325" xr:uid="{3E329256-C454-47FC-986A-FBA2D3A83827}"/>
    <hyperlink ref="P1000" r:id="rId326" xr:uid="{8D341D10-99DC-4150-975B-8303D26DF3C5}"/>
    <hyperlink ref="P1001" r:id="rId327" xr:uid="{BF0C489E-7B3E-4EB9-B15B-0AA9A8B2872A}"/>
    <hyperlink ref="P1002" r:id="rId328" xr:uid="{045DF65F-7DAD-4E30-A7BB-E30E9793F86B}"/>
    <hyperlink ref="P1003" r:id="rId329" xr:uid="{E58356D6-6BDF-4053-B2C1-5C163D59F297}"/>
    <hyperlink ref="P1004" r:id="rId330" xr:uid="{8918F0AE-2D9D-4D23-ADDB-C8063ED3DB4A}"/>
    <hyperlink ref="P1005" r:id="rId331" xr:uid="{46A53FA1-1D68-479E-96E8-0111DD0A97A2}"/>
    <hyperlink ref="D1005" r:id="rId332" display="mailto:adela1570@naver.com" xr:uid="{F658B517-BA81-4AA7-8778-2CED9FA599C4}"/>
    <hyperlink ref="P1006" r:id="rId333" xr:uid="{09F21EE7-39A0-4496-A46E-0A3D99874F7B}"/>
    <hyperlink ref="P1007" r:id="rId334" xr:uid="{D9915020-E471-4290-ABCC-3353A347E06E}"/>
    <hyperlink ref="P1008" r:id="rId335" xr:uid="{A0E48408-AB4F-4018-9B49-37B16B5E65F1}"/>
    <hyperlink ref="P1009" r:id="rId336" xr:uid="{33FBC79F-82BF-47D8-918B-652A3C62228D}"/>
    <hyperlink ref="P1010" r:id="rId337" xr:uid="{AD11BC06-962D-4CE0-801A-FEE84EE4A311}"/>
    <hyperlink ref="D1010" r:id="rId338" display="mailto:shinahahaha@gmail.com" xr:uid="{25384B79-E2D7-4E9D-9EB2-B5FAA1DF53C0}"/>
    <hyperlink ref="P1028" r:id="rId339" xr:uid="{5B5B3FEB-6605-47BB-9FE8-77DE50BB7F9B}"/>
    <hyperlink ref="P1029" r:id="rId340" xr:uid="{91E78B52-9DB1-4692-9390-E08BF07E21FB}"/>
    <hyperlink ref="P1030" r:id="rId341" xr:uid="{BE7BE921-44F7-41CE-A2B8-1298A20C8590}"/>
    <hyperlink ref="P1031" r:id="rId342" xr:uid="{82AE45C9-9B59-4114-9822-104CC4DF6114}"/>
    <hyperlink ref="P1032" r:id="rId343" xr:uid="{AC5380A8-7D86-4D4F-979E-6E5959A1DEE9}"/>
    <hyperlink ref="P1033" r:id="rId344" xr:uid="{FC40B02E-FF5A-4FC2-83AA-3B6CF295541C}"/>
    <hyperlink ref="P1034" r:id="rId345" xr:uid="{4CB846B1-63E3-44B0-88C7-3416FF5E1CB9}"/>
    <hyperlink ref="P1035" r:id="rId346" xr:uid="{97B886A2-3B5B-40CA-94F7-CC4369A526D3}"/>
    <hyperlink ref="P1036" r:id="rId347" xr:uid="{8E331356-F68E-45BD-80BE-C04BF7B0894F}"/>
    <hyperlink ref="P1037" r:id="rId348" xr:uid="{5DE2FCCC-B03E-48D7-95EF-D7A2FBA30E35}"/>
    <hyperlink ref="P1038" r:id="rId349" xr:uid="{D7DC8BEA-EB22-4436-8AF8-AC647D6823AD}"/>
    <hyperlink ref="P1039" r:id="rId350" xr:uid="{8E7C240C-EE7F-4931-B11A-FBCA8C797219}"/>
    <hyperlink ref="P1040" r:id="rId351" xr:uid="{2EC69C3A-EB66-4535-BECE-69DCAB2B22FB}"/>
    <hyperlink ref="P1041" r:id="rId352" xr:uid="{C151ADAC-0B0F-40EF-832B-823E0FB1DEFB}"/>
    <hyperlink ref="P1042" r:id="rId353" xr:uid="{F6C1B616-E465-4B1B-A338-BDB628F04985}"/>
    <hyperlink ref="P1043" r:id="rId354" xr:uid="{F237909D-5707-48CF-B555-0F7FD99EA82E}"/>
    <hyperlink ref="P1044" r:id="rId355" xr:uid="{BB275180-37BC-4DCA-8242-2F5E7EA0655D}"/>
    <hyperlink ref="P1045" r:id="rId356" xr:uid="{42E6CCB2-1BE6-4AC2-9927-FD68B6B83755}"/>
    <hyperlink ref="P1046" r:id="rId357" xr:uid="{FC8E8F5E-F8A3-460C-B895-990427D85529}"/>
    <hyperlink ref="P1047" r:id="rId358" xr:uid="{842EF6B0-F43C-479E-B15D-4A169447263C}"/>
    <hyperlink ref="P1048" r:id="rId359" xr:uid="{099E3226-C876-456B-B32A-3E0D6B4D4EA9}"/>
    <hyperlink ref="P1049" r:id="rId360" xr:uid="{08C9705E-A262-4E09-ADFF-95F7F12C8103}"/>
    <hyperlink ref="P1050" r:id="rId361" xr:uid="{F0559E71-A9E9-4C68-881A-11F7F378B4F0}"/>
    <hyperlink ref="P1051" r:id="rId362" xr:uid="{EE23BFC9-D312-4705-9720-E9D63AC7A474}"/>
    <hyperlink ref="P1052" r:id="rId363" xr:uid="{D1D56897-C3E6-437C-AC74-964BF6EFA2FD}"/>
    <hyperlink ref="P1053" r:id="rId364" xr:uid="{A83E33E4-BCE0-45F0-993C-93542830E97F}"/>
    <hyperlink ref="P1054" r:id="rId365" xr:uid="{E8F8869C-C1DC-4D19-9212-C0AB8200B30F}"/>
    <hyperlink ref="P1055" r:id="rId366" xr:uid="{A1771E78-0027-4EDC-AA19-80F9F426C8FE}"/>
    <hyperlink ref="P1056" r:id="rId367" xr:uid="{FA672359-7333-4684-B010-AD0D7E081874}"/>
    <hyperlink ref="P1057" r:id="rId368" xr:uid="{D038B3CA-A67E-45BD-9A40-C1EC93FF8E46}"/>
    <hyperlink ref="P1058" r:id="rId369" xr:uid="{7AA4648C-4054-4B0B-A7EA-D70B401A8094}"/>
    <hyperlink ref="P1059" r:id="rId370" xr:uid="{BBBEAA5E-7D59-4B18-BE49-9398C5C987D4}"/>
    <hyperlink ref="P1061" r:id="rId371" xr:uid="{A1B1C7BD-2358-48A0-804A-46374A5D94DD}"/>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3"/>
  <sheetViews>
    <sheetView topLeftCell="A194" zoomScale="70" zoomScaleNormal="70" workbookViewId="0">
      <selection activeCell="D211" sqref="D211"/>
    </sheetView>
  </sheetViews>
  <sheetFormatPr defaultColWidth="8.88671875" defaultRowHeight="14.4" x14ac:dyDescent="0.3"/>
  <cols>
    <col min="1" max="1" width="8.88671875" style="33"/>
    <col min="2" max="2" width="54.44140625" style="43" customWidth="1"/>
    <col min="3" max="3" width="32.6640625" style="44" bestFit="1" customWidth="1"/>
    <col min="4" max="4" width="19.21875" style="45" customWidth="1"/>
    <col min="5" max="7" width="26.88671875" style="46" customWidth="1"/>
    <col min="8" max="8" width="19.109375" style="45" customWidth="1"/>
    <col min="9" max="9" width="29.33203125" style="46" customWidth="1"/>
    <col min="10" max="10" width="40.33203125" style="47" customWidth="1"/>
    <col min="11" max="16384" width="8.88671875" style="33"/>
  </cols>
  <sheetData>
    <row r="1" spans="1:9" ht="61.2" x14ac:dyDescent="1.1000000000000001">
      <c r="A1" s="48" t="s">
        <v>1074</v>
      </c>
    </row>
    <row r="3" spans="1:9" ht="24.6" customHeight="1" x14ac:dyDescent="0.3"/>
    <row r="9" spans="1:9" ht="25.8" x14ac:dyDescent="0.5">
      <c r="B9" s="49" t="s">
        <v>69</v>
      </c>
      <c r="C9" s="50"/>
      <c r="D9" s="51"/>
      <c r="E9" s="52"/>
      <c r="F9" s="52"/>
      <c r="G9" s="52"/>
      <c r="H9" s="51"/>
      <c r="I9" s="52"/>
    </row>
    <row r="10" spans="1:9" x14ac:dyDescent="0.3">
      <c r="B10" s="53" t="s">
        <v>1075</v>
      </c>
      <c r="C10" s="54" t="s">
        <v>1076</v>
      </c>
      <c r="D10" s="55" t="s">
        <v>1077</v>
      </c>
      <c r="E10" s="56" t="s">
        <v>1076</v>
      </c>
      <c r="F10" s="56" t="s">
        <v>1078</v>
      </c>
      <c r="G10" s="56" t="s">
        <v>1076</v>
      </c>
      <c r="H10" s="55" t="s">
        <v>1079</v>
      </c>
      <c r="I10" s="56" t="s">
        <v>1076</v>
      </c>
    </row>
    <row r="11" spans="1:9" x14ac:dyDescent="0.3">
      <c r="B11" s="202" t="s">
        <v>1080</v>
      </c>
      <c r="C11" s="202"/>
      <c r="D11" s="202"/>
      <c r="E11" s="202"/>
      <c r="F11" s="202"/>
      <c r="G11" s="202"/>
      <c r="H11" s="202"/>
      <c r="I11" s="202"/>
    </row>
    <row r="12" spans="1:9" x14ac:dyDescent="0.3">
      <c r="B12" s="57" t="s">
        <v>1081</v>
      </c>
      <c r="C12" s="58">
        <v>240000</v>
      </c>
      <c r="D12" s="59" t="s">
        <v>1082</v>
      </c>
      <c r="E12" s="60">
        <v>1000000</v>
      </c>
      <c r="F12" s="59" t="s">
        <v>1083</v>
      </c>
      <c r="G12" s="60">
        <v>2900000</v>
      </c>
      <c r="H12" s="51"/>
      <c r="I12" s="52"/>
    </row>
    <row r="13" spans="1:9" x14ac:dyDescent="0.3">
      <c r="B13" s="57" t="s">
        <v>1084</v>
      </c>
      <c r="C13" s="58">
        <v>5600000</v>
      </c>
      <c r="D13" s="59" t="s">
        <v>1085</v>
      </c>
      <c r="E13" s="60">
        <v>2470000</v>
      </c>
      <c r="F13" s="59" t="s">
        <v>1086</v>
      </c>
      <c r="G13" s="60">
        <v>4675000</v>
      </c>
      <c r="H13" s="51"/>
      <c r="I13" s="52"/>
    </row>
    <row r="14" spans="1:9" x14ac:dyDescent="0.3">
      <c r="B14" s="57" t="s">
        <v>1087</v>
      </c>
      <c r="C14" s="58">
        <v>18500000</v>
      </c>
      <c r="D14" s="59" t="s">
        <v>1088</v>
      </c>
      <c r="E14" s="60">
        <v>2470000</v>
      </c>
      <c r="F14" s="60"/>
      <c r="G14" s="60"/>
      <c r="H14" s="51"/>
      <c r="I14" s="52"/>
    </row>
    <row r="15" spans="1:9" x14ac:dyDescent="0.3">
      <c r="B15" s="57" t="s">
        <v>1089</v>
      </c>
      <c r="C15" s="58">
        <v>13615297</v>
      </c>
      <c r="D15" s="59"/>
      <c r="E15" s="60"/>
      <c r="F15" s="60"/>
      <c r="G15" s="60"/>
      <c r="H15" s="51"/>
      <c r="I15" s="52"/>
    </row>
    <row r="16" spans="1:9" x14ac:dyDescent="0.3">
      <c r="B16" s="61" t="s">
        <v>1090</v>
      </c>
      <c r="C16" s="50">
        <v>17020121</v>
      </c>
      <c r="D16" s="51"/>
      <c r="E16" s="52"/>
      <c r="F16" s="52"/>
      <c r="G16" s="52"/>
      <c r="H16" s="51"/>
      <c r="I16" s="52"/>
    </row>
    <row r="17" spans="2:9" x14ac:dyDescent="0.3">
      <c r="B17" s="61" t="s">
        <v>1091</v>
      </c>
      <c r="C17" s="50">
        <v>850000</v>
      </c>
      <c r="D17" s="51"/>
      <c r="E17" s="52"/>
      <c r="F17" s="52"/>
      <c r="G17" s="52"/>
      <c r="H17" s="51"/>
      <c r="I17" s="52"/>
    </row>
    <row r="18" spans="2:9" x14ac:dyDescent="0.3">
      <c r="B18" s="61" t="s">
        <v>1092</v>
      </c>
      <c r="C18" s="50">
        <v>10000000</v>
      </c>
      <c r="D18" s="51"/>
      <c r="E18" s="52"/>
      <c r="F18" s="52"/>
      <c r="G18" s="52"/>
      <c r="H18" s="51"/>
      <c r="I18" s="52"/>
    </row>
    <row r="19" spans="2:9" x14ac:dyDescent="0.3">
      <c r="B19" s="61" t="s">
        <v>1093</v>
      </c>
      <c r="C19" s="50">
        <v>20000000</v>
      </c>
      <c r="D19" s="51"/>
      <c r="E19" s="52"/>
      <c r="F19" s="52"/>
      <c r="G19" s="52"/>
      <c r="H19" s="51"/>
      <c r="I19" s="52"/>
    </row>
    <row r="20" spans="2:9" x14ac:dyDescent="0.3">
      <c r="B20" s="61" t="s">
        <v>1094</v>
      </c>
      <c r="C20" s="50">
        <v>50000000</v>
      </c>
      <c r="D20" s="51"/>
      <c r="E20" s="52"/>
      <c r="F20" s="52"/>
      <c r="G20" s="52"/>
      <c r="H20" s="51"/>
      <c r="I20" s="52"/>
    </row>
    <row r="21" spans="2:9" x14ac:dyDescent="0.3">
      <c r="B21" s="61" t="s">
        <v>1095</v>
      </c>
      <c r="C21" s="50">
        <v>50000000</v>
      </c>
      <c r="D21" s="51"/>
      <c r="E21" s="52"/>
      <c r="F21" s="52"/>
      <c r="G21" s="52"/>
      <c r="H21" s="51"/>
      <c r="I21" s="52"/>
    </row>
    <row r="22" spans="2:9" x14ac:dyDescent="0.3">
      <c r="B22" s="61" t="s">
        <v>1094</v>
      </c>
      <c r="C22" s="50">
        <v>50000000</v>
      </c>
      <c r="D22" s="51"/>
      <c r="E22" s="52"/>
      <c r="F22" s="52"/>
      <c r="G22" s="52"/>
      <c r="H22" s="51"/>
      <c r="I22" s="52"/>
    </row>
    <row r="23" spans="2:9" x14ac:dyDescent="0.3">
      <c r="B23" s="61" t="s">
        <v>1095</v>
      </c>
      <c r="C23" s="50">
        <v>50000000</v>
      </c>
      <c r="D23" s="51"/>
      <c r="E23" s="52"/>
      <c r="F23" s="52"/>
      <c r="G23" s="52"/>
      <c r="H23" s="51"/>
      <c r="I23" s="52"/>
    </row>
    <row r="24" spans="2:9" x14ac:dyDescent="0.3">
      <c r="B24" s="61" t="s">
        <v>1096</v>
      </c>
      <c r="C24" s="50">
        <v>14332700</v>
      </c>
      <c r="D24" s="51"/>
      <c r="E24" s="52"/>
      <c r="F24" s="52"/>
      <c r="G24" s="52"/>
      <c r="H24" s="51"/>
      <c r="I24" s="52"/>
    </row>
    <row r="25" spans="2:9" x14ac:dyDescent="0.3">
      <c r="B25" s="202" t="s">
        <v>1097</v>
      </c>
      <c r="C25" s="202"/>
      <c r="D25" s="202"/>
      <c r="E25" s="202"/>
      <c r="F25" s="202"/>
      <c r="G25" s="202"/>
      <c r="H25" s="202"/>
      <c r="I25" s="202"/>
    </row>
    <row r="26" spans="2:9" x14ac:dyDescent="0.3">
      <c r="B26" s="62" t="s">
        <v>1098</v>
      </c>
      <c r="C26" s="50">
        <v>8000000</v>
      </c>
      <c r="D26" s="63"/>
      <c r="E26" s="63"/>
      <c r="F26" s="63"/>
      <c r="G26" s="63"/>
      <c r="H26" s="63"/>
      <c r="I26" s="63"/>
    </row>
    <row r="27" spans="2:9" x14ac:dyDescent="0.3">
      <c r="B27" s="62" t="s">
        <v>1099</v>
      </c>
      <c r="C27" s="50">
        <v>500000</v>
      </c>
      <c r="D27" s="63"/>
      <c r="E27" s="63"/>
      <c r="F27" s="63"/>
      <c r="G27" s="63"/>
      <c r="H27" s="63"/>
      <c r="I27" s="63"/>
    </row>
    <row r="28" spans="2:9" x14ac:dyDescent="0.3">
      <c r="B28" s="62" t="s">
        <v>1100</v>
      </c>
      <c r="C28" s="50">
        <v>4500000</v>
      </c>
      <c r="D28" s="63"/>
      <c r="E28" s="63"/>
      <c r="F28" s="63"/>
      <c r="G28" s="63"/>
      <c r="H28" s="63"/>
      <c r="I28" s="63"/>
    </row>
    <row r="29" spans="2:9" x14ac:dyDescent="0.3">
      <c r="B29" s="62" t="s">
        <v>1101</v>
      </c>
      <c r="C29" s="50">
        <v>100000000</v>
      </c>
      <c r="D29" s="63"/>
      <c r="E29" s="63"/>
      <c r="F29" s="63"/>
      <c r="G29" s="63"/>
      <c r="H29" s="63"/>
      <c r="I29" s="63"/>
    </row>
    <row r="30" spans="2:9" x14ac:dyDescent="0.3">
      <c r="B30" s="62" t="s">
        <v>1102</v>
      </c>
      <c r="C30" s="50">
        <v>100000000</v>
      </c>
      <c r="D30" s="63"/>
      <c r="E30" s="63"/>
      <c r="F30" s="63"/>
      <c r="G30" s="63"/>
      <c r="H30" s="63"/>
      <c r="I30" s="63"/>
    </row>
    <row r="31" spans="2:9" x14ac:dyDescent="0.3">
      <c r="B31" s="202" t="s">
        <v>1103</v>
      </c>
      <c r="C31" s="202"/>
      <c r="D31" s="202"/>
      <c r="E31" s="202"/>
      <c r="F31" s="202"/>
      <c r="G31" s="202"/>
      <c r="H31" s="202"/>
      <c r="I31" s="202"/>
    </row>
    <row r="32" spans="2:9" x14ac:dyDescent="0.3">
      <c r="B32" s="62" t="s">
        <v>1104</v>
      </c>
      <c r="C32" s="50">
        <v>3800000</v>
      </c>
      <c r="D32" s="64"/>
      <c r="E32" s="64"/>
      <c r="F32" s="64"/>
      <c r="G32" s="64"/>
      <c r="H32" s="64"/>
      <c r="I32" s="64"/>
    </row>
    <row r="33" spans="2:9" x14ac:dyDescent="0.3">
      <c r="B33" s="62" t="s">
        <v>1105</v>
      </c>
      <c r="C33" s="50">
        <v>2800000</v>
      </c>
      <c r="D33" s="64"/>
      <c r="E33" s="64"/>
      <c r="F33" s="64"/>
      <c r="G33" s="64"/>
      <c r="H33" s="64"/>
      <c r="I33" s="64"/>
    </row>
    <row r="34" spans="2:9" x14ac:dyDescent="0.3">
      <c r="B34" s="62" t="s">
        <v>1106</v>
      </c>
      <c r="C34" s="50">
        <v>1800000</v>
      </c>
      <c r="D34" s="64"/>
      <c r="E34" s="64"/>
      <c r="F34" s="64"/>
      <c r="G34" s="64"/>
      <c r="H34" s="64"/>
      <c r="I34" s="64"/>
    </row>
    <row r="35" spans="2:9" x14ac:dyDescent="0.3">
      <c r="B35" s="62" t="s">
        <v>1107</v>
      </c>
      <c r="C35" s="50">
        <v>2500000</v>
      </c>
      <c r="D35" s="64"/>
      <c r="E35" s="64"/>
      <c r="F35" s="64"/>
      <c r="G35" s="64"/>
      <c r="H35" s="64"/>
      <c r="I35" s="64"/>
    </row>
    <row r="36" spans="2:9" x14ac:dyDescent="0.3">
      <c r="B36" s="62" t="s">
        <v>1108</v>
      </c>
      <c r="C36" s="50">
        <v>20000000</v>
      </c>
      <c r="D36" s="64"/>
      <c r="E36" s="64"/>
      <c r="F36" s="64"/>
      <c r="G36" s="64"/>
      <c r="H36" s="64"/>
      <c r="I36" s="64"/>
    </row>
    <row r="37" spans="2:9" x14ac:dyDescent="0.3">
      <c r="B37" s="62" t="s">
        <v>1109</v>
      </c>
      <c r="C37" s="50">
        <v>7000000</v>
      </c>
      <c r="D37" s="64"/>
      <c r="E37" s="64"/>
      <c r="F37" s="64"/>
      <c r="G37" s="64"/>
      <c r="H37" s="64"/>
      <c r="I37" s="64"/>
    </row>
    <row r="38" spans="2:9" x14ac:dyDescent="0.3">
      <c r="B38" s="62" t="s">
        <v>1110</v>
      </c>
      <c r="C38" s="50">
        <v>99791991</v>
      </c>
      <c r="D38" s="64"/>
      <c r="E38" s="64"/>
      <c r="F38" s="64"/>
      <c r="G38" s="64"/>
      <c r="H38" s="64"/>
      <c r="I38" s="64"/>
    </row>
    <row r="39" spans="2:9" x14ac:dyDescent="0.3">
      <c r="B39" s="62" t="s">
        <v>1111</v>
      </c>
      <c r="C39" s="50">
        <v>120000</v>
      </c>
      <c r="D39" s="64"/>
      <c r="E39" s="64"/>
      <c r="F39" s="64"/>
      <c r="G39" s="64"/>
      <c r="H39" s="64"/>
      <c r="I39" s="64"/>
    </row>
    <row r="40" spans="2:9" x14ac:dyDescent="0.3">
      <c r="B40" s="62" t="s">
        <v>1112</v>
      </c>
      <c r="C40" s="50">
        <v>29812345</v>
      </c>
      <c r="D40" s="64"/>
      <c r="E40" s="64"/>
      <c r="F40" s="64"/>
      <c r="G40" s="64"/>
      <c r="H40" s="64"/>
      <c r="I40" s="64"/>
    </row>
    <row r="41" spans="2:9" x14ac:dyDescent="0.3">
      <c r="B41" s="62" t="s">
        <v>1113</v>
      </c>
      <c r="C41" s="50">
        <v>9000000</v>
      </c>
      <c r="D41" s="64"/>
      <c r="E41" s="64"/>
      <c r="F41" s="64"/>
      <c r="G41" s="64"/>
      <c r="H41" s="64"/>
      <c r="I41" s="64"/>
    </row>
    <row r="42" spans="2:9" x14ac:dyDescent="0.3">
      <c r="B42" s="62" t="s">
        <v>1114</v>
      </c>
      <c r="C42" s="50">
        <v>850000</v>
      </c>
      <c r="D42" s="64"/>
      <c r="E42" s="64"/>
      <c r="F42" s="64"/>
      <c r="G42" s="64"/>
      <c r="H42" s="64"/>
      <c r="I42" s="64"/>
    </row>
    <row r="43" spans="2:9" x14ac:dyDescent="0.3">
      <c r="B43" s="62" t="s">
        <v>1115</v>
      </c>
      <c r="C43" s="50">
        <v>6000000</v>
      </c>
      <c r="D43" s="64"/>
      <c r="E43" s="64"/>
      <c r="F43" s="64"/>
      <c r="G43" s="64"/>
      <c r="H43" s="64"/>
      <c r="I43" s="64"/>
    </row>
    <row r="44" spans="2:9" x14ac:dyDescent="0.3">
      <c r="B44" s="62" t="s">
        <v>1116</v>
      </c>
      <c r="C44" s="50">
        <v>900000</v>
      </c>
      <c r="D44" s="64"/>
      <c r="E44" s="64"/>
      <c r="F44" s="64"/>
      <c r="G44" s="64"/>
      <c r="H44" s="64"/>
      <c r="I44" s="64"/>
    </row>
    <row r="45" spans="2:9" x14ac:dyDescent="0.3">
      <c r="B45" s="62" t="s">
        <v>1117</v>
      </c>
      <c r="C45" s="50">
        <v>2000000</v>
      </c>
      <c r="D45" s="64"/>
      <c r="E45" s="64"/>
      <c r="F45" s="64"/>
      <c r="G45" s="64"/>
      <c r="H45" s="64"/>
      <c r="I45" s="64"/>
    </row>
    <row r="46" spans="2:9" x14ac:dyDescent="0.3">
      <c r="B46" s="62" t="s">
        <v>1118</v>
      </c>
      <c r="C46" s="50">
        <v>850000</v>
      </c>
      <c r="D46" s="64"/>
      <c r="E46" s="64"/>
      <c r="F46" s="64"/>
      <c r="G46" s="64"/>
      <c r="H46" s="64"/>
      <c r="I46" s="64"/>
    </row>
    <row r="47" spans="2:9" x14ac:dyDescent="0.3">
      <c r="B47" s="62" t="s">
        <v>1119</v>
      </c>
      <c r="C47" s="50">
        <v>900000</v>
      </c>
      <c r="D47" s="64"/>
      <c r="E47" s="64"/>
      <c r="F47" s="64"/>
      <c r="G47" s="64"/>
      <c r="H47" s="64"/>
      <c r="I47" s="64"/>
    </row>
    <row r="48" spans="2:9" x14ac:dyDescent="0.3">
      <c r="B48" s="62" t="s">
        <v>1120</v>
      </c>
      <c r="C48" s="50">
        <v>850000</v>
      </c>
      <c r="D48" s="64"/>
      <c r="E48" s="64"/>
      <c r="F48" s="64"/>
      <c r="G48" s="64"/>
      <c r="H48" s="64"/>
      <c r="I48" s="64"/>
    </row>
    <row r="49" spans="2:9" x14ac:dyDescent="0.3">
      <c r="B49" s="62" t="s">
        <v>1121</v>
      </c>
      <c r="C49" s="50">
        <v>1000000</v>
      </c>
      <c r="D49" s="64"/>
      <c r="E49" s="64"/>
      <c r="F49" s="64"/>
      <c r="G49" s="64"/>
      <c r="H49" s="64"/>
      <c r="I49" s="64"/>
    </row>
    <row r="50" spans="2:9" x14ac:dyDescent="0.3">
      <c r="B50" s="62" t="s">
        <v>1122</v>
      </c>
      <c r="C50" s="50">
        <v>850000</v>
      </c>
      <c r="D50" s="64"/>
      <c r="E50" s="64"/>
      <c r="F50" s="64"/>
      <c r="G50" s="64"/>
      <c r="H50" s="64"/>
      <c r="I50" s="64"/>
    </row>
    <row r="51" spans="2:9" x14ac:dyDescent="0.3">
      <c r="B51" s="62" t="s">
        <v>1123</v>
      </c>
      <c r="C51" s="50">
        <v>1000000</v>
      </c>
      <c r="D51" s="64"/>
      <c r="E51" s="64"/>
      <c r="F51" s="64"/>
      <c r="G51" s="64"/>
      <c r="H51" s="64"/>
      <c r="I51" s="64"/>
    </row>
    <row r="52" spans="2:9" x14ac:dyDescent="0.3">
      <c r="B52" s="62" t="s">
        <v>1124</v>
      </c>
      <c r="C52" s="50">
        <v>8000000</v>
      </c>
      <c r="D52" s="64"/>
      <c r="E52" s="64"/>
      <c r="F52" s="64"/>
      <c r="G52" s="64"/>
      <c r="H52" s="64"/>
      <c r="I52" s="64"/>
    </row>
    <row r="53" spans="2:9" x14ac:dyDescent="0.3">
      <c r="B53" s="62" t="s">
        <v>1125</v>
      </c>
      <c r="C53" s="50">
        <v>847321</v>
      </c>
      <c r="D53" s="64"/>
      <c r="E53" s="64"/>
      <c r="F53" s="64"/>
      <c r="G53" s="64"/>
      <c r="H53" s="64"/>
      <c r="I53" s="64"/>
    </row>
    <row r="54" spans="2:9" x14ac:dyDescent="0.3">
      <c r="B54" s="62" t="s">
        <v>1126</v>
      </c>
      <c r="C54" s="50">
        <v>850000</v>
      </c>
      <c r="D54" s="64"/>
      <c r="E54" s="64"/>
      <c r="F54" s="64"/>
      <c r="G54" s="64"/>
      <c r="H54" s="64"/>
      <c r="I54" s="64"/>
    </row>
    <row r="55" spans="2:9" x14ac:dyDescent="0.3">
      <c r="B55" s="62" t="s">
        <v>1127</v>
      </c>
      <c r="C55" s="50">
        <v>2000000</v>
      </c>
      <c r="D55" s="64"/>
      <c r="E55" s="64"/>
      <c r="F55" s="64"/>
      <c r="G55" s="64"/>
      <c r="H55" s="64"/>
      <c r="I55" s="64"/>
    </row>
    <row r="56" spans="2:9" x14ac:dyDescent="0.3">
      <c r="B56" s="62" t="s">
        <v>1128</v>
      </c>
      <c r="C56" s="50">
        <v>1750000</v>
      </c>
      <c r="D56" s="64"/>
      <c r="E56" s="64"/>
      <c r="F56" s="64"/>
      <c r="G56" s="64"/>
      <c r="H56" s="64"/>
      <c r="I56" s="64"/>
    </row>
    <row r="57" spans="2:9" x14ac:dyDescent="0.3">
      <c r="B57" s="62" t="s">
        <v>1129</v>
      </c>
      <c r="C57" s="50">
        <v>2000000</v>
      </c>
      <c r="D57" s="64"/>
      <c r="E57" s="64"/>
      <c r="F57" s="64"/>
      <c r="G57" s="64"/>
      <c r="H57" s="64"/>
      <c r="I57" s="64"/>
    </row>
    <row r="58" spans="2:9" x14ac:dyDescent="0.3">
      <c r="B58" s="62" t="s">
        <v>1130</v>
      </c>
      <c r="C58" s="50">
        <v>1000000</v>
      </c>
      <c r="D58" s="64"/>
      <c r="E58" s="64"/>
      <c r="F58" s="64"/>
      <c r="G58" s="64"/>
      <c r="H58" s="64"/>
      <c r="I58" s="64"/>
    </row>
    <row r="59" spans="2:9" x14ac:dyDescent="0.3">
      <c r="B59" s="62" t="s">
        <v>1131</v>
      </c>
      <c r="C59" s="50">
        <v>848000</v>
      </c>
      <c r="D59" s="64"/>
      <c r="E59" s="64"/>
      <c r="F59" s="64"/>
      <c r="G59" s="64"/>
      <c r="H59" s="64"/>
      <c r="I59" s="64"/>
    </row>
    <row r="60" spans="2:9" x14ac:dyDescent="0.3">
      <c r="B60" s="62" t="s">
        <v>1132</v>
      </c>
      <c r="C60" s="50">
        <v>1100000</v>
      </c>
      <c r="D60" s="64"/>
      <c r="E60" s="64"/>
      <c r="F60" s="64"/>
      <c r="G60" s="64"/>
      <c r="H60" s="64"/>
      <c r="I60" s="64"/>
    </row>
    <row r="61" spans="2:9" x14ac:dyDescent="0.3">
      <c r="B61" s="62" t="s">
        <v>1133</v>
      </c>
      <c r="C61" s="50">
        <v>5000000</v>
      </c>
      <c r="D61" s="64"/>
      <c r="E61" s="64"/>
      <c r="F61" s="64"/>
      <c r="G61" s="64"/>
      <c r="H61" s="64"/>
      <c r="I61" s="64"/>
    </row>
    <row r="62" spans="2:9" x14ac:dyDescent="0.3">
      <c r="B62" s="62" t="s">
        <v>1134</v>
      </c>
      <c r="C62" s="50">
        <v>2000000</v>
      </c>
      <c r="D62" s="64"/>
      <c r="E62" s="64"/>
      <c r="F62" s="64"/>
      <c r="G62" s="64"/>
      <c r="H62" s="64"/>
      <c r="I62" s="64"/>
    </row>
    <row r="63" spans="2:9" x14ac:dyDescent="0.3">
      <c r="B63" s="62" t="s">
        <v>1135</v>
      </c>
      <c r="C63" s="50">
        <v>850000</v>
      </c>
      <c r="D63" s="64"/>
      <c r="E63" s="64"/>
      <c r="F63" s="64"/>
      <c r="G63" s="64"/>
      <c r="H63" s="64"/>
      <c r="I63" s="64"/>
    </row>
    <row r="64" spans="2:9" x14ac:dyDescent="0.3">
      <c r="B64" s="62" t="s">
        <v>1136</v>
      </c>
      <c r="C64" s="50">
        <v>23123456</v>
      </c>
      <c r="D64" s="64"/>
      <c r="E64" s="64"/>
      <c r="F64" s="64"/>
      <c r="G64" s="64"/>
      <c r="H64" s="64"/>
      <c r="I64" s="64"/>
    </row>
    <row r="65" spans="2:9" x14ac:dyDescent="0.3">
      <c r="B65" s="62" t="s">
        <v>1137</v>
      </c>
      <c r="C65" s="50">
        <v>99999999</v>
      </c>
      <c r="D65" s="64"/>
      <c r="E65" s="64"/>
      <c r="F65" s="64"/>
      <c r="G65" s="64"/>
      <c r="H65" s="64"/>
      <c r="I65" s="64"/>
    </row>
    <row r="66" spans="2:9" x14ac:dyDescent="0.3">
      <c r="B66" s="62" t="s">
        <v>1138</v>
      </c>
      <c r="C66" s="50">
        <v>255000</v>
      </c>
      <c r="D66" s="64"/>
      <c r="E66" s="64"/>
      <c r="F66" s="64"/>
      <c r="G66" s="64"/>
      <c r="H66" s="64"/>
      <c r="I66" s="64"/>
    </row>
    <row r="67" spans="2:9" x14ac:dyDescent="0.3">
      <c r="B67" s="62" t="s">
        <v>1139</v>
      </c>
      <c r="C67" s="50">
        <v>18780000</v>
      </c>
      <c r="D67" s="64"/>
      <c r="E67" s="64"/>
      <c r="F67" s="64"/>
      <c r="G67" s="64"/>
      <c r="H67" s="64"/>
      <c r="I67" s="64"/>
    </row>
    <row r="68" spans="2:9" x14ac:dyDescent="0.3">
      <c r="B68" s="202" t="s">
        <v>1140</v>
      </c>
      <c r="C68" s="202"/>
      <c r="D68" s="202"/>
      <c r="E68" s="202"/>
      <c r="F68" s="202"/>
      <c r="G68" s="202"/>
      <c r="H68" s="202"/>
      <c r="I68" s="202"/>
    </row>
    <row r="69" spans="2:9" x14ac:dyDescent="0.3">
      <c r="B69" s="62" t="s">
        <v>1141</v>
      </c>
      <c r="C69" s="50">
        <v>4250000</v>
      </c>
      <c r="D69" s="62" t="s">
        <v>1147</v>
      </c>
      <c r="E69" s="50">
        <v>1800000</v>
      </c>
      <c r="F69" s="64"/>
      <c r="G69" s="64"/>
      <c r="H69" s="64"/>
      <c r="I69" s="64"/>
    </row>
    <row r="70" spans="2:9" x14ac:dyDescent="0.3">
      <c r="B70" s="62" t="s">
        <v>1142</v>
      </c>
      <c r="C70" s="50">
        <v>1000000</v>
      </c>
      <c r="D70" s="64"/>
      <c r="E70" s="64"/>
      <c r="F70" s="64"/>
      <c r="G70" s="64"/>
      <c r="H70" s="64"/>
      <c r="I70" s="64"/>
    </row>
    <row r="71" spans="2:9" x14ac:dyDescent="0.3">
      <c r="B71" s="62" t="s">
        <v>1143</v>
      </c>
      <c r="C71" s="50">
        <v>29812345</v>
      </c>
      <c r="D71" s="64"/>
      <c r="E71" s="64"/>
      <c r="F71" s="64"/>
      <c r="G71" s="64"/>
      <c r="H71" s="64"/>
      <c r="I71" s="64"/>
    </row>
    <row r="72" spans="2:9" x14ac:dyDescent="0.3">
      <c r="B72" s="62" t="s">
        <v>1142</v>
      </c>
      <c r="C72" s="50">
        <v>1000000</v>
      </c>
      <c r="D72" s="64"/>
      <c r="E72" s="64"/>
      <c r="F72" s="64"/>
      <c r="G72" s="64"/>
      <c r="H72" s="64"/>
      <c r="I72" s="64"/>
    </row>
    <row r="73" spans="2:9" x14ac:dyDescent="0.3">
      <c r="B73" s="62" t="s">
        <v>1144</v>
      </c>
      <c r="C73" s="50">
        <v>90000000</v>
      </c>
      <c r="D73" s="64"/>
      <c r="E73" s="64"/>
      <c r="F73" s="64"/>
      <c r="G73" s="64"/>
      <c r="H73" s="64"/>
      <c r="I73" s="64"/>
    </row>
    <row r="74" spans="2:9" x14ac:dyDescent="0.3">
      <c r="B74" s="62" t="s">
        <v>1145</v>
      </c>
      <c r="C74" s="50">
        <v>100000000</v>
      </c>
      <c r="D74" s="64"/>
      <c r="E74" s="64"/>
      <c r="F74" s="64"/>
      <c r="G74" s="64"/>
      <c r="H74" s="64"/>
      <c r="I74" s="64"/>
    </row>
    <row r="75" spans="2:9" x14ac:dyDescent="0.3">
      <c r="B75" s="62" t="s">
        <v>1146</v>
      </c>
      <c r="C75" s="50">
        <v>100000000</v>
      </c>
      <c r="D75" s="64"/>
      <c r="E75" s="64"/>
      <c r="F75" s="64"/>
      <c r="G75" s="64"/>
      <c r="H75" s="64"/>
      <c r="I75" s="64"/>
    </row>
    <row r="76" spans="2:9" x14ac:dyDescent="0.3">
      <c r="B76" s="62" t="s">
        <v>1148</v>
      </c>
      <c r="C76" s="50">
        <v>12000000</v>
      </c>
      <c r="D76" s="64"/>
      <c r="E76" s="64"/>
      <c r="F76" s="64"/>
      <c r="G76" s="64"/>
      <c r="H76" s="64"/>
      <c r="I76" s="64"/>
    </row>
    <row r="77" spans="2:9" x14ac:dyDescent="0.3">
      <c r="B77" s="62" t="s">
        <v>1149</v>
      </c>
      <c r="C77" s="50">
        <v>10800000</v>
      </c>
      <c r="D77" s="64"/>
      <c r="E77" s="64"/>
      <c r="F77" s="64"/>
      <c r="G77" s="64"/>
      <c r="H77" s="64"/>
      <c r="I77" s="64"/>
    </row>
    <row r="78" spans="2:9" x14ac:dyDescent="0.3">
      <c r="B78" s="62" t="s">
        <v>1150</v>
      </c>
      <c r="C78" s="50">
        <v>10800000</v>
      </c>
      <c r="D78" s="64"/>
      <c r="E78" s="64"/>
      <c r="F78" s="64"/>
      <c r="G78" s="64"/>
      <c r="H78" s="64"/>
      <c r="I78" s="64"/>
    </row>
    <row r="79" spans="2:9" x14ac:dyDescent="0.3">
      <c r="B79" s="62" t="s">
        <v>1151</v>
      </c>
      <c r="C79" s="50">
        <v>10800986</v>
      </c>
      <c r="D79" s="64"/>
      <c r="E79" s="64"/>
      <c r="F79" s="64"/>
      <c r="G79" s="64"/>
      <c r="H79" s="64"/>
      <c r="I79" s="64"/>
    </row>
    <row r="80" spans="2:9" x14ac:dyDescent="0.3">
      <c r="B80" s="62" t="s">
        <v>1152</v>
      </c>
      <c r="C80" s="50">
        <v>7560000</v>
      </c>
      <c r="D80" s="64"/>
      <c r="E80" s="64"/>
      <c r="F80" s="64"/>
      <c r="G80" s="64"/>
      <c r="H80" s="64"/>
      <c r="I80" s="64"/>
    </row>
    <row r="81" spans="1:9" x14ac:dyDescent="0.3">
      <c r="B81" s="62" t="s">
        <v>1517</v>
      </c>
      <c r="C81" s="50">
        <v>22000000</v>
      </c>
      <c r="D81" s="64"/>
      <c r="E81" s="64"/>
      <c r="F81" s="64"/>
      <c r="G81" s="64"/>
      <c r="H81" s="64"/>
      <c r="I81" s="64"/>
    </row>
    <row r="82" spans="1:9" x14ac:dyDescent="0.3">
      <c r="B82" s="62" t="s">
        <v>1531</v>
      </c>
      <c r="C82" s="50">
        <v>1800000</v>
      </c>
      <c r="D82" s="64"/>
      <c r="E82" s="64"/>
      <c r="F82" s="64"/>
      <c r="G82" s="64"/>
      <c r="H82" s="64"/>
      <c r="I82" s="64"/>
    </row>
    <row r="83" spans="1:9" x14ac:dyDescent="0.3">
      <c r="B83" s="62" t="s">
        <v>1602</v>
      </c>
      <c r="C83" s="50">
        <v>61111111</v>
      </c>
      <c r="D83" s="64"/>
      <c r="E83" s="64"/>
      <c r="F83" s="64"/>
      <c r="G83" s="64"/>
      <c r="H83" s="64"/>
      <c r="I83" s="64"/>
    </row>
    <row r="84" spans="1:9" x14ac:dyDescent="0.3">
      <c r="B84" s="62" t="s">
        <v>1677</v>
      </c>
      <c r="C84" s="50">
        <v>5000000</v>
      </c>
      <c r="D84" s="64"/>
      <c r="E84" s="64"/>
      <c r="F84" s="64"/>
      <c r="G84" s="64"/>
      <c r="H84" s="64"/>
      <c r="I84" s="64"/>
    </row>
    <row r="85" spans="1:9" ht="31.2" customHeight="1" x14ac:dyDescent="0.6">
      <c r="A85" s="65" t="s">
        <v>1153</v>
      </c>
      <c r="B85" s="120">
        <f>COUNTA(B12:B84)-4</f>
        <v>69</v>
      </c>
      <c r="C85" s="67">
        <f>SUM(C16:C84)</f>
        <v>1303365375</v>
      </c>
      <c r="D85" s="68">
        <f ca="1">COUNTA(D12:D85)</f>
        <v>0</v>
      </c>
      <c r="E85" s="69">
        <f>SUM(E12:E24)</f>
        <v>5940000</v>
      </c>
      <c r="F85" s="68">
        <f>COUNTA(F12:F24)</f>
        <v>2</v>
      </c>
      <c r="G85" s="69">
        <f>SUM(G12:G24)</f>
        <v>7575000</v>
      </c>
      <c r="H85" s="70"/>
      <c r="I85" s="69"/>
    </row>
    <row r="89" spans="1:9" ht="25.8" x14ac:dyDescent="0.5">
      <c r="A89" s="71"/>
      <c r="B89" s="72" t="s">
        <v>74</v>
      </c>
      <c r="C89" s="73"/>
      <c r="D89" s="74"/>
      <c r="E89" s="75"/>
      <c r="F89" s="75"/>
      <c r="G89" s="75"/>
      <c r="H89" s="74"/>
      <c r="I89" s="75"/>
    </row>
    <row r="90" spans="1:9" x14ac:dyDescent="0.3">
      <c r="A90" s="71"/>
      <c r="B90" s="76" t="s">
        <v>1075</v>
      </c>
      <c r="C90" s="77" t="s">
        <v>1076</v>
      </c>
      <c r="D90" s="78" t="s">
        <v>1077</v>
      </c>
      <c r="E90" s="79" t="s">
        <v>1076</v>
      </c>
      <c r="F90" s="79" t="s">
        <v>1078</v>
      </c>
      <c r="G90" s="79" t="s">
        <v>1076</v>
      </c>
      <c r="H90" s="78" t="s">
        <v>1079</v>
      </c>
      <c r="I90" s="79" t="s">
        <v>1076</v>
      </c>
    </row>
    <row r="91" spans="1:9" x14ac:dyDescent="0.3">
      <c r="A91" s="71"/>
      <c r="B91" s="203" t="s">
        <v>1080</v>
      </c>
      <c r="C91" s="203"/>
      <c r="D91" s="203"/>
      <c r="E91" s="203"/>
      <c r="F91" s="203"/>
      <c r="G91" s="203"/>
      <c r="H91" s="203"/>
      <c r="I91" s="203"/>
    </row>
    <row r="92" spans="1:9" x14ac:dyDescent="0.3">
      <c r="A92" s="71"/>
      <c r="B92" s="62" t="s">
        <v>1154</v>
      </c>
      <c r="C92" s="80">
        <v>1700000</v>
      </c>
      <c r="D92" s="81" t="s">
        <v>1155</v>
      </c>
      <c r="E92" s="82">
        <v>1600000</v>
      </c>
      <c r="F92" s="82"/>
      <c r="G92" s="82"/>
      <c r="H92" s="81"/>
      <c r="I92" s="82"/>
    </row>
    <row r="93" spans="1:9" x14ac:dyDescent="0.3">
      <c r="A93" s="71"/>
      <c r="B93" s="62" t="s">
        <v>1156</v>
      </c>
      <c r="C93" s="80">
        <v>3000000</v>
      </c>
      <c r="D93" s="81"/>
      <c r="E93" s="82"/>
      <c r="F93" s="82"/>
      <c r="G93" s="82"/>
      <c r="H93" s="81"/>
      <c r="I93" s="82"/>
    </row>
    <row r="94" spans="1:9" x14ac:dyDescent="0.3">
      <c r="A94" s="71"/>
      <c r="B94" s="62" t="s">
        <v>1157</v>
      </c>
      <c r="C94" s="80">
        <v>2352000</v>
      </c>
      <c r="D94" s="81"/>
      <c r="E94" s="82"/>
      <c r="F94" s="82"/>
      <c r="G94" s="82"/>
      <c r="H94" s="81"/>
      <c r="I94" s="82"/>
    </row>
    <row r="95" spans="1:9" x14ac:dyDescent="0.3">
      <c r="A95" s="71"/>
      <c r="B95" s="62" t="s">
        <v>1158</v>
      </c>
      <c r="C95" s="80">
        <v>1950000</v>
      </c>
      <c r="D95" s="81"/>
      <c r="E95" s="82"/>
      <c r="F95" s="82"/>
      <c r="G95" s="82"/>
      <c r="H95" s="81"/>
      <c r="I95" s="82"/>
    </row>
    <row r="96" spans="1:9" x14ac:dyDescent="0.3">
      <c r="A96" s="71"/>
      <c r="B96" s="62" t="s">
        <v>1159</v>
      </c>
      <c r="C96" s="80">
        <v>2450000</v>
      </c>
      <c r="D96" s="81"/>
      <c r="E96" s="82"/>
      <c r="F96" s="82"/>
      <c r="G96" s="82"/>
      <c r="H96" s="81"/>
      <c r="I96" s="82"/>
    </row>
    <row r="97" spans="1:9" x14ac:dyDescent="0.3">
      <c r="A97" s="71"/>
      <c r="B97" s="62" t="s">
        <v>1160</v>
      </c>
      <c r="C97" s="80">
        <v>450000</v>
      </c>
      <c r="D97" s="81"/>
      <c r="E97" s="82"/>
      <c r="F97" s="82"/>
      <c r="G97" s="82"/>
      <c r="H97" s="81"/>
      <c r="I97" s="82"/>
    </row>
    <row r="98" spans="1:9" x14ac:dyDescent="0.3">
      <c r="A98" s="71"/>
      <c r="B98" s="62" t="s">
        <v>1155</v>
      </c>
      <c r="C98" s="80">
        <v>1600000</v>
      </c>
      <c r="D98" s="81"/>
      <c r="E98" s="82"/>
      <c r="F98" s="82"/>
      <c r="G98" s="82"/>
      <c r="H98" s="81"/>
      <c r="I98" s="82"/>
    </row>
    <row r="99" spans="1:9" x14ac:dyDescent="0.3">
      <c r="A99" s="71"/>
      <c r="B99" s="62" t="s">
        <v>1161</v>
      </c>
      <c r="C99" s="80">
        <v>1500000</v>
      </c>
      <c r="D99" s="81"/>
      <c r="E99" s="82"/>
      <c r="F99" s="82"/>
      <c r="G99" s="82"/>
      <c r="H99" s="81"/>
      <c r="I99" s="82"/>
    </row>
    <row r="100" spans="1:9" x14ac:dyDescent="0.3">
      <c r="A100" s="71"/>
      <c r="B100" s="202" t="s">
        <v>1097</v>
      </c>
      <c r="C100" s="202"/>
      <c r="D100" s="202"/>
      <c r="E100" s="202"/>
      <c r="F100" s="202"/>
      <c r="G100" s="202"/>
      <c r="H100" s="202"/>
      <c r="I100" s="202"/>
    </row>
    <row r="101" spans="1:9" x14ac:dyDescent="0.3">
      <c r="A101" s="71"/>
      <c r="B101" s="62" t="s">
        <v>1162</v>
      </c>
      <c r="C101" s="80">
        <v>15300000</v>
      </c>
      <c r="D101" s="83" t="s">
        <v>1163</v>
      </c>
      <c r="E101" s="84">
        <v>4001234</v>
      </c>
      <c r="F101" s="82"/>
      <c r="G101" s="82"/>
      <c r="H101" s="81"/>
      <c r="I101" s="82"/>
    </row>
    <row r="102" spans="1:9" x14ac:dyDescent="0.3">
      <c r="A102" s="71"/>
      <c r="B102" s="62" t="s">
        <v>1164</v>
      </c>
      <c r="C102" s="80">
        <v>15000000</v>
      </c>
      <c r="D102" s="81"/>
      <c r="E102" s="82"/>
      <c r="F102" s="82"/>
      <c r="G102" s="82"/>
      <c r="H102" s="81"/>
      <c r="I102" s="82"/>
    </row>
    <row r="103" spans="1:9" x14ac:dyDescent="0.3">
      <c r="A103" s="71"/>
      <c r="B103" s="62" t="s">
        <v>1165</v>
      </c>
      <c r="C103" s="80">
        <v>25000000</v>
      </c>
      <c r="D103" s="81"/>
      <c r="E103" s="82"/>
      <c r="F103" s="82"/>
      <c r="G103" s="82"/>
      <c r="H103" s="81"/>
      <c r="I103" s="82"/>
    </row>
    <row r="104" spans="1:9" x14ac:dyDescent="0.3">
      <c r="A104" s="71"/>
      <c r="B104" s="62" t="s">
        <v>1166</v>
      </c>
      <c r="C104" s="80">
        <v>10000000</v>
      </c>
      <c r="D104" s="81"/>
      <c r="E104" s="82"/>
      <c r="F104" s="82"/>
      <c r="G104" s="82"/>
      <c r="H104" s="81"/>
      <c r="I104" s="82"/>
    </row>
    <row r="105" spans="1:9" x14ac:dyDescent="0.3">
      <c r="A105" s="71"/>
      <c r="B105" s="62" t="s">
        <v>1167</v>
      </c>
      <c r="C105" s="80">
        <v>10000000</v>
      </c>
      <c r="D105" s="81"/>
      <c r="E105" s="82"/>
      <c r="F105" s="82"/>
      <c r="G105" s="82"/>
      <c r="H105" s="81"/>
      <c r="I105" s="82"/>
    </row>
    <row r="106" spans="1:9" x14ac:dyDescent="0.3">
      <c r="A106" s="71"/>
      <c r="B106" s="62" t="s">
        <v>1168</v>
      </c>
      <c r="C106" s="80">
        <v>3400000</v>
      </c>
      <c r="D106" s="81"/>
      <c r="E106" s="82"/>
      <c r="F106" s="82"/>
      <c r="G106" s="82"/>
      <c r="H106" s="81"/>
      <c r="I106" s="82"/>
    </row>
    <row r="107" spans="1:9" x14ac:dyDescent="0.3">
      <c r="A107" s="71"/>
      <c r="B107" s="62" t="s">
        <v>1169</v>
      </c>
      <c r="C107" s="80">
        <v>1600000</v>
      </c>
      <c r="D107" s="81"/>
      <c r="E107" s="82"/>
      <c r="F107" s="82"/>
      <c r="G107" s="82"/>
      <c r="H107" s="81"/>
      <c r="I107" s="82"/>
    </row>
    <row r="108" spans="1:9" x14ac:dyDescent="0.3">
      <c r="A108" s="71"/>
      <c r="B108" s="62" t="s">
        <v>1170</v>
      </c>
      <c r="C108" s="80">
        <v>1500000</v>
      </c>
      <c r="D108" s="81"/>
      <c r="E108" s="82"/>
      <c r="F108" s="82"/>
      <c r="G108" s="82"/>
      <c r="H108" s="81"/>
      <c r="I108" s="82"/>
    </row>
    <row r="109" spans="1:9" x14ac:dyDescent="0.3">
      <c r="A109" s="71"/>
      <c r="B109" s="62" t="s">
        <v>1171</v>
      </c>
      <c r="C109" s="80">
        <v>1600000</v>
      </c>
      <c r="D109" s="81"/>
      <c r="E109" s="82"/>
      <c r="F109" s="82"/>
      <c r="G109" s="82"/>
      <c r="H109" s="81"/>
      <c r="I109" s="82"/>
    </row>
    <row r="110" spans="1:9" x14ac:dyDescent="0.3">
      <c r="A110" s="71"/>
      <c r="B110" s="62" t="s">
        <v>1172</v>
      </c>
      <c r="C110" s="80">
        <v>5679000</v>
      </c>
      <c r="D110" s="81"/>
      <c r="E110" s="82"/>
      <c r="F110" s="82"/>
      <c r="G110" s="82"/>
      <c r="H110" s="81"/>
      <c r="I110" s="82"/>
    </row>
    <row r="111" spans="1:9" x14ac:dyDescent="0.3">
      <c r="A111" s="71"/>
      <c r="B111" s="62" t="s">
        <v>1173</v>
      </c>
      <c r="C111" s="80">
        <v>8536680</v>
      </c>
      <c r="D111" s="81"/>
      <c r="E111" s="82"/>
      <c r="F111" s="82"/>
      <c r="G111" s="82"/>
      <c r="H111" s="81"/>
      <c r="I111" s="82"/>
    </row>
    <row r="112" spans="1:9" x14ac:dyDescent="0.3">
      <c r="A112" s="71"/>
      <c r="B112" s="62" t="s">
        <v>1174</v>
      </c>
      <c r="C112" s="80">
        <v>1600000</v>
      </c>
      <c r="D112" s="81"/>
      <c r="E112" s="82"/>
      <c r="F112" s="82"/>
      <c r="G112" s="82"/>
      <c r="H112" s="81"/>
      <c r="I112" s="82"/>
    </row>
    <row r="113" spans="1:10" x14ac:dyDescent="0.3">
      <c r="A113" s="71"/>
      <c r="B113" s="85" t="s">
        <v>1175</v>
      </c>
      <c r="C113" s="86">
        <v>1600000</v>
      </c>
      <c r="D113" s="81"/>
      <c r="E113" s="82"/>
      <c r="F113" s="82"/>
      <c r="G113" s="82"/>
      <c r="H113" s="81"/>
      <c r="I113" s="82"/>
    </row>
    <row r="114" spans="1:10" x14ac:dyDescent="0.3">
      <c r="A114" s="71"/>
      <c r="B114" s="85" t="s">
        <v>1176</v>
      </c>
      <c r="C114" s="86">
        <v>3400000</v>
      </c>
      <c r="D114" s="81"/>
      <c r="E114" s="82"/>
      <c r="F114" s="82"/>
      <c r="G114" s="82"/>
      <c r="H114" s="81"/>
      <c r="I114" s="82"/>
    </row>
    <row r="115" spans="1:10" x14ac:dyDescent="0.3">
      <c r="A115" s="71"/>
      <c r="B115" s="85" t="s">
        <v>1176</v>
      </c>
      <c r="C115" s="86">
        <v>3400000</v>
      </c>
      <c r="D115" s="81"/>
      <c r="E115" s="82"/>
      <c r="F115" s="82"/>
      <c r="G115" s="82"/>
      <c r="H115" s="81"/>
      <c r="I115" s="82"/>
    </row>
    <row r="116" spans="1:10" x14ac:dyDescent="0.3">
      <c r="A116" s="71"/>
      <c r="B116" s="85" t="s">
        <v>1177</v>
      </c>
      <c r="C116" s="86">
        <v>1400000</v>
      </c>
      <c r="D116" s="81"/>
      <c r="E116" s="82"/>
      <c r="F116" s="82"/>
      <c r="G116" s="82"/>
      <c r="H116" s="81"/>
      <c r="I116" s="82"/>
    </row>
    <row r="117" spans="1:10" x14ac:dyDescent="0.3">
      <c r="A117" s="71"/>
      <c r="B117" s="202" t="s">
        <v>1103</v>
      </c>
      <c r="C117" s="202"/>
      <c r="D117" s="202"/>
      <c r="E117" s="202"/>
      <c r="F117" s="202"/>
      <c r="G117" s="202"/>
      <c r="H117" s="202"/>
      <c r="I117" s="202"/>
    </row>
    <row r="118" spans="1:10" s="42" customFormat="1" x14ac:dyDescent="0.3">
      <c r="A118" s="87"/>
      <c r="B118" s="62" t="s">
        <v>1178</v>
      </c>
      <c r="C118" s="86">
        <v>1700000</v>
      </c>
      <c r="D118" s="64" t="s">
        <v>1179</v>
      </c>
      <c r="E118" s="84">
        <v>1700000</v>
      </c>
      <c r="F118" s="64"/>
      <c r="G118" s="64"/>
      <c r="H118" s="64"/>
      <c r="I118" s="64"/>
      <c r="J118" s="89"/>
    </row>
    <row r="119" spans="1:10" s="42" customFormat="1" x14ac:dyDescent="0.3">
      <c r="A119" s="87"/>
      <c r="B119" s="62" t="s">
        <v>1180</v>
      </c>
      <c r="C119" s="86">
        <v>977600</v>
      </c>
      <c r="D119" s="64"/>
      <c r="E119" s="84"/>
      <c r="F119" s="64"/>
      <c r="G119" s="64"/>
      <c r="H119" s="64"/>
      <c r="I119" s="64"/>
      <c r="J119" s="89"/>
    </row>
    <row r="120" spans="1:10" s="42" customFormat="1" x14ac:dyDescent="0.3">
      <c r="A120" s="87"/>
      <c r="B120" s="62" t="s">
        <v>1181</v>
      </c>
      <c r="C120" s="86">
        <v>25218575</v>
      </c>
      <c r="D120" s="64"/>
      <c r="E120" s="84"/>
      <c r="F120" s="64"/>
      <c r="G120" s="64"/>
      <c r="H120" s="64"/>
      <c r="I120" s="64"/>
      <c r="J120" s="89"/>
    </row>
    <row r="121" spans="1:10" s="42" customFormat="1" x14ac:dyDescent="0.3">
      <c r="A121" s="87"/>
      <c r="B121" s="62" t="s">
        <v>1182</v>
      </c>
      <c r="C121" s="86">
        <v>25000000</v>
      </c>
      <c r="D121" s="64"/>
      <c r="E121" s="84"/>
      <c r="F121" s="64"/>
      <c r="G121" s="64"/>
      <c r="H121" s="64"/>
      <c r="I121" s="64"/>
      <c r="J121" s="89"/>
    </row>
    <row r="122" spans="1:10" s="42" customFormat="1" x14ac:dyDescent="0.3">
      <c r="A122" s="87"/>
      <c r="B122" s="62" t="s">
        <v>1183</v>
      </c>
      <c r="C122" s="86">
        <v>25000000</v>
      </c>
      <c r="D122" s="64"/>
      <c r="E122" s="84"/>
      <c r="F122" s="64"/>
      <c r="G122" s="64"/>
      <c r="H122" s="64"/>
      <c r="I122" s="64"/>
      <c r="J122" s="89"/>
    </row>
    <row r="123" spans="1:10" s="42" customFormat="1" x14ac:dyDescent="0.3">
      <c r="A123" s="87"/>
      <c r="B123" s="202" t="s">
        <v>1140</v>
      </c>
      <c r="C123" s="202"/>
      <c r="D123" s="202"/>
      <c r="E123" s="202"/>
      <c r="F123" s="202"/>
      <c r="G123" s="202"/>
      <c r="H123" s="202"/>
      <c r="I123" s="202"/>
      <c r="J123" s="89"/>
    </row>
    <row r="124" spans="1:10" s="42" customFormat="1" x14ac:dyDescent="0.3">
      <c r="A124" s="87"/>
      <c r="B124" s="62" t="s">
        <v>1184</v>
      </c>
      <c r="C124" s="86">
        <v>2700000</v>
      </c>
      <c r="D124" s="64"/>
      <c r="E124" s="84"/>
      <c r="F124" s="64"/>
      <c r="G124" s="64"/>
      <c r="H124" s="64"/>
      <c r="I124" s="64"/>
      <c r="J124" s="89"/>
    </row>
    <row r="125" spans="1:10" s="42" customFormat="1" x14ac:dyDescent="0.3">
      <c r="A125" s="87"/>
      <c r="B125" s="62" t="s">
        <v>1185</v>
      </c>
      <c r="C125" s="86">
        <v>1600000</v>
      </c>
      <c r="D125" s="64"/>
      <c r="E125" s="84"/>
      <c r="F125" s="64"/>
      <c r="G125" s="64"/>
      <c r="H125" s="64"/>
      <c r="I125" s="64"/>
      <c r="J125" s="89"/>
    </row>
    <row r="126" spans="1:10" s="42" customFormat="1" x14ac:dyDescent="0.3">
      <c r="A126" s="87"/>
      <c r="B126" s="62" t="s">
        <v>1186</v>
      </c>
      <c r="C126" s="86">
        <v>2370000</v>
      </c>
      <c r="D126" s="64"/>
      <c r="E126" s="84"/>
      <c r="F126" s="64"/>
      <c r="G126" s="64"/>
      <c r="H126" s="64"/>
      <c r="I126" s="64"/>
      <c r="J126" s="89"/>
    </row>
    <row r="127" spans="1:10" s="42" customFormat="1" x14ac:dyDescent="0.3">
      <c r="A127" s="87"/>
      <c r="B127" s="62" t="s">
        <v>1187</v>
      </c>
      <c r="C127" s="86">
        <v>1755000</v>
      </c>
      <c r="D127" s="64"/>
      <c r="E127" s="84"/>
      <c r="F127" s="64"/>
      <c r="G127" s="64"/>
      <c r="H127" s="64"/>
      <c r="I127" s="64"/>
      <c r="J127" s="89"/>
    </row>
    <row r="128" spans="1:10" s="42" customFormat="1" x14ac:dyDescent="0.3">
      <c r="A128" s="87"/>
      <c r="B128" s="62" t="s">
        <v>1188</v>
      </c>
      <c r="C128" s="86">
        <v>1170000</v>
      </c>
      <c r="D128" s="64"/>
      <c r="E128" s="84"/>
      <c r="F128" s="64"/>
      <c r="G128" s="64"/>
      <c r="H128" s="64"/>
      <c r="I128" s="64"/>
      <c r="J128" s="89"/>
    </row>
    <row r="129" spans="1:9" ht="31.2" x14ac:dyDescent="0.6">
      <c r="A129" s="88" t="s">
        <v>1153</v>
      </c>
      <c r="B129" s="66">
        <f>COUNTA(B92:B128)-4</f>
        <v>33</v>
      </c>
      <c r="C129" s="67">
        <f>SUM(C93:C128)</f>
        <v>209808855</v>
      </c>
      <c r="D129" s="68">
        <f>COUNTA(D92:D108)</f>
        <v>2</v>
      </c>
      <c r="E129" s="69">
        <f>SUM(E92:E99)</f>
        <v>1600000</v>
      </c>
      <c r="F129" s="69"/>
      <c r="G129" s="69"/>
      <c r="H129" s="70"/>
      <c r="I129" s="69"/>
    </row>
    <row r="132" spans="1:9" ht="25.8" x14ac:dyDescent="0.5">
      <c r="A132" s="90"/>
      <c r="B132" s="49" t="s">
        <v>1189</v>
      </c>
      <c r="C132" s="50"/>
      <c r="D132" s="51"/>
      <c r="E132" s="52"/>
      <c r="F132" s="52"/>
      <c r="G132" s="52"/>
      <c r="H132" s="51"/>
      <c r="I132" s="52"/>
    </row>
    <row r="133" spans="1:9" x14ac:dyDescent="0.3">
      <c r="A133" s="90"/>
      <c r="B133" s="53" t="s">
        <v>1075</v>
      </c>
      <c r="C133" s="54" t="s">
        <v>1076</v>
      </c>
      <c r="D133" s="55" t="s">
        <v>1077</v>
      </c>
      <c r="E133" s="56" t="s">
        <v>1076</v>
      </c>
      <c r="F133" s="56" t="s">
        <v>1078</v>
      </c>
      <c r="G133" s="56" t="s">
        <v>1076</v>
      </c>
      <c r="H133" s="55" t="s">
        <v>1079</v>
      </c>
      <c r="I133" s="56" t="s">
        <v>1076</v>
      </c>
    </row>
    <row r="134" spans="1:9" x14ac:dyDescent="0.3">
      <c r="A134" s="90"/>
      <c r="B134" s="202" t="s">
        <v>1080</v>
      </c>
      <c r="C134" s="202"/>
      <c r="D134" s="202"/>
      <c r="E134" s="202"/>
      <c r="F134" s="202"/>
      <c r="G134" s="202"/>
      <c r="H134" s="202"/>
      <c r="I134" s="202"/>
    </row>
    <row r="135" spans="1:9" x14ac:dyDescent="0.3">
      <c r="A135" s="90"/>
      <c r="B135" s="57" t="s">
        <v>1190</v>
      </c>
      <c r="C135" s="58">
        <v>10111067</v>
      </c>
      <c r="D135" s="59" t="s">
        <v>1191</v>
      </c>
      <c r="E135" s="60">
        <v>15100000</v>
      </c>
      <c r="F135" s="52"/>
      <c r="G135" s="52"/>
      <c r="H135" s="51"/>
      <c r="I135" s="52"/>
    </row>
    <row r="136" spans="1:9" x14ac:dyDescent="0.3">
      <c r="A136" s="90"/>
      <c r="B136" s="57" t="s">
        <v>1192</v>
      </c>
      <c r="C136" s="58">
        <v>1900000</v>
      </c>
      <c r="D136" s="59" t="s">
        <v>1193</v>
      </c>
      <c r="E136" s="60">
        <v>15300000</v>
      </c>
      <c r="F136" s="52"/>
      <c r="G136" s="52"/>
      <c r="H136" s="51"/>
      <c r="I136" s="52"/>
    </row>
    <row r="137" spans="1:9" x14ac:dyDescent="0.3">
      <c r="A137" s="90"/>
      <c r="B137" s="57" t="s">
        <v>1194</v>
      </c>
      <c r="C137" s="58">
        <v>253362</v>
      </c>
      <c r="D137" s="59" t="s">
        <v>1195</v>
      </c>
      <c r="E137" s="60">
        <v>38500000</v>
      </c>
      <c r="F137" s="52"/>
      <c r="G137" s="52"/>
      <c r="H137" s="51"/>
      <c r="I137" s="52"/>
    </row>
    <row r="138" spans="1:9" x14ac:dyDescent="0.3">
      <c r="A138" s="90"/>
      <c r="B138" s="57" t="s">
        <v>1196</v>
      </c>
      <c r="C138" s="58">
        <v>450000</v>
      </c>
      <c r="D138" s="59" t="s">
        <v>1197</v>
      </c>
      <c r="E138" s="60">
        <v>1500000</v>
      </c>
      <c r="F138" s="52"/>
      <c r="G138" s="52"/>
      <c r="H138" s="51"/>
      <c r="I138" s="52"/>
    </row>
    <row r="139" spans="1:9" x14ac:dyDescent="0.3">
      <c r="A139" s="90"/>
      <c r="B139" s="57" t="s">
        <v>1198</v>
      </c>
      <c r="C139" s="58">
        <v>3220000</v>
      </c>
      <c r="D139" s="59"/>
      <c r="E139" s="60"/>
      <c r="F139" s="52"/>
      <c r="G139" s="52"/>
      <c r="H139" s="51"/>
      <c r="I139" s="52"/>
    </row>
    <row r="140" spans="1:9" x14ac:dyDescent="0.3">
      <c r="A140" s="90"/>
      <c r="B140" s="57" t="s">
        <v>1199</v>
      </c>
      <c r="C140" s="58">
        <v>1789967</v>
      </c>
      <c r="D140" s="59"/>
      <c r="E140" s="60"/>
      <c r="F140" s="52"/>
      <c r="G140" s="52"/>
      <c r="H140" s="51"/>
      <c r="I140" s="52"/>
    </row>
    <row r="141" spans="1:9" x14ac:dyDescent="0.3">
      <c r="A141" s="90"/>
      <c r="B141" s="202" t="s">
        <v>1097</v>
      </c>
      <c r="C141" s="202"/>
      <c r="D141" s="202"/>
      <c r="E141" s="202"/>
      <c r="F141" s="202"/>
      <c r="G141" s="202"/>
      <c r="H141" s="202"/>
      <c r="I141" s="202"/>
    </row>
    <row r="142" spans="1:9" x14ac:dyDescent="0.3">
      <c r="A142" s="90"/>
      <c r="B142" s="57" t="s">
        <v>1200</v>
      </c>
      <c r="C142" s="58">
        <v>15000000</v>
      </c>
      <c r="D142" s="59"/>
      <c r="E142" s="60"/>
      <c r="F142" s="52"/>
      <c r="G142" s="52"/>
      <c r="H142" s="51"/>
      <c r="I142" s="52"/>
    </row>
    <row r="143" spans="1:9" x14ac:dyDescent="0.3">
      <c r="A143" s="90"/>
      <c r="B143" s="57" t="s">
        <v>1201</v>
      </c>
      <c r="C143" s="58">
        <v>25000000</v>
      </c>
      <c r="D143" s="59"/>
      <c r="E143" s="60"/>
      <c r="F143" s="52"/>
      <c r="G143" s="52"/>
      <c r="H143" s="51"/>
      <c r="I143" s="52"/>
    </row>
    <row r="144" spans="1:9" x14ac:dyDescent="0.3">
      <c r="A144" s="90"/>
      <c r="B144" s="61" t="s">
        <v>1202</v>
      </c>
      <c r="C144" s="50">
        <v>3000000</v>
      </c>
      <c r="D144" s="59"/>
      <c r="E144" s="60"/>
      <c r="F144" s="52"/>
      <c r="G144" s="52"/>
      <c r="H144" s="51"/>
      <c r="I144" s="52"/>
    </row>
    <row r="145" spans="1:9" x14ac:dyDescent="0.3">
      <c r="A145" s="90"/>
      <c r="B145" s="61" t="s">
        <v>1203</v>
      </c>
      <c r="C145" s="50">
        <v>2000000</v>
      </c>
      <c r="D145" s="59"/>
      <c r="E145" s="60"/>
      <c r="F145" s="52"/>
      <c r="G145" s="52"/>
      <c r="H145" s="51"/>
      <c r="I145" s="52"/>
    </row>
    <row r="146" spans="1:9" x14ac:dyDescent="0.3">
      <c r="A146" s="90"/>
      <c r="B146" s="61" t="s">
        <v>1204</v>
      </c>
      <c r="C146" s="50">
        <v>1500000</v>
      </c>
      <c r="D146" s="59"/>
      <c r="E146" s="60"/>
      <c r="F146" s="52"/>
      <c r="G146" s="52"/>
      <c r="H146" s="51"/>
      <c r="I146" s="52"/>
    </row>
    <row r="147" spans="1:9" x14ac:dyDescent="0.3">
      <c r="A147" s="90"/>
      <c r="B147" s="61" t="s">
        <v>1205</v>
      </c>
      <c r="C147" s="50">
        <v>2000000</v>
      </c>
      <c r="D147" s="59"/>
      <c r="E147" s="60"/>
      <c r="F147" s="52"/>
      <c r="G147" s="52"/>
      <c r="H147" s="51"/>
      <c r="I147" s="52"/>
    </row>
    <row r="148" spans="1:9" x14ac:dyDescent="0.3">
      <c r="A148" s="90"/>
      <c r="B148" s="61" t="s">
        <v>1206</v>
      </c>
      <c r="C148" s="50">
        <v>1000000</v>
      </c>
      <c r="D148" s="59"/>
      <c r="E148" s="60"/>
      <c r="F148" s="52"/>
      <c r="G148" s="52"/>
      <c r="H148" s="51"/>
      <c r="I148" s="52"/>
    </row>
    <row r="149" spans="1:9" x14ac:dyDescent="0.3">
      <c r="A149" s="90"/>
      <c r="B149" s="61" t="s">
        <v>1207</v>
      </c>
      <c r="C149" s="50">
        <v>3250000</v>
      </c>
      <c r="D149" s="59"/>
      <c r="E149" s="60"/>
      <c r="F149" s="52"/>
      <c r="G149" s="52"/>
      <c r="H149" s="51"/>
      <c r="I149" s="52"/>
    </row>
    <row r="150" spans="1:9" x14ac:dyDescent="0.3">
      <c r="A150" s="90"/>
      <c r="B150" s="61" t="s">
        <v>1208</v>
      </c>
      <c r="C150" s="50">
        <v>1500000</v>
      </c>
      <c r="D150" s="59"/>
      <c r="E150" s="60"/>
      <c r="F150" s="52"/>
      <c r="G150" s="52"/>
      <c r="H150" s="51"/>
      <c r="I150" s="52"/>
    </row>
    <row r="151" spans="1:9" x14ac:dyDescent="0.3">
      <c r="A151" s="90"/>
      <c r="B151" s="61" t="s">
        <v>1209</v>
      </c>
      <c r="C151" s="50">
        <v>1500000</v>
      </c>
      <c r="D151" s="59"/>
      <c r="E151" s="60"/>
      <c r="F151" s="52"/>
      <c r="G151" s="52"/>
      <c r="H151" s="51"/>
      <c r="I151" s="52"/>
    </row>
    <row r="152" spans="1:9" x14ac:dyDescent="0.3">
      <c r="A152" s="90"/>
      <c r="B152" s="61" t="s">
        <v>1210</v>
      </c>
      <c r="C152" s="50">
        <v>2800000</v>
      </c>
      <c r="D152" s="59"/>
      <c r="E152" s="60"/>
      <c r="F152" s="52"/>
      <c r="G152" s="52"/>
      <c r="H152" s="51"/>
      <c r="I152" s="52"/>
    </row>
    <row r="153" spans="1:9" x14ac:dyDescent="0.3">
      <c r="A153" s="90"/>
      <c r="B153" s="61" t="s">
        <v>1211</v>
      </c>
      <c r="C153" s="50">
        <v>3500000</v>
      </c>
      <c r="D153" s="59"/>
      <c r="E153" s="60"/>
      <c r="F153" s="52"/>
      <c r="G153" s="52"/>
      <c r="H153" s="51"/>
      <c r="I153" s="52"/>
    </row>
    <row r="154" spans="1:9" x14ac:dyDescent="0.3">
      <c r="A154" s="90"/>
      <c r="B154" s="202" t="s">
        <v>1140</v>
      </c>
      <c r="C154" s="202"/>
      <c r="D154" s="202"/>
      <c r="E154" s="202"/>
      <c r="F154" s="202"/>
      <c r="G154" s="202"/>
      <c r="H154" s="202"/>
      <c r="I154" s="202"/>
    </row>
    <row r="155" spans="1:9" x14ac:dyDescent="0.3">
      <c r="A155" s="90"/>
      <c r="B155" s="61" t="s">
        <v>1212</v>
      </c>
      <c r="C155" s="50">
        <v>4660000</v>
      </c>
      <c r="D155" s="59"/>
      <c r="E155" s="60"/>
      <c r="F155" s="52"/>
      <c r="G155" s="52"/>
      <c r="H155" s="51"/>
      <c r="I155" s="52"/>
    </row>
    <row r="156" spans="1:9" x14ac:dyDescent="0.3">
      <c r="A156" s="90"/>
      <c r="B156" s="61" t="s">
        <v>1213</v>
      </c>
      <c r="C156" s="50">
        <v>1950000</v>
      </c>
      <c r="D156" s="59"/>
      <c r="E156" s="60"/>
      <c r="F156" s="52"/>
      <c r="G156" s="52"/>
      <c r="H156" s="51"/>
      <c r="I156" s="52"/>
    </row>
    <row r="157" spans="1:9" x14ac:dyDescent="0.3">
      <c r="A157" s="90"/>
      <c r="B157" s="61" t="s">
        <v>1214</v>
      </c>
      <c r="C157" s="50">
        <v>2700000</v>
      </c>
      <c r="D157" s="59"/>
      <c r="E157" s="60"/>
      <c r="F157" s="52"/>
      <c r="G157" s="52"/>
      <c r="H157" s="51"/>
      <c r="I157" s="52"/>
    </row>
    <row r="158" spans="1:9" x14ac:dyDescent="0.3">
      <c r="A158" s="90"/>
      <c r="B158" s="61" t="s">
        <v>1215</v>
      </c>
      <c r="C158" s="50">
        <v>4200000</v>
      </c>
      <c r="D158" s="59"/>
      <c r="E158" s="60"/>
      <c r="F158" s="52"/>
      <c r="G158" s="52"/>
      <c r="H158" s="51"/>
      <c r="I158" s="52"/>
    </row>
    <row r="159" spans="1:9" x14ac:dyDescent="0.3">
      <c r="A159" s="90"/>
      <c r="B159" s="61" t="s">
        <v>1499</v>
      </c>
      <c r="C159" s="50">
        <v>4350000</v>
      </c>
      <c r="D159" s="59"/>
      <c r="E159" s="60"/>
      <c r="F159" s="52"/>
      <c r="G159" s="52"/>
      <c r="H159" s="51"/>
      <c r="I159" s="52"/>
    </row>
    <row r="160" spans="1:9" x14ac:dyDescent="0.3">
      <c r="A160" s="90"/>
      <c r="B160" s="61" t="s">
        <v>1601</v>
      </c>
      <c r="C160" s="50">
        <v>1100000</v>
      </c>
      <c r="D160" s="59"/>
      <c r="E160" s="60"/>
      <c r="F160" s="52"/>
      <c r="G160" s="52"/>
      <c r="H160" s="51"/>
      <c r="I160" s="52"/>
    </row>
    <row r="161" spans="1:10" ht="31.2" x14ac:dyDescent="0.6">
      <c r="A161" s="91" t="s">
        <v>1153</v>
      </c>
      <c r="B161" s="120">
        <f>COUNTA(B135:B160)-3</f>
        <v>23</v>
      </c>
      <c r="C161" s="67">
        <f>SUM(C135:C160)</f>
        <v>98734396</v>
      </c>
      <c r="D161" s="68">
        <f>COUNTA(D135:D144)</f>
        <v>4</v>
      </c>
      <c r="E161" s="69">
        <f>SUM(E135:E144)</f>
        <v>70400000</v>
      </c>
      <c r="F161" s="69"/>
      <c r="G161" s="69"/>
      <c r="H161" s="70"/>
      <c r="I161" s="69"/>
    </row>
    <row r="164" spans="1:10" ht="25.8" x14ac:dyDescent="0.5">
      <c r="B164" s="92" t="s">
        <v>225</v>
      </c>
    </row>
    <row r="165" spans="1:10" x14ac:dyDescent="0.3">
      <c r="B165" s="93" t="s">
        <v>1075</v>
      </c>
      <c r="C165" s="94" t="s">
        <v>1076</v>
      </c>
      <c r="D165" s="95" t="s">
        <v>1077</v>
      </c>
      <c r="E165" s="96" t="s">
        <v>1076</v>
      </c>
      <c r="F165" s="96" t="s">
        <v>1078</v>
      </c>
      <c r="G165" s="96" t="s">
        <v>1076</v>
      </c>
      <c r="H165" s="95" t="s">
        <v>1079</v>
      </c>
      <c r="I165" s="96" t="s">
        <v>1076</v>
      </c>
    </row>
    <row r="166" spans="1:10" x14ac:dyDescent="0.3">
      <c r="B166" s="202" t="s">
        <v>1080</v>
      </c>
      <c r="C166" s="202"/>
      <c r="D166" s="202"/>
      <c r="E166" s="202"/>
      <c r="F166" s="202"/>
      <c r="G166" s="202"/>
      <c r="H166" s="202"/>
      <c r="I166" s="202"/>
    </row>
    <row r="167" spans="1:10" x14ac:dyDescent="0.3">
      <c r="B167" s="57" t="s">
        <v>1216</v>
      </c>
      <c r="C167" s="58">
        <v>11400000</v>
      </c>
      <c r="D167" s="59"/>
      <c r="E167" s="52"/>
      <c r="F167" s="52"/>
      <c r="G167" s="52"/>
      <c r="H167" s="51"/>
      <c r="I167" s="52"/>
    </row>
    <row r="168" spans="1:10" x14ac:dyDescent="0.3">
      <c r="B168" s="57" t="s">
        <v>1217</v>
      </c>
      <c r="C168" s="58">
        <v>50000000</v>
      </c>
      <c r="D168" s="59"/>
      <c r="E168" s="52"/>
      <c r="F168" s="52"/>
      <c r="G168" s="52"/>
      <c r="H168" s="51"/>
      <c r="I168" s="52"/>
    </row>
    <row r="169" spans="1:10" x14ac:dyDescent="0.3">
      <c r="B169" s="57" t="s">
        <v>1218</v>
      </c>
      <c r="C169" s="58">
        <v>50000000</v>
      </c>
      <c r="D169" s="59"/>
      <c r="E169" s="52"/>
      <c r="F169" s="52"/>
      <c r="G169" s="52"/>
      <c r="H169" s="51"/>
      <c r="I169" s="52"/>
    </row>
    <row r="170" spans="1:10" x14ac:dyDescent="0.3">
      <c r="B170" s="57" t="s">
        <v>1218</v>
      </c>
      <c r="C170" s="58">
        <v>50000000</v>
      </c>
      <c r="D170" s="59"/>
      <c r="E170" s="52"/>
      <c r="F170" s="52"/>
      <c r="G170" s="52"/>
      <c r="H170" s="51"/>
      <c r="I170" s="52"/>
    </row>
    <row r="171" spans="1:10" x14ac:dyDescent="0.3">
      <c r="B171" s="202" t="s">
        <v>1097</v>
      </c>
      <c r="C171" s="202"/>
      <c r="D171" s="202"/>
      <c r="E171" s="202"/>
      <c r="F171" s="202"/>
      <c r="G171" s="202"/>
      <c r="H171" s="202"/>
      <c r="I171" s="202"/>
    </row>
    <row r="172" spans="1:10" s="42" customFormat="1" x14ac:dyDescent="0.3">
      <c r="B172" s="97" t="s">
        <v>1219</v>
      </c>
      <c r="C172" s="58">
        <v>2000000</v>
      </c>
      <c r="D172" s="63"/>
      <c r="E172" s="63"/>
      <c r="F172" s="63"/>
      <c r="G172" s="63"/>
      <c r="H172" s="63"/>
      <c r="I172" s="63"/>
      <c r="J172" s="89"/>
    </row>
    <row r="173" spans="1:10" s="42" customFormat="1" x14ac:dyDescent="0.3">
      <c r="B173" s="97" t="s">
        <v>1220</v>
      </c>
      <c r="C173" s="58">
        <v>400000</v>
      </c>
      <c r="D173" s="63"/>
      <c r="E173" s="63"/>
      <c r="F173" s="63"/>
      <c r="G173" s="63"/>
      <c r="H173" s="63"/>
      <c r="I173" s="63"/>
      <c r="J173" s="89"/>
    </row>
    <row r="174" spans="1:10" s="42" customFormat="1" x14ac:dyDescent="0.3">
      <c r="B174" s="97" t="s">
        <v>1221</v>
      </c>
      <c r="C174" s="58">
        <v>2500000</v>
      </c>
      <c r="D174" s="63"/>
      <c r="E174" s="63"/>
      <c r="F174" s="63"/>
      <c r="G174" s="63"/>
      <c r="H174" s="63"/>
      <c r="I174" s="63"/>
      <c r="J174" s="89"/>
    </row>
    <row r="175" spans="1:10" s="42" customFormat="1" x14ac:dyDescent="0.3">
      <c r="B175" s="97" t="s">
        <v>1222</v>
      </c>
      <c r="C175" s="58">
        <v>500000</v>
      </c>
      <c r="D175" s="63"/>
      <c r="E175" s="63"/>
      <c r="F175" s="63"/>
      <c r="G175" s="63"/>
      <c r="H175" s="63"/>
      <c r="I175" s="63"/>
      <c r="J175" s="89"/>
    </row>
    <row r="176" spans="1:10" x14ac:dyDescent="0.3">
      <c r="B176" s="57" t="s">
        <v>1223</v>
      </c>
      <c r="C176" s="58">
        <v>15000000</v>
      </c>
      <c r="D176" s="59"/>
      <c r="E176" s="52"/>
      <c r="F176" s="52"/>
      <c r="G176" s="52"/>
      <c r="H176" s="51"/>
      <c r="I176" s="52"/>
    </row>
    <row r="177" spans="2:9" x14ac:dyDescent="0.3">
      <c r="B177" s="57" t="s">
        <v>1224</v>
      </c>
      <c r="C177" s="58">
        <v>13000000</v>
      </c>
      <c r="D177" s="59"/>
      <c r="E177" s="52"/>
      <c r="F177" s="52"/>
      <c r="G177" s="52"/>
      <c r="H177" s="51"/>
      <c r="I177" s="52"/>
    </row>
    <row r="178" spans="2:9" x14ac:dyDescent="0.3">
      <c r="B178" s="57" t="s">
        <v>1225</v>
      </c>
      <c r="C178" s="58">
        <v>5610000</v>
      </c>
      <c r="D178" s="59"/>
      <c r="E178" s="52"/>
      <c r="F178" s="52"/>
      <c r="G178" s="52"/>
      <c r="H178" s="51"/>
      <c r="I178" s="52"/>
    </row>
    <row r="179" spans="2:9" x14ac:dyDescent="0.3">
      <c r="B179" s="57" t="s">
        <v>1226</v>
      </c>
      <c r="C179" s="58">
        <v>49756841</v>
      </c>
      <c r="D179" s="59"/>
      <c r="E179" s="52"/>
      <c r="F179" s="52"/>
      <c r="G179" s="52"/>
      <c r="H179" s="51"/>
      <c r="I179" s="52"/>
    </row>
    <row r="180" spans="2:9" x14ac:dyDescent="0.3">
      <c r="B180" s="57" t="s">
        <v>1227</v>
      </c>
      <c r="C180" s="58">
        <v>11000000</v>
      </c>
      <c r="D180" s="59"/>
      <c r="E180" s="52"/>
      <c r="F180" s="52"/>
      <c r="G180" s="52"/>
      <c r="H180" s="51"/>
      <c r="I180" s="52"/>
    </row>
    <row r="181" spans="2:9" x14ac:dyDescent="0.3">
      <c r="B181" s="57" t="s">
        <v>1228</v>
      </c>
      <c r="C181" s="58">
        <v>50000000</v>
      </c>
      <c r="D181" s="59"/>
      <c r="E181" s="52"/>
      <c r="F181" s="52"/>
      <c r="G181" s="52"/>
      <c r="H181" s="51"/>
      <c r="I181" s="52"/>
    </row>
    <row r="182" spans="2:9" x14ac:dyDescent="0.3">
      <c r="B182" s="57" t="s">
        <v>1229</v>
      </c>
      <c r="C182" s="58">
        <v>100000000</v>
      </c>
      <c r="D182" s="59"/>
      <c r="E182" s="52"/>
      <c r="F182" s="52"/>
      <c r="G182" s="52"/>
      <c r="H182" s="51"/>
      <c r="I182" s="52"/>
    </row>
    <row r="183" spans="2:9" x14ac:dyDescent="0.3">
      <c r="B183" s="57" t="s">
        <v>1230</v>
      </c>
      <c r="C183" s="58">
        <v>22448500</v>
      </c>
      <c r="D183" s="59"/>
      <c r="E183" s="52"/>
      <c r="F183" s="52"/>
      <c r="G183" s="52"/>
      <c r="H183" s="51"/>
      <c r="I183" s="52"/>
    </row>
    <row r="184" spans="2:9" x14ac:dyDescent="0.3">
      <c r="B184" s="202" t="s">
        <v>1103</v>
      </c>
      <c r="C184" s="202"/>
      <c r="D184" s="202"/>
      <c r="E184" s="202"/>
      <c r="F184" s="202"/>
      <c r="G184" s="202"/>
      <c r="H184" s="202"/>
      <c r="I184" s="202"/>
    </row>
    <row r="185" spans="2:9" x14ac:dyDescent="0.3">
      <c r="B185" s="57" t="s">
        <v>1231</v>
      </c>
      <c r="C185" s="58">
        <v>3403500</v>
      </c>
      <c r="D185" s="57" t="s">
        <v>1230</v>
      </c>
      <c r="E185" s="58">
        <v>22448500</v>
      </c>
      <c r="F185" s="52"/>
      <c r="G185" s="52"/>
      <c r="H185" s="51"/>
      <c r="I185" s="52"/>
    </row>
    <row r="186" spans="2:9" x14ac:dyDescent="0.3">
      <c r="B186" s="57" t="s">
        <v>1232</v>
      </c>
      <c r="C186" s="58">
        <v>1200000</v>
      </c>
      <c r="D186" s="59"/>
      <c r="E186" s="52"/>
      <c r="F186" s="52"/>
      <c r="G186" s="52"/>
      <c r="H186" s="51"/>
      <c r="I186" s="52"/>
    </row>
    <row r="187" spans="2:9" x14ac:dyDescent="0.3">
      <c r="B187" s="57" t="s">
        <v>1233</v>
      </c>
      <c r="C187" s="58">
        <v>3960000</v>
      </c>
      <c r="D187" s="59"/>
      <c r="E187" s="52"/>
      <c r="F187" s="52"/>
      <c r="G187" s="52"/>
      <c r="H187" s="51"/>
      <c r="I187" s="52"/>
    </row>
    <row r="188" spans="2:9" x14ac:dyDescent="0.3">
      <c r="B188" s="57" t="s">
        <v>1234</v>
      </c>
      <c r="C188" s="58">
        <v>5950000</v>
      </c>
      <c r="D188" s="59"/>
      <c r="E188" s="52"/>
      <c r="F188" s="52"/>
      <c r="G188" s="52"/>
      <c r="H188" s="51"/>
      <c r="I188" s="52"/>
    </row>
    <row r="189" spans="2:9" x14ac:dyDescent="0.3">
      <c r="B189" s="202" t="s">
        <v>1140</v>
      </c>
      <c r="C189" s="202"/>
      <c r="D189" s="202"/>
      <c r="E189" s="202"/>
      <c r="F189" s="202"/>
      <c r="G189" s="202"/>
      <c r="H189" s="202"/>
      <c r="I189" s="202"/>
    </row>
    <row r="190" spans="2:9" x14ac:dyDescent="0.3">
      <c r="B190" s="85" t="s">
        <v>1235</v>
      </c>
      <c r="C190" s="58">
        <v>30000000</v>
      </c>
      <c r="D190" s="98"/>
      <c r="E190" s="98"/>
      <c r="F190" s="98"/>
      <c r="G190" s="98"/>
      <c r="H190" s="98"/>
      <c r="I190" s="98"/>
    </row>
    <row r="191" spans="2:9" x14ac:dyDescent="0.3">
      <c r="B191" s="85" t="s">
        <v>1236</v>
      </c>
      <c r="C191" s="58">
        <v>50000000</v>
      </c>
      <c r="D191" s="98"/>
      <c r="E191" s="98"/>
      <c r="F191" s="98"/>
      <c r="G191" s="98"/>
      <c r="H191" s="98"/>
      <c r="I191" s="98"/>
    </row>
    <row r="192" spans="2:9" x14ac:dyDescent="0.3">
      <c r="B192" s="85" t="s">
        <v>1237</v>
      </c>
      <c r="C192" s="58">
        <v>4524500</v>
      </c>
      <c r="D192" s="98"/>
      <c r="E192" s="98"/>
      <c r="F192" s="98"/>
      <c r="G192" s="98"/>
      <c r="H192" s="98"/>
      <c r="I192" s="98"/>
    </row>
    <row r="193" spans="2:9" x14ac:dyDescent="0.3">
      <c r="B193" s="85" t="s">
        <v>1238</v>
      </c>
      <c r="C193" s="58">
        <v>4600000</v>
      </c>
      <c r="D193" s="98"/>
      <c r="E193" s="98"/>
      <c r="F193" s="98"/>
      <c r="G193" s="98"/>
      <c r="H193" s="98"/>
      <c r="I193" s="98"/>
    </row>
    <row r="194" spans="2:9" x14ac:dyDescent="0.3">
      <c r="B194" s="85" t="s">
        <v>1239</v>
      </c>
      <c r="C194" s="58">
        <v>2587500</v>
      </c>
      <c r="D194" s="98"/>
      <c r="E194" s="98"/>
      <c r="F194" s="98"/>
      <c r="G194" s="98"/>
      <c r="H194" s="98"/>
      <c r="I194" s="98"/>
    </row>
    <row r="195" spans="2:9" x14ac:dyDescent="0.3">
      <c r="B195" s="85" t="s">
        <v>1240</v>
      </c>
      <c r="C195" s="58">
        <v>10000000</v>
      </c>
      <c r="D195" s="98"/>
      <c r="E195" s="98"/>
      <c r="F195" s="98"/>
      <c r="G195" s="98"/>
      <c r="H195" s="98"/>
      <c r="I195" s="98"/>
    </row>
    <row r="196" spans="2:9" x14ac:dyDescent="0.3">
      <c r="B196" s="85" t="s">
        <v>1241</v>
      </c>
      <c r="C196" s="58">
        <v>12000000</v>
      </c>
      <c r="D196" s="98"/>
      <c r="E196" s="98"/>
      <c r="F196" s="98"/>
      <c r="G196" s="98"/>
      <c r="H196" s="98"/>
      <c r="I196" s="98"/>
    </row>
    <row r="197" spans="2:9" x14ac:dyDescent="0.3">
      <c r="B197" s="85" t="s">
        <v>1242</v>
      </c>
      <c r="C197" s="58">
        <v>4025000</v>
      </c>
      <c r="D197" s="98"/>
      <c r="E197" s="98"/>
      <c r="F197" s="98"/>
      <c r="G197" s="98"/>
      <c r="H197" s="98"/>
      <c r="I197" s="98"/>
    </row>
    <row r="198" spans="2:9" x14ac:dyDescent="0.3">
      <c r="B198" s="85" t="s">
        <v>1243</v>
      </c>
      <c r="C198" s="58">
        <v>6000000</v>
      </c>
      <c r="D198" s="98"/>
      <c r="E198" s="98"/>
      <c r="F198" s="98"/>
      <c r="G198" s="98"/>
      <c r="H198" s="98"/>
      <c r="I198" s="98"/>
    </row>
    <row r="199" spans="2:9" x14ac:dyDescent="0.3">
      <c r="B199" s="85" t="s">
        <v>1510</v>
      </c>
      <c r="C199" s="58">
        <v>1202000</v>
      </c>
      <c r="D199" s="98"/>
      <c r="E199" s="98"/>
      <c r="F199" s="98"/>
      <c r="G199" s="98"/>
      <c r="H199" s="98"/>
      <c r="I199" s="98"/>
    </row>
    <row r="200" spans="2:9" x14ac:dyDescent="0.3">
      <c r="B200" s="85" t="s">
        <v>1511</v>
      </c>
      <c r="C200" s="58">
        <v>3040000</v>
      </c>
      <c r="D200" s="98"/>
      <c r="E200" s="98"/>
      <c r="F200" s="98"/>
      <c r="G200" s="98"/>
      <c r="H200" s="98"/>
      <c r="I200" s="98"/>
    </row>
    <row r="201" spans="2:9" x14ac:dyDescent="0.3">
      <c r="B201" s="85" t="s">
        <v>1512</v>
      </c>
      <c r="C201" s="58">
        <v>1152000</v>
      </c>
      <c r="D201" s="98"/>
      <c r="E201" s="98"/>
      <c r="F201" s="98"/>
      <c r="G201" s="98"/>
      <c r="H201" s="98"/>
      <c r="I201" s="98"/>
    </row>
    <row r="202" spans="2:9" x14ac:dyDescent="0.3">
      <c r="B202" s="85" t="s">
        <v>1513</v>
      </c>
      <c r="C202" s="58">
        <v>3820000</v>
      </c>
      <c r="D202" s="98"/>
      <c r="E202" s="98"/>
      <c r="F202" s="98"/>
      <c r="G202" s="98"/>
      <c r="H202" s="98"/>
      <c r="I202" s="98"/>
    </row>
    <row r="203" spans="2:9" x14ac:dyDescent="0.3">
      <c r="B203" s="85" t="s">
        <v>1514</v>
      </c>
      <c r="C203" s="58">
        <v>6214000</v>
      </c>
      <c r="D203" s="98"/>
      <c r="E203" s="98"/>
      <c r="F203" s="98"/>
      <c r="G203" s="98"/>
      <c r="H203" s="98"/>
      <c r="I203" s="98"/>
    </row>
    <row r="204" spans="2:9" x14ac:dyDescent="0.3">
      <c r="B204" s="85" t="s">
        <v>1515</v>
      </c>
      <c r="C204" s="58">
        <v>1488000</v>
      </c>
      <c r="D204" s="98"/>
      <c r="E204" s="98"/>
      <c r="F204" s="98"/>
      <c r="G204" s="98"/>
      <c r="H204" s="98"/>
      <c r="I204" s="98"/>
    </row>
    <row r="205" spans="2:9" x14ac:dyDescent="0.3">
      <c r="B205" s="85" t="s">
        <v>1656</v>
      </c>
      <c r="C205" s="58">
        <v>3800000</v>
      </c>
      <c r="D205" s="98"/>
      <c r="E205" s="98"/>
      <c r="F205" s="98"/>
      <c r="G205" s="98"/>
      <c r="H205" s="98"/>
      <c r="I205" s="98"/>
    </row>
    <row r="206" spans="2:9" x14ac:dyDescent="0.3">
      <c r="B206" s="85" t="s">
        <v>1657</v>
      </c>
      <c r="C206" s="58">
        <v>500000</v>
      </c>
      <c r="D206" s="98"/>
      <c r="E206" s="98"/>
      <c r="F206" s="98"/>
      <c r="G206" s="98"/>
      <c r="H206" s="98"/>
      <c r="I206" s="98"/>
    </row>
    <row r="207" spans="2:9" x14ac:dyDescent="0.3">
      <c r="B207" s="85" t="s">
        <v>1658</v>
      </c>
      <c r="C207" s="58">
        <v>5100000</v>
      </c>
      <c r="D207" s="98"/>
      <c r="E207" s="98"/>
      <c r="F207" s="98"/>
      <c r="G207" s="98"/>
      <c r="H207" s="98"/>
      <c r="I207" s="98"/>
    </row>
    <row r="208" spans="2:9" x14ac:dyDescent="0.3">
      <c r="B208" s="85" t="s">
        <v>1659</v>
      </c>
      <c r="C208" s="58">
        <v>2000000</v>
      </c>
      <c r="D208" s="98"/>
      <c r="E208" s="98"/>
      <c r="F208" s="98"/>
      <c r="G208" s="98"/>
      <c r="H208" s="98"/>
      <c r="I208" s="98"/>
    </row>
    <row r="209" spans="1:9" x14ac:dyDescent="0.3">
      <c r="B209" s="85" t="s">
        <v>1660</v>
      </c>
      <c r="C209" s="58">
        <v>2600000</v>
      </c>
      <c r="D209" s="98"/>
      <c r="E209" s="98"/>
      <c r="F209" s="98"/>
      <c r="G209" s="98"/>
      <c r="H209" s="98"/>
      <c r="I209" s="98"/>
    </row>
    <row r="210" spans="1:9" x14ac:dyDescent="0.3">
      <c r="B210" s="85" t="s">
        <v>2683</v>
      </c>
      <c r="C210" s="58">
        <v>2352000</v>
      </c>
      <c r="D210" s="98"/>
      <c r="E210" s="98"/>
      <c r="F210" s="98"/>
      <c r="G210" s="98"/>
      <c r="H210" s="98"/>
      <c r="I210" s="98"/>
    </row>
    <row r="211" spans="1:9" ht="31.2" x14ac:dyDescent="0.6">
      <c r="A211" s="65" t="s">
        <v>1153</v>
      </c>
      <c r="B211" s="120">
        <f>COUNTA(B167:B210)-4</f>
        <v>40</v>
      </c>
      <c r="C211" s="67">
        <f>SUM(C167:C210)</f>
        <v>605133841</v>
      </c>
      <c r="D211" s="68"/>
      <c r="E211" s="69"/>
      <c r="F211" s="69"/>
      <c r="G211" s="69"/>
      <c r="H211" s="70"/>
      <c r="I211" s="69"/>
    </row>
    <row r="214" spans="1:9" ht="25.8" x14ac:dyDescent="0.5">
      <c r="B214" s="92" t="s">
        <v>622</v>
      </c>
    </row>
    <row r="215" spans="1:9" x14ac:dyDescent="0.3">
      <c r="B215" s="93" t="s">
        <v>1075</v>
      </c>
      <c r="C215" s="94" t="s">
        <v>1076</v>
      </c>
      <c r="D215" s="95" t="s">
        <v>1077</v>
      </c>
      <c r="E215" s="96" t="s">
        <v>1076</v>
      </c>
      <c r="F215" s="96" t="s">
        <v>1078</v>
      </c>
      <c r="G215" s="96" t="s">
        <v>1076</v>
      </c>
      <c r="H215" s="95" t="s">
        <v>1079</v>
      </c>
      <c r="I215" s="96" t="s">
        <v>1076</v>
      </c>
    </row>
    <row r="216" spans="1:9" x14ac:dyDescent="0.3">
      <c r="B216" s="202" t="s">
        <v>1103</v>
      </c>
      <c r="C216" s="202"/>
      <c r="D216" s="202"/>
      <c r="E216" s="202"/>
      <c r="F216" s="202"/>
      <c r="G216" s="202"/>
      <c r="H216" s="202"/>
      <c r="I216" s="202"/>
    </row>
    <row r="217" spans="1:9" x14ac:dyDescent="0.3">
      <c r="B217" s="43" t="s">
        <v>1244</v>
      </c>
      <c r="C217" s="44">
        <v>6000000</v>
      </c>
    </row>
    <row r="218" spans="1:9" x14ac:dyDescent="0.3">
      <c r="B218" s="43" t="s">
        <v>1245</v>
      </c>
      <c r="C218" s="44">
        <v>1990000</v>
      </c>
    </row>
    <row r="219" spans="1:9" x14ac:dyDescent="0.3">
      <c r="B219" s="43" t="s">
        <v>1245</v>
      </c>
      <c r="C219" s="44">
        <v>1970000</v>
      </c>
    </row>
    <row r="220" spans="1:9" ht="31.2" x14ac:dyDescent="0.6">
      <c r="A220" s="65" t="s">
        <v>1153</v>
      </c>
      <c r="B220" s="66">
        <f>COUNTA(B217:B219)</f>
        <v>3</v>
      </c>
      <c r="C220" s="67">
        <f>SUM(C217:C219)</f>
        <v>9960000</v>
      </c>
      <c r="D220" s="68"/>
      <c r="E220" s="69"/>
      <c r="F220" s="69"/>
      <c r="G220" s="69"/>
      <c r="H220" s="70"/>
      <c r="I220" s="69"/>
    </row>
    <row r="223" spans="1:9" ht="25.8" x14ac:dyDescent="0.5">
      <c r="B223" s="92" t="s">
        <v>1246</v>
      </c>
    </row>
    <row r="224" spans="1:9" x14ac:dyDescent="0.3">
      <c r="B224" s="93" t="s">
        <v>1075</v>
      </c>
      <c r="C224" s="94" t="s">
        <v>1076</v>
      </c>
      <c r="D224" s="95" t="s">
        <v>1077</v>
      </c>
      <c r="E224" s="96" t="s">
        <v>1076</v>
      </c>
      <c r="F224" s="96" t="s">
        <v>1078</v>
      </c>
      <c r="G224" s="96" t="s">
        <v>1076</v>
      </c>
      <c r="H224" s="95" t="s">
        <v>1079</v>
      </c>
      <c r="I224" s="96" t="s">
        <v>1076</v>
      </c>
    </row>
    <row r="225" spans="1:9" x14ac:dyDescent="0.3">
      <c r="B225" s="202" t="s">
        <v>1103</v>
      </c>
      <c r="C225" s="202"/>
      <c r="D225" s="202"/>
      <c r="E225" s="202"/>
      <c r="F225" s="202"/>
      <c r="G225" s="202"/>
      <c r="H225" s="202"/>
      <c r="I225" s="202"/>
    </row>
    <row r="226" spans="1:9" x14ac:dyDescent="0.3">
      <c r="B226" s="99" t="s">
        <v>1247</v>
      </c>
      <c r="C226" s="73">
        <v>3000000</v>
      </c>
      <c r="D226" s="100"/>
      <c r="E226" s="100"/>
      <c r="F226" s="100"/>
      <c r="G226" s="100"/>
      <c r="H226" s="100"/>
      <c r="I226" s="100"/>
    </row>
    <row r="227" spans="1:9" x14ac:dyDescent="0.3">
      <c r="B227" s="99" t="s">
        <v>1248</v>
      </c>
      <c r="C227" s="73">
        <v>1000000</v>
      </c>
      <c r="D227" s="100"/>
      <c r="E227" s="100"/>
      <c r="F227" s="100"/>
      <c r="G227" s="100"/>
      <c r="H227" s="100"/>
      <c r="I227" s="100"/>
    </row>
    <row r="228" spans="1:9" x14ac:dyDescent="0.3">
      <c r="B228" s="99" t="s">
        <v>1249</v>
      </c>
      <c r="C228" s="73">
        <v>700000</v>
      </c>
    </row>
    <row r="229" spans="1:9" ht="31.2" x14ac:dyDescent="0.6">
      <c r="A229" s="65" t="s">
        <v>1153</v>
      </c>
      <c r="B229" s="66">
        <f>COUNTA(B226:B228)</f>
        <v>3</v>
      </c>
      <c r="C229" s="67">
        <f>SUM(C226:C228)</f>
        <v>4700000</v>
      </c>
      <c r="D229" s="68"/>
      <c r="E229" s="69"/>
      <c r="F229" s="69"/>
      <c r="G229" s="69"/>
      <c r="H229" s="70"/>
      <c r="I229" s="69"/>
    </row>
    <row r="233" spans="1:9" ht="25.8" x14ac:dyDescent="0.5">
      <c r="B233" s="92" t="s">
        <v>1250</v>
      </c>
    </row>
    <row r="234" spans="1:9" x14ac:dyDescent="0.3">
      <c r="B234" s="93" t="s">
        <v>1075</v>
      </c>
      <c r="C234" s="94" t="s">
        <v>1076</v>
      </c>
      <c r="D234" s="95" t="s">
        <v>1077</v>
      </c>
      <c r="E234" s="96" t="s">
        <v>1076</v>
      </c>
      <c r="F234" s="96" t="s">
        <v>1078</v>
      </c>
      <c r="G234" s="96" t="s">
        <v>1076</v>
      </c>
      <c r="H234" s="95" t="s">
        <v>1079</v>
      </c>
      <c r="I234" s="96" t="s">
        <v>1076</v>
      </c>
    </row>
    <row r="235" spans="1:9" x14ac:dyDescent="0.3">
      <c r="B235" s="202" t="s">
        <v>1103</v>
      </c>
      <c r="C235" s="202"/>
      <c r="D235" s="202"/>
      <c r="E235" s="202"/>
      <c r="F235" s="202"/>
      <c r="G235" s="202"/>
      <c r="H235" s="202"/>
      <c r="I235" s="202"/>
    </row>
    <row r="236" spans="1:9" x14ac:dyDescent="0.3">
      <c r="B236" s="99" t="s">
        <v>1251</v>
      </c>
      <c r="C236" s="73">
        <v>9871020</v>
      </c>
      <c r="D236" s="100"/>
      <c r="E236" s="100"/>
      <c r="F236" s="100"/>
      <c r="G236" s="100"/>
      <c r="H236" s="100"/>
      <c r="I236" s="100"/>
    </row>
    <row r="237" spans="1:9" x14ac:dyDescent="0.3">
      <c r="B237" s="99" t="s">
        <v>1252</v>
      </c>
      <c r="C237" s="73">
        <v>9871020</v>
      </c>
      <c r="D237" s="100"/>
      <c r="E237" s="100"/>
      <c r="F237" s="100"/>
      <c r="G237" s="100"/>
      <c r="H237" s="100"/>
      <c r="I237" s="100"/>
    </row>
    <row r="238" spans="1:9" x14ac:dyDescent="0.3">
      <c r="B238" s="99" t="s">
        <v>1253</v>
      </c>
      <c r="C238" s="73">
        <v>9871020</v>
      </c>
      <c r="D238" s="100"/>
      <c r="E238" s="100"/>
      <c r="F238" s="100"/>
      <c r="G238" s="100"/>
      <c r="H238" s="100"/>
      <c r="I238" s="100"/>
    </row>
    <row r="239" spans="1:9" x14ac:dyDescent="0.3">
      <c r="B239" s="99" t="s">
        <v>1254</v>
      </c>
      <c r="C239" s="73">
        <v>9871020</v>
      </c>
      <c r="D239" s="100"/>
      <c r="E239" s="100"/>
      <c r="F239" s="100"/>
      <c r="G239" s="100"/>
      <c r="H239" s="100"/>
      <c r="I239" s="100"/>
    </row>
    <row r="240" spans="1:9" x14ac:dyDescent="0.3">
      <c r="B240" s="99" t="s">
        <v>1255</v>
      </c>
      <c r="C240" s="73">
        <v>9871020</v>
      </c>
      <c r="D240" s="100"/>
      <c r="E240" s="100"/>
      <c r="F240" s="100"/>
      <c r="G240" s="100"/>
      <c r="H240" s="100"/>
      <c r="I240" s="100"/>
    </row>
    <row r="241" spans="1:9" x14ac:dyDescent="0.3">
      <c r="B241" s="99" t="s">
        <v>1256</v>
      </c>
      <c r="C241" s="73">
        <v>9871020</v>
      </c>
      <c r="D241" s="100"/>
      <c r="E241" s="100"/>
      <c r="F241" s="100"/>
      <c r="G241" s="100"/>
      <c r="H241" s="100"/>
      <c r="I241" s="100"/>
    </row>
    <row r="242" spans="1:9" x14ac:dyDescent="0.3">
      <c r="B242" s="99" t="s">
        <v>1257</v>
      </c>
      <c r="C242" s="73">
        <v>850950</v>
      </c>
    </row>
    <row r="243" spans="1:9" ht="31.2" x14ac:dyDescent="0.6">
      <c r="A243" s="65" t="s">
        <v>1153</v>
      </c>
      <c r="B243" s="66">
        <f>COUNTA(B236:B242)</f>
        <v>7</v>
      </c>
      <c r="C243" s="67">
        <f>SUM(C236:C242)</f>
        <v>60077070</v>
      </c>
      <c r="D243" s="68"/>
      <c r="E243" s="69"/>
      <c r="F243" s="69"/>
      <c r="G243" s="69"/>
      <c r="H243" s="70"/>
      <c r="I243" s="69"/>
    </row>
    <row r="246" spans="1:9" ht="25.8" x14ac:dyDescent="0.5">
      <c r="B246" s="92" t="s">
        <v>1258</v>
      </c>
    </row>
    <row r="247" spans="1:9" x14ac:dyDescent="0.3">
      <c r="B247" s="93" t="s">
        <v>1075</v>
      </c>
      <c r="C247" s="94" t="s">
        <v>1076</v>
      </c>
      <c r="D247" s="95" t="s">
        <v>1077</v>
      </c>
      <c r="E247" s="96" t="s">
        <v>1076</v>
      </c>
      <c r="F247" s="96" t="s">
        <v>1078</v>
      </c>
      <c r="G247" s="96" t="s">
        <v>1076</v>
      </c>
      <c r="H247" s="95" t="s">
        <v>1079</v>
      </c>
      <c r="I247" s="96" t="s">
        <v>1076</v>
      </c>
    </row>
    <row r="248" spans="1:9" x14ac:dyDescent="0.3">
      <c r="B248" s="202" t="s">
        <v>1103</v>
      </c>
      <c r="C248" s="202"/>
      <c r="D248" s="202"/>
      <c r="E248" s="202"/>
      <c r="F248" s="202"/>
      <c r="G248" s="202"/>
      <c r="H248" s="202"/>
      <c r="I248" s="202"/>
    </row>
    <row r="249" spans="1:9" x14ac:dyDescent="0.3">
      <c r="B249" s="99" t="s">
        <v>1259</v>
      </c>
      <c r="C249" s="73">
        <v>169800</v>
      </c>
      <c r="D249" s="100"/>
      <c r="E249" s="100"/>
      <c r="F249" s="100"/>
      <c r="G249" s="100"/>
      <c r="H249" s="100"/>
      <c r="I249" s="100"/>
    </row>
    <row r="250" spans="1:9" x14ac:dyDescent="0.3">
      <c r="B250" s="99" t="s">
        <v>1260</v>
      </c>
      <c r="C250" s="73">
        <v>2547000</v>
      </c>
      <c r="D250" s="100"/>
      <c r="E250" s="100"/>
      <c r="F250" s="100"/>
      <c r="G250" s="100"/>
      <c r="H250" s="100"/>
      <c r="I250" s="100"/>
    </row>
    <row r="251" spans="1:9" x14ac:dyDescent="0.3">
      <c r="B251" s="99" t="s">
        <v>1261</v>
      </c>
      <c r="C251" s="73">
        <v>849000</v>
      </c>
      <c r="D251" s="100"/>
      <c r="E251" s="100"/>
      <c r="F251" s="100"/>
      <c r="G251" s="100"/>
      <c r="H251" s="100"/>
      <c r="I251" s="100"/>
    </row>
    <row r="252" spans="1:9" x14ac:dyDescent="0.3">
      <c r="B252" s="99" t="s">
        <v>1262</v>
      </c>
      <c r="C252" s="73">
        <v>1698000</v>
      </c>
      <c r="D252" s="100"/>
      <c r="E252" s="100"/>
      <c r="F252" s="100"/>
      <c r="G252" s="100"/>
      <c r="H252" s="100"/>
      <c r="I252" s="100"/>
    </row>
    <row r="253" spans="1:9" x14ac:dyDescent="0.3">
      <c r="B253" s="99" t="s">
        <v>1263</v>
      </c>
      <c r="C253" s="73">
        <v>169800</v>
      </c>
      <c r="D253" s="100"/>
      <c r="E253" s="100"/>
      <c r="F253" s="100"/>
      <c r="G253" s="100"/>
      <c r="H253" s="100"/>
      <c r="I253" s="100"/>
    </row>
    <row r="254" spans="1:9" x14ac:dyDescent="0.3">
      <c r="B254" s="99" t="s">
        <v>1264</v>
      </c>
      <c r="C254" s="73">
        <v>1698000</v>
      </c>
      <c r="D254" s="100"/>
      <c r="E254" s="100"/>
      <c r="F254" s="100"/>
      <c r="G254" s="100"/>
      <c r="H254" s="100"/>
      <c r="I254" s="100"/>
    </row>
    <row r="255" spans="1:9" x14ac:dyDescent="0.3">
      <c r="B255" s="99" t="s">
        <v>1265</v>
      </c>
      <c r="C255" s="73">
        <v>3396000</v>
      </c>
      <c r="D255" s="100"/>
      <c r="E255" s="100"/>
      <c r="F255" s="100"/>
      <c r="G255" s="100"/>
      <c r="H255" s="100"/>
      <c r="I255" s="100"/>
    </row>
    <row r="256" spans="1:9" x14ac:dyDescent="0.3">
      <c r="B256" s="99" t="s">
        <v>1266</v>
      </c>
      <c r="C256" s="73">
        <v>509400</v>
      </c>
      <c r="D256" s="100"/>
      <c r="E256" s="100"/>
      <c r="F256" s="100"/>
      <c r="G256" s="100"/>
      <c r="H256" s="100"/>
      <c r="I256" s="100"/>
    </row>
    <row r="257" spans="2:9" x14ac:dyDescent="0.3">
      <c r="B257" s="99" t="s">
        <v>1267</v>
      </c>
      <c r="C257" s="73">
        <v>169800</v>
      </c>
      <c r="D257" s="100"/>
      <c r="E257" s="100"/>
      <c r="F257" s="100"/>
      <c r="G257" s="100"/>
      <c r="H257" s="100"/>
      <c r="I257" s="100"/>
    </row>
    <row r="258" spans="2:9" x14ac:dyDescent="0.3">
      <c r="B258" s="99" t="s">
        <v>1268</v>
      </c>
      <c r="C258" s="73">
        <v>8490000</v>
      </c>
      <c r="D258" s="100"/>
      <c r="E258" s="100"/>
      <c r="F258" s="100"/>
      <c r="G258" s="100"/>
      <c r="H258" s="100"/>
      <c r="I258" s="100"/>
    </row>
    <row r="259" spans="2:9" x14ac:dyDescent="0.3">
      <c r="B259" s="99" t="s">
        <v>1269</v>
      </c>
      <c r="C259" s="73">
        <v>1698000</v>
      </c>
      <c r="D259" s="100"/>
      <c r="E259" s="100"/>
      <c r="F259" s="100"/>
      <c r="G259" s="100"/>
      <c r="H259" s="100"/>
      <c r="I259" s="100"/>
    </row>
    <row r="260" spans="2:9" x14ac:dyDescent="0.3">
      <c r="B260" s="99" t="s">
        <v>1270</v>
      </c>
      <c r="C260" s="73">
        <v>169800</v>
      </c>
      <c r="D260" s="100"/>
      <c r="E260" s="100"/>
      <c r="F260" s="100"/>
      <c r="G260" s="100"/>
      <c r="H260" s="100"/>
      <c r="I260" s="100"/>
    </row>
    <row r="261" spans="2:9" x14ac:dyDescent="0.3">
      <c r="B261" s="99" t="s">
        <v>1271</v>
      </c>
      <c r="C261" s="73">
        <v>3396000</v>
      </c>
      <c r="D261" s="100"/>
      <c r="E261" s="100"/>
      <c r="F261" s="100"/>
      <c r="G261" s="100"/>
      <c r="H261" s="100"/>
      <c r="I261" s="100"/>
    </row>
    <row r="262" spans="2:9" x14ac:dyDescent="0.3">
      <c r="B262" s="99" t="s">
        <v>1272</v>
      </c>
      <c r="C262" s="73">
        <v>339600</v>
      </c>
      <c r="D262" s="100"/>
      <c r="E262" s="100"/>
      <c r="F262" s="100"/>
      <c r="G262" s="100"/>
      <c r="H262" s="100"/>
      <c r="I262" s="100"/>
    </row>
    <row r="263" spans="2:9" x14ac:dyDescent="0.3">
      <c r="B263" s="99" t="s">
        <v>1273</v>
      </c>
      <c r="C263" s="73">
        <v>339600</v>
      </c>
      <c r="D263" s="100"/>
      <c r="E263" s="100"/>
      <c r="F263" s="100"/>
      <c r="G263" s="100"/>
      <c r="H263" s="100"/>
      <c r="I263" s="100"/>
    </row>
    <row r="264" spans="2:9" x14ac:dyDescent="0.3">
      <c r="B264" s="99" t="s">
        <v>1274</v>
      </c>
      <c r="C264" s="73">
        <v>407520</v>
      </c>
      <c r="D264" s="100"/>
      <c r="E264" s="100"/>
      <c r="F264" s="100"/>
      <c r="G264" s="100"/>
      <c r="H264" s="100"/>
      <c r="I264" s="100"/>
    </row>
    <row r="265" spans="2:9" x14ac:dyDescent="0.3">
      <c r="B265" s="99" t="s">
        <v>1275</v>
      </c>
      <c r="C265" s="73">
        <v>169800</v>
      </c>
      <c r="D265" s="100"/>
      <c r="E265" s="100"/>
      <c r="F265" s="100"/>
      <c r="G265" s="100"/>
      <c r="H265" s="100"/>
      <c r="I265" s="100"/>
    </row>
    <row r="266" spans="2:9" x14ac:dyDescent="0.3">
      <c r="B266" s="99" t="s">
        <v>1276</v>
      </c>
      <c r="C266" s="73">
        <v>849000</v>
      </c>
      <c r="D266" s="100"/>
      <c r="E266" s="100"/>
      <c r="F266" s="100"/>
      <c r="G266" s="100"/>
      <c r="H266" s="100"/>
      <c r="I266" s="100"/>
    </row>
    <row r="267" spans="2:9" x14ac:dyDescent="0.3">
      <c r="B267" s="99" t="s">
        <v>1277</v>
      </c>
      <c r="C267" s="73">
        <v>849000</v>
      </c>
      <c r="D267" s="100"/>
      <c r="E267" s="100"/>
      <c r="F267" s="100"/>
      <c r="G267" s="100"/>
      <c r="H267" s="100"/>
      <c r="I267" s="100"/>
    </row>
    <row r="268" spans="2:9" x14ac:dyDescent="0.3">
      <c r="B268" s="99" t="s">
        <v>1278</v>
      </c>
      <c r="C268" s="73">
        <v>849000</v>
      </c>
      <c r="D268" s="100"/>
      <c r="E268" s="100"/>
      <c r="F268" s="100"/>
      <c r="G268" s="100"/>
      <c r="H268" s="100"/>
      <c r="I268" s="100"/>
    </row>
    <row r="269" spans="2:9" x14ac:dyDescent="0.3">
      <c r="B269" s="99" t="s">
        <v>1279</v>
      </c>
      <c r="C269" s="73">
        <v>509400</v>
      </c>
      <c r="D269" s="100"/>
      <c r="E269" s="100"/>
      <c r="F269" s="100"/>
      <c r="G269" s="100"/>
      <c r="H269" s="100"/>
      <c r="I269" s="100"/>
    </row>
    <row r="270" spans="2:9" x14ac:dyDescent="0.3">
      <c r="B270" s="99" t="s">
        <v>1280</v>
      </c>
      <c r="C270" s="73">
        <v>3396000</v>
      </c>
      <c r="D270" s="100"/>
      <c r="E270" s="100"/>
      <c r="F270" s="100"/>
      <c r="G270" s="100"/>
      <c r="H270" s="100"/>
      <c r="I270" s="100"/>
    </row>
    <row r="271" spans="2:9" x14ac:dyDescent="0.3">
      <c r="B271" s="99" t="s">
        <v>1281</v>
      </c>
      <c r="C271" s="73">
        <v>1698000</v>
      </c>
      <c r="D271" s="100"/>
      <c r="E271" s="100"/>
      <c r="F271" s="100"/>
      <c r="G271" s="100"/>
      <c r="H271" s="100"/>
      <c r="I271" s="100"/>
    </row>
    <row r="272" spans="2:9" x14ac:dyDescent="0.3">
      <c r="B272" s="99" t="s">
        <v>1282</v>
      </c>
      <c r="C272" s="73">
        <v>3396000</v>
      </c>
      <c r="D272" s="100"/>
      <c r="E272" s="100"/>
      <c r="F272" s="100"/>
      <c r="G272" s="100"/>
      <c r="H272" s="100"/>
      <c r="I272" s="100"/>
    </row>
    <row r="273" spans="2:9" x14ac:dyDescent="0.3">
      <c r="B273" s="99" t="s">
        <v>1283</v>
      </c>
      <c r="C273" s="73">
        <v>8490000</v>
      </c>
      <c r="D273" s="100"/>
      <c r="E273" s="100"/>
      <c r="F273" s="100"/>
      <c r="G273" s="100"/>
      <c r="H273" s="100"/>
      <c r="I273" s="100"/>
    </row>
    <row r="274" spans="2:9" x14ac:dyDescent="0.3">
      <c r="B274" s="99" t="s">
        <v>1284</v>
      </c>
      <c r="C274" s="73">
        <v>3396000</v>
      </c>
      <c r="D274" s="100"/>
      <c r="E274" s="100"/>
      <c r="F274" s="100"/>
      <c r="G274" s="100"/>
      <c r="H274" s="100"/>
      <c r="I274" s="100"/>
    </row>
    <row r="275" spans="2:9" x14ac:dyDescent="0.3">
      <c r="B275" s="99" t="s">
        <v>1285</v>
      </c>
      <c r="C275" s="73">
        <v>1681020</v>
      </c>
      <c r="D275" s="100"/>
      <c r="E275" s="100"/>
      <c r="F275" s="100"/>
      <c r="G275" s="100"/>
      <c r="H275" s="100"/>
      <c r="I275" s="100"/>
    </row>
    <row r="276" spans="2:9" x14ac:dyDescent="0.3">
      <c r="B276" s="99" t="s">
        <v>1286</v>
      </c>
      <c r="C276" s="73">
        <v>339600</v>
      </c>
      <c r="D276" s="100"/>
      <c r="E276" s="100"/>
      <c r="F276" s="100"/>
      <c r="G276" s="100"/>
      <c r="H276" s="100"/>
      <c r="I276" s="100"/>
    </row>
    <row r="277" spans="2:9" x14ac:dyDescent="0.3">
      <c r="B277" s="99" t="s">
        <v>1287</v>
      </c>
      <c r="C277" s="73">
        <v>339600</v>
      </c>
      <c r="D277" s="100"/>
      <c r="E277" s="100"/>
      <c r="F277" s="100"/>
      <c r="G277" s="100"/>
      <c r="H277" s="100"/>
      <c r="I277" s="100"/>
    </row>
    <row r="278" spans="2:9" x14ac:dyDescent="0.3">
      <c r="B278" s="99" t="s">
        <v>1288</v>
      </c>
      <c r="C278" s="73">
        <v>849000</v>
      </c>
    </row>
    <row r="279" spans="2:9" x14ac:dyDescent="0.3">
      <c r="B279" s="99" t="s">
        <v>1289</v>
      </c>
      <c r="C279" s="73">
        <v>1698800</v>
      </c>
    </row>
    <row r="280" spans="2:9" x14ac:dyDescent="0.3">
      <c r="B280" s="99" t="s">
        <v>1290</v>
      </c>
      <c r="C280" s="73">
        <v>509640</v>
      </c>
    </row>
    <row r="281" spans="2:9" x14ac:dyDescent="0.3">
      <c r="B281" s="99" t="s">
        <v>1291</v>
      </c>
      <c r="C281" s="73">
        <v>509640</v>
      </c>
    </row>
    <row r="282" spans="2:9" x14ac:dyDescent="0.3">
      <c r="B282" s="99" t="s">
        <v>1292</v>
      </c>
      <c r="C282" s="73">
        <v>499447</v>
      </c>
    </row>
    <row r="283" spans="2:9" x14ac:dyDescent="0.3">
      <c r="B283" s="99" t="s">
        <v>1293</v>
      </c>
      <c r="C283" s="73">
        <v>169880</v>
      </c>
    </row>
    <row r="284" spans="2:9" x14ac:dyDescent="0.3">
      <c r="B284" s="99" t="s">
        <v>1294</v>
      </c>
      <c r="C284" s="73">
        <v>8494000</v>
      </c>
    </row>
    <row r="285" spans="2:9" x14ac:dyDescent="0.3">
      <c r="B285" s="99" t="s">
        <v>1295</v>
      </c>
      <c r="C285" s="73">
        <v>169880</v>
      </c>
    </row>
    <row r="286" spans="2:9" x14ac:dyDescent="0.3">
      <c r="B286" s="99" t="s">
        <v>1296</v>
      </c>
      <c r="C286" s="73">
        <v>849000</v>
      </c>
    </row>
    <row r="287" spans="2:9" x14ac:dyDescent="0.3">
      <c r="B287" s="99" t="s">
        <v>1297</v>
      </c>
      <c r="C287" s="73">
        <v>1443980</v>
      </c>
    </row>
    <row r="288" spans="2:9" x14ac:dyDescent="0.3">
      <c r="B288" s="99" t="s">
        <v>1298</v>
      </c>
      <c r="C288" s="73">
        <v>3397600</v>
      </c>
    </row>
    <row r="289" spans="2:3" x14ac:dyDescent="0.3">
      <c r="B289" s="99" t="s">
        <v>1299</v>
      </c>
      <c r="C289" s="73">
        <v>169880</v>
      </c>
    </row>
    <row r="290" spans="2:3" x14ac:dyDescent="0.3">
      <c r="B290" s="99" t="s">
        <v>1300</v>
      </c>
      <c r="C290" s="73">
        <v>509640</v>
      </c>
    </row>
    <row r="291" spans="2:3" x14ac:dyDescent="0.3">
      <c r="B291" s="99" t="s">
        <v>1301</v>
      </c>
      <c r="C291" s="73">
        <v>339760</v>
      </c>
    </row>
    <row r="292" spans="2:3" x14ac:dyDescent="0.3">
      <c r="B292" s="99" t="s">
        <v>1302</v>
      </c>
      <c r="C292" s="73">
        <v>3397600</v>
      </c>
    </row>
    <row r="293" spans="2:3" x14ac:dyDescent="0.3">
      <c r="B293" s="99" t="s">
        <v>1303</v>
      </c>
      <c r="C293" s="73">
        <v>169880</v>
      </c>
    </row>
    <row r="294" spans="2:3" x14ac:dyDescent="0.3">
      <c r="B294" s="99" t="s">
        <v>1304</v>
      </c>
      <c r="C294" s="73">
        <v>3397600</v>
      </c>
    </row>
    <row r="295" spans="2:3" x14ac:dyDescent="0.3">
      <c r="B295" s="99" t="s">
        <v>1305</v>
      </c>
      <c r="C295" s="73">
        <v>3397600</v>
      </c>
    </row>
    <row r="296" spans="2:3" x14ac:dyDescent="0.3">
      <c r="B296" s="99" t="s">
        <v>1306</v>
      </c>
      <c r="C296" s="73">
        <v>3397600</v>
      </c>
    </row>
    <row r="297" spans="2:3" x14ac:dyDescent="0.3">
      <c r="B297" s="99" t="s">
        <v>1307</v>
      </c>
      <c r="C297" s="73">
        <v>1698800</v>
      </c>
    </row>
    <row r="298" spans="2:3" x14ac:dyDescent="0.3">
      <c r="B298" s="99" t="s">
        <v>1308</v>
      </c>
      <c r="C298" s="73">
        <v>3397600</v>
      </c>
    </row>
    <row r="299" spans="2:3" x14ac:dyDescent="0.3">
      <c r="B299" s="99" t="s">
        <v>1309</v>
      </c>
      <c r="C299" s="73">
        <v>169880</v>
      </c>
    </row>
    <row r="300" spans="2:3" x14ac:dyDescent="0.3">
      <c r="B300" s="99" t="s">
        <v>1310</v>
      </c>
      <c r="C300" s="73">
        <v>3397600</v>
      </c>
    </row>
    <row r="301" spans="2:3" x14ac:dyDescent="0.3">
      <c r="B301" s="99" t="s">
        <v>1311</v>
      </c>
      <c r="C301" s="73">
        <v>3397600</v>
      </c>
    </row>
    <row r="302" spans="2:3" x14ac:dyDescent="0.3">
      <c r="B302" s="99" t="s">
        <v>1312</v>
      </c>
      <c r="C302" s="73">
        <v>2548200</v>
      </c>
    </row>
    <row r="303" spans="2:3" x14ac:dyDescent="0.3">
      <c r="B303" s="99" t="s">
        <v>1313</v>
      </c>
      <c r="C303" s="73">
        <v>169880</v>
      </c>
    </row>
    <row r="304" spans="2:3" x14ac:dyDescent="0.3">
      <c r="B304" s="99" t="s">
        <v>1314</v>
      </c>
      <c r="C304" s="73">
        <v>169880</v>
      </c>
    </row>
    <row r="305" spans="1:9" x14ac:dyDescent="0.3">
      <c r="B305" s="99" t="s">
        <v>1315</v>
      </c>
      <c r="C305" s="73">
        <v>1698800</v>
      </c>
    </row>
    <row r="306" spans="1:9" x14ac:dyDescent="0.3">
      <c r="B306" s="99" t="s">
        <v>1316</v>
      </c>
      <c r="C306" s="73">
        <v>849400</v>
      </c>
    </row>
    <row r="307" spans="1:9" ht="31.2" x14ac:dyDescent="0.6">
      <c r="A307" s="65" t="s">
        <v>1153</v>
      </c>
      <c r="B307" s="66">
        <f>COUNTA(B249:B306)</f>
        <v>58</v>
      </c>
      <c r="C307" s="67">
        <f>SUM(C249:C306)</f>
        <v>102877807</v>
      </c>
      <c r="D307" s="68"/>
      <c r="E307" s="69"/>
      <c r="F307" s="69"/>
      <c r="G307" s="69"/>
      <c r="H307" s="70"/>
      <c r="I307" s="69"/>
    </row>
    <row r="311" spans="1:9" ht="25.8" x14ac:dyDescent="0.5">
      <c r="B311" s="92" t="s">
        <v>1317</v>
      </c>
    </row>
    <row r="312" spans="1:9" x14ac:dyDescent="0.3">
      <c r="B312" s="93" t="s">
        <v>1075</v>
      </c>
      <c r="C312" s="94" t="s">
        <v>1076</v>
      </c>
      <c r="D312" s="95" t="s">
        <v>1077</v>
      </c>
      <c r="E312" s="96" t="s">
        <v>1076</v>
      </c>
      <c r="F312" s="96" t="s">
        <v>1078</v>
      </c>
      <c r="G312" s="96" t="s">
        <v>1076</v>
      </c>
      <c r="H312" s="95" t="s">
        <v>1079</v>
      </c>
      <c r="I312" s="96" t="s">
        <v>1076</v>
      </c>
    </row>
    <row r="313" spans="1:9" x14ac:dyDescent="0.3">
      <c r="B313" s="202" t="s">
        <v>1103</v>
      </c>
      <c r="C313" s="202"/>
      <c r="D313" s="202"/>
      <c r="E313" s="202"/>
      <c r="F313" s="202"/>
      <c r="G313" s="202"/>
      <c r="H313" s="202"/>
      <c r="I313" s="202"/>
    </row>
    <row r="314" spans="1:9" x14ac:dyDescent="0.3">
      <c r="B314" s="99" t="s">
        <v>1318</v>
      </c>
      <c r="C314" s="73">
        <v>10000000</v>
      </c>
      <c r="D314" s="100"/>
      <c r="E314" s="100"/>
      <c r="F314" s="100"/>
      <c r="G314" s="100"/>
      <c r="H314" s="100"/>
      <c r="I314" s="100"/>
    </row>
    <row r="315" spans="1:9" x14ac:dyDescent="0.3">
      <c r="B315" s="99" t="s">
        <v>1319</v>
      </c>
      <c r="C315" s="73">
        <v>7000000</v>
      </c>
      <c r="D315" s="100"/>
      <c r="E315" s="100"/>
      <c r="F315" s="100"/>
      <c r="G315" s="100"/>
      <c r="H315" s="100"/>
      <c r="I315" s="100"/>
    </row>
    <row r="316" spans="1:9" x14ac:dyDescent="0.3">
      <c r="B316" s="99" t="s">
        <v>1320</v>
      </c>
      <c r="C316" s="73">
        <v>200000</v>
      </c>
      <c r="D316" s="100"/>
      <c r="E316" s="100"/>
      <c r="F316" s="100"/>
      <c r="G316" s="100"/>
      <c r="H316" s="100"/>
      <c r="I316" s="100"/>
    </row>
    <row r="317" spans="1:9" x14ac:dyDescent="0.3">
      <c r="B317" s="99" t="s">
        <v>1321</v>
      </c>
      <c r="C317" s="73">
        <v>200000</v>
      </c>
      <c r="D317" s="100"/>
      <c r="E317" s="100"/>
      <c r="F317" s="100"/>
      <c r="G317" s="100"/>
      <c r="H317" s="100"/>
      <c r="I317" s="100"/>
    </row>
    <row r="318" spans="1:9" x14ac:dyDescent="0.3">
      <c r="B318" s="99" t="s">
        <v>1322</v>
      </c>
      <c r="C318" s="73">
        <v>200000</v>
      </c>
      <c r="D318" s="100"/>
      <c r="E318" s="100"/>
      <c r="F318" s="100"/>
      <c r="G318" s="100"/>
      <c r="H318" s="100"/>
      <c r="I318" s="100"/>
    </row>
    <row r="319" spans="1:9" x14ac:dyDescent="0.3">
      <c r="B319" s="99" t="s">
        <v>1323</v>
      </c>
      <c r="C319" s="73">
        <v>390000</v>
      </c>
      <c r="D319" s="100"/>
      <c r="E319" s="100"/>
      <c r="F319" s="100"/>
      <c r="G319" s="100"/>
      <c r="H319" s="100"/>
      <c r="I319" s="100"/>
    </row>
    <row r="320" spans="1:9" x14ac:dyDescent="0.3">
      <c r="B320" s="99" t="s">
        <v>1324</v>
      </c>
      <c r="C320" s="73">
        <v>2000000</v>
      </c>
    </row>
    <row r="321" spans="1:9" x14ac:dyDescent="0.3">
      <c r="B321" s="99" t="s">
        <v>1325</v>
      </c>
      <c r="C321" s="73">
        <v>1000000</v>
      </c>
    </row>
    <row r="322" spans="1:9" x14ac:dyDescent="0.3">
      <c r="B322" s="99" t="s">
        <v>1326</v>
      </c>
      <c r="C322" s="73">
        <v>200000</v>
      </c>
    </row>
    <row r="323" spans="1:9" x14ac:dyDescent="0.3">
      <c r="B323" s="99" t="s">
        <v>1327</v>
      </c>
      <c r="C323" s="73">
        <v>200000</v>
      </c>
    </row>
    <row r="324" spans="1:9" x14ac:dyDescent="0.3">
      <c r="B324" s="99" t="s">
        <v>1328</v>
      </c>
      <c r="C324" s="73">
        <v>2000000</v>
      </c>
    </row>
    <row r="325" spans="1:9" x14ac:dyDescent="0.3">
      <c r="B325" s="99" t="s">
        <v>1329</v>
      </c>
      <c r="C325" s="73">
        <v>10000000</v>
      </c>
    </row>
    <row r="326" spans="1:9" x14ac:dyDescent="0.3">
      <c r="B326" s="99" t="s">
        <v>1330</v>
      </c>
      <c r="C326" s="73">
        <v>200000</v>
      </c>
    </row>
    <row r="327" spans="1:9" x14ac:dyDescent="0.3">
      <c r="B327" s="99" t="s">
        <v>1331</v>
      </c>
      <c r="C327" s="73">
        <v>3000000</v>
      </c>
    </row>
    <row r="328" spans="1:9" x14ac:dyDescent="0.3">
      <c r="B328" s="99" t="s">
        <v>1332</v>
      </c>
      <c r="C328" s="73">
        <v>8000000</v>
      </c>
    </row>
    <row r="329" spans="1:9" x14ac:dyDescent="0.3">
      <c r="B329" s="99" t="s">
        <v>1333</v>
      </c>
      <c r="C329" s="73">
        <v>515000</v>
      </c>
    </row>
    <row r="330" spans="1:9" x14ac:dyDescent="0.3">
      <c r="B330" s="99" t="s">
        <v>1334</v>
      </c>
      <c r="C330" s="73">
        <v>300000</v>
      </c>
    </row>
    <row r="331" spans="1:9" x14ac:dyDescent="0.3">
      <c r="B331" s="99" t="s">
        <v>1335</v>
      </c>
      <c r="C331" s="73">
        <v>5000000</v>
      </c>
    </row>
    <row r="332" spans="1:9" x14ac:dyDescent="0.3">
      <c r="B332" s="99" t="s">
        <v>1336</v>
      </c>
      <c r="C332" s="73">
        <v>500000</v>
      </c>
    </row>
    <row r="333" spans="1:9" ht="31.2" x14ac:dyDescent="0.6">
      <c r="A333" s="65" t="s">
        <v>1153</v>
      </c>
      <c r="B333" s="66">
        <f>COUNTA(B314:B332)</f>
        <v>19</v>
      </c>
      <c r="C333" s="67">
        <f>SUM(C314:C332)</f>
        <v>50905000</v>
      </c>
      <c r="D333" s="68"/>
      <c r="E333" s="69"/>
      <c r="F333" s="69"/>
      <c r="G333" s="69"/>
      <c r="H333" s="70"/>
      <c r="I333" s="69"/>
    </row>
    <row r="336" spans="1:9" ht="25.8" x14ac:dyDescent="0.5">
      <c r="B336" s="92" t="s">
        <v>1337</v>
      </c>
    </row>
    <row r="337" spans="1:9" x14ac:dyDescent="0.3">
      <c r="B337" s="93" t="s">
        <v>1075</v>
      </c>
      <c r="C337" s="94" t="s">
        <v>1076</v>
      </c>
      <c r="D337" s="95" t="s">
        <v>1077</v>
      </c>
      <c r="E337" s="96" t="s">
        <v>1076</v>
      </c>
      <c r="F337" s="96" t="s">
        <v>1078</v>
      </c>
      <c r="G337" s="96" t="s">
        <v>1076</v>
      </c>
      <c r="H337" s="95" t="s">
        <v>1079</v>
      </c>
      <c r="I337" s="96" t="s">
        <v>1076</v>
      </c>
    </row>
    <row r="338" spans="1:9" x14ac:dyDescent="0.3">
      <c r="B338" s="202" t="s">
        <v>1140</v>
      </c>
      <c r="C338" s="202"/>
      <c r="D338" s="202"/>
      <c r="E338" s="202"/>
      <c r="F338" s="202"/>
      <c r="G338" s="202"/>
      <c r="H338" s="202"/>
      <c r="I338" s="202"/>
    </row>
    <row r="339" spans="1:9" x14ac:dyDescent="0.3">
      <c r="B339" s="43" t="s">
        <v>1338</v>
      </c>
      <c r="C339" s="44">
        <v>4113212</v>
      </c>
      <c r="D339" s="45" t="s">
        <v>1616</v>
      </c>
      <c r="E339" s="46">
        <v>16472000</v>
      </c>
    </row>
    <row r="340" spans="1:9" x14ac:dyDescent="0.3">
      <c r="B340" s="43" t="s">
        <v>1527</v>
      </c>
      <c r="C340" s="44">
        <v>4292000</v>
      </c>
      <c r="D340" s="43" t="s">
        <v>1339</v>
      </c>
      <c r="E340" s="44">
        <v>4113212</v>
      </c>
    </row>
    <row r="341" spans="1:9" x14ac:dyDescent="0.3">
      <c r="B341" s="43" t="s">
        <v>1676</v>
      </c>
      <c r="C341" s="44">
        <v>330000</v>
      </c>
    </row>
    <row r="343" spans="1:9" ht="31.2" x14ac:dyDescent="0.6">
      <c r="A343" s="65" t="s">
        <v>1153</v>
      </c>
      <c r="B343" s="66">
        <f>COUNTA(B339:B342)</f>
        <v>3</v>
      </c>
      <c r="C343" s="67">
        <f>SUM(C339:C342)</f>
        <v>8735212</v>
      </c>
      <c r="D343" s="68">
        <f>COUNTA(D339:D341)</f>
        <v>2</v>
      </c>
      <c r="E343" s="69">
        <f>SUM(E339:E341)</f>
        <v>20585212</v>
      </c>
      <c r="F343" s="69"/>
      <c r="G343" s="69"/>
      <c r="H343" s="70"/>
      <c r="I343" s="69"/>
    </row>
  </sheetData>
  <mergeCells count="21">
    <mergeCell ref="B11:I11"/>
    <mergeCell ref="B25:I25"/>
    <mergeCell ref="B31:I31"/>
    <mergeCell ref="B68:I68"/>
    <mergeCell ref="B91:I91"/>
    <mergeCell ref="B100:I100"/>
    <mergeCell ref="B117:I117"/>
    <mergeCell ref="B123:I123"/>
    <mergeCell ref="B134:I134"/>
    <mergeCell ref="B141:I141"/>
    <mergeCell ref="B154:I154"/>
    <mergeCell ref="B166:I166"/>
    <mergeCell ref="B171:I171"/>
    <mergeCell ref="B184:I184"/>
    <mergeCell ref="B189:I189"/>
    <mergeCell ref="B338:I338"/>
    <mergeCell ref="B216:I216"/>
    <mergeCell ref="B225:I225"/>
    <mergeCell ref="B235:I235"/>
    <mergeCell ref="B248:I248"/>
    <mergeCell ref="B313:I3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3"/>
  <sheetViews>
    <sheetView topLeftCell="A21" workbookViewId="0">
      <selection activeCell="C25" sqref="C25"/>
    </sheetView>
  </sheetViews>
  <sheetFormatPr defaultColWidth="12.5546875" defaultRowHeight="14.4" x14ac:dyDescent="0.3"/>
  <cols>
    <col min="1" max="1" width="26.44140625" style="33" customWidth="1"/>
    <col min="2" max="2" width="76.44140625" style="33" customWidth="1"/>
    <col min="3" max="3" width="113.44140625" style="33" customWidth="1"/>
    <col min="4" max="26" width="8.5546875" style="33" customWidth="1"/>
    <col min="27" max="16384" width="12.5546875" style="33"/>
  </cols>
  <sheetData>
    <row r="1" spans="1:3" ht="14.25" customHeight="1" x14ac:dyDescent="0.3">
      <c r="A1" s="35" t="s">
        <v>1340</v>
      </c>
      <c r="B1" s="34"/>
      <c r="C1" s="34"/>
    </row>
    <row r="2" spans="1:3" ht="14.25" customHeight="1" x14ac:dyDescent="0.3">
      <c r="A2" s="35" t="s">
        <v>40</v>
      </c>
      <c r="B2" s="34"/>
      <c r="C2" s="34"/>
    </row>
    <row r="3" spans="1:3" ht="14.25" customHeight="1" x14ac:dyDescent="0.3">
      <c r="A3" s="36" t="s">
        <v>1341</v>
      </c>
      <c r="B3" s="36" t="s">
        <v>1342</v>
      </c>
      <c r="C3" s="36" t="s">
        <v>1343</v>
      </c>
    </row>
    <row r="4" spans="1:3" ht="96.6" customHeight="1" x14ac:dyDescent="0.3">
      <c r="A4" s="34" t="s">
        <v>81</v>
      </c>
      <c r="B4" s="34" t="s">
        <v>1344</v>
      </c>
      <c r="C4" s="37" t="s">
        <v>1345</v>
      </c>
    </row>
    <row r="5" spans="1:3" ht="14.25" customHeight="1" x14ac:dyDescent="0.3">
      <c r="A5" s="34" t="s">
        <v>55</v>
      </c>
      <c r="B5" s="34" t="s">
        <v>1346</v>
      </c>
      <c r="C5" s="34" t="s">
        <v>1347</v>
      </c>
    </row>
    <row r="6" spans="1:3" ht="14.25" customHeight="1" x14ac:dyDescent="0.3">
      <c r="A6" s="34" t="s">
        <v>1348</v>
      </c>
      <c r="B6" s="34" t="s">
        <v>1349</v>
      </c>
      <c r="C6" s="34" t="s">
        <v>1350</v>
      </c>
    </row>
    <row r="7" spans="1:3" ht="14.25" customHeight="1" x14ac:dyDescent="0.3">
      <c r="A7" s="34" t="s">
        <v>45</v>
      </c>
      <c r="B7" s="34" t="s">
        <v>1351</v>
      </c>
      <c r="C7" s="34" t="s">
        <v>1352</v>
      </c>
    </row>
    <row r="8" spans="1:3" ht="14.25" customHeight="1" x14ac:dyDescent="0.3">
      <c r="A8" s="34" t="s">
        <v>473</v>
      </c>
      <c r="B8" s="34" t="s">
        <v>1353</v>
      </c>
      <c r="C8" s="34" t="s">
        <v>1354</v>
      </c>
    </row>
    <row r="9" spans="1:3" ht="14.25" customHeight="1" x14ac:dyDescent="0.3"/>
    <row r="10" spans="1:3" ht="14.25" customHeight="1" x14ac:dyDescent="0.3">
      <c r="A10" s="34" t="s">
        <v>1355</v>
      </c>
      <c r="B10" s="34"/>
      <c r="C10" s="34"/>
    </row>
    <row r="11" spans="1:3" ht="14.25" customHeight="1" x14ac:dyDescent="0.3">
      <c r="A11" s="38" t="s">
        <v>1341</v>
      </c>
      <c r="B11" s="38" t="s">
        <v>1342</v>
      </c>
      <c r="C11" s="38" t="s">
        <v>1343</v>
      </c>
    </row>
    <row r="12" spans="1:3" ht="14.25" customHeight="1" x14ac:dyDescent="0.3">
      <c r="A12" s="34" t="s">
        <v>64</v>
      </c>
      <c r="B12" s="34" t="s">
        <v>1356</v>
      </c>
      <c r="C12" s="34" t="s">
        <v>1357</v>
      </c>
    </row>
    <row r="13" spans="1:3" ht="14.25" customHeight="1" x14ac:dyDescent="0.3">
      <c r="A13" s="34" t="s">
        <v>1358</v>
      </c>
      <c r="B13" s="34" t="s">
        <v>1359</v>
      </c>
      <c r="C13" s="34" t="s">
        <v>1360</v>
      </c>
    </row>
    <row r="14" spans="1:3" ht="14.25" customHeight="1" x14ac:dyDescent="0.3">
      <c r="A14" s="34" t="s">
        <v>1361</v>
      </c>
      <c r="B14" s="34" t="s">
        <v>1344</v>
      </c>
      <c r="C14" s="34" t="s">
        <v>1362</v>
      </c>
    </row>
    <row r="15" spans="1:3" ht="14.25" customHeight="1" x14ac:dyDescent="0.3"/>
    <row r="16" spans="1:3" ht="14.25" customHeight="1" x14ac:dyDescent="0.3"/>
    <row r="17" spans="1:2" ht="14.25" customHeight="1" x14ac:dyDescent="0.3">
      <c r="A17" s="204" t="s">
        <v>1363</v>
      </c>
      <c r="B17" s="204"/>
    </row>
    <row r="18" spans="1:2" ht="154.19999999999999" customHeight="1" x14ac:dyDescent="0.3">
      <c r="A18" s="39" t="s">
        <v>66</v>
      </c>
      <c r="B18" s="40" t="s">
        <v>67</v>
      </c>
    </row>
    <row r="19" spans="1:2" ht="72" x14ac:dyDescent="0.3">
      <c r="A19" s="40" t="s">
        <v>86</v>
      </c>
      <c r="B19" s="40" t="s">
        <v>87</v>
      </c>
    </row>
    <row r="20" spans="1:2" ht="86.4" x14ac:dyDescent="0.3">
      <c r="A20" s="40" t="s">
        <v>95</v>
      </c>
      <c r="B20" s="40" t="s">
        <v>96</v>
      </c>
    </row>
    <row r="21" spans="1:2" ht="57.6" x14ac:dyDescent="0.3">
      <c r="A21" s="40" t="s">
        <v>1364</v>
      </c>
      <c r="B21" s="40" t="s">
        <v>1365</v>
      </c>
    </row>
    <row r="22" spans="1:2" ht="57.6" x14ac:dyDescent="0.3">
      <c r="A22" s="41" t="s">
        <v>83</v>
      </c>
      <c r="B22" s="41" t="s">
        <v>1366</v>
      </c>
    </row>
    <row r="23" spans="1:2" ht="43.2" x14ac:dyDescent="0.3">
      <c r="A23" s="40" t="s">
        <v>306</v>
      </c>
      <c r="B23" s="40" t="s">
        <v>1367</v>
      </c>
    </row>
    <row r="24" spans="1:2" ht="28.8" x14ac:dyDescent="0.3">
      <c r="A24" s="39" t="s">
        <v>1368</v>
      </c>
      <c r="B24" s="40" t="s">
        <v>1369</v>
      </c>
    </row>
    <row r="25" spans="1:2" ht="105.6" customHeight="1" x14ac:dyDescent="0.3">
      <c r="A25" s="40" t="s">
        <v>325</v>
      </c>
      <c r="B25" s="40" t="s">
        <v>307</v>
      </c>
    </row>
    <row r="26" spans="1:2" ht="106.05" customHeight="1" x14ac:dyDescent="0.3">
      <c r="A26" s="40" t="s">
        <v>325</v>
      </c>
      <c r="B26" s="41" t="s">
        <v>874</v>
      </c>
    </row>
    <row r="27" spans="1:2" ht="14.25" customHeight="1" x14ac:dyDescent="0.3">
      <c r="A27" s="34" t="s">
        <v>1370</v>
      </c>
      <c r="B27" s="34" t="s">
        <v>1371</v>
      </c>
    </row>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sheetData>
  <mergeCells count="1">
    <mergeCell ref="A17:B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2"/>
  <sheetViews>
    <sheetView topLeftCell="A20" workbookViewId="0">
      <selection activeCell="C32" sqref="C32"/>
    </sheetView>
  </sheetViews>
  <sheetFormatPr defaultColWidth="8.88671875" defaultRowHeight="14.4" x14ac:dyDescent="0.3"/>
  <cols>
    <col min="1" max="1" width="23.33203125" style="32" customWidth="1"/>
    <col min="2" max="2" width="21.109375" style="33" customWidth="1"/>
    <col min="3" max="3" width="107.33203125" style="33" customWidth="1"/>
    <col min="4" max="4" width="17.44140625" style="33" customWidth="1"/>
    <col min="5" max="16384" width="8.88671875" style="33"/>
  </cols>
  <sheetData>
    <row r="1" spans="1:5" x14ac:dyDescent="0.3">
      <c r="A1" s="123" t="s">
        <v>1372</v>
      </c>
      <c r="B1" s="124" t="s">
        <v>1373</v>
      </c>
      <c r="C1" s="124" t="s">
        <v>1374</v>
      </c>
      <c r="D1" s="125" t="s">
        <v>1375</v>
      </c>
      <c r="E1" s="126"/>
    </row>
    <row r="2" spans="1:5" x14ac:dyDescent="0.3">
      <c r="A2" s="127">
        <v>46045.003472222197</v>
      </c>
      <c r="B2" s="126" t="s">
        <v>1376</v>
      </c>
      <c r="C2" s="128" t="s">
        <v>1377</v>
      </c>
      <c r="D2" s="129">
        <v>46045.243055555598</v>
      </c>
      <c r="E2" s="126"/>
    </row>
    <row r="3" spans="1:5" x14ac:dyDescent="0.3">
      <c r="A3" s="127">
        <v>46057.002268518503</v>
      </c>
      <c r="B3" s="126" t="s">
        <v>1378</v>
      </c>
      <c r="C3" s="126" t="s">
        <v>1379</v>
      </c>
      <c r="D3" s="129">
        <v>46057.210543981499</v>
      </c>
      <c r="E3" s="126"/>
    </row>
    <row r="4" spans="1:5" x14ac:dyDescent="0.3">
      <c r="A4" s="129">
        <v>46057.221030092602</v>
      </c>
      <c r="B4" s="126" t="s">
        <v>1378</v>
      </c>
      <c r="C4" s="126" t="s">
        <v>1380</v>
      </c>
      <c r="D4" s="129">
        <v>46057.7105324074</v>
      </c>
      <c r="E4" s="126"/>
    </row>
    <row r="5" spans="1:5" x14ac:dyDescent="0.3">
      <c r="A5" s="129">
        <v>46057.731458333299</v>
      </c>
      <c r="B5" s="126" t="s">
        <v>1378</v>
      </c>
      <c r="C5" s="126" t="s">
        <v>1381</v>
      </c>
      <c r="D5" s="129">
        <v>46057.918900463003</v>
      </c>
      <c r="E5" s="126"/>
    </row>
    <row r="6" spans="1:5" x14ac:dyDescent="0.3">
      <c r="A6" s="129">
        <v>46059.003472222197</v>
      </c>
      <c r="B6" s="126" t="s">
        <v>1376</v>
      </c>
      <c r="C6" s="126" t="s">
        <v>1382</v>
      </c>
      <c r="D6" s="129">
        <v>46059.243055555598</v>
      </c>
      <c r="E6" s="126"/>
    </row>
    <row r="7" spans="1:5" x14ac:dyDescent="0.3">
      <c r="A7" s="129">
        <v>46059.823784722197</v>
      </c>
      <c r="B7" s="126" t="s">
        <v>1383</v>
      </c>
      <c r="C7" s="126" t="s">
        <v>1384</v>
      </c>
      <c r="D7" s="129">
        <v>46059.855034722197</v>
      </c>
      <c r="E7" s="126"/>
    </row>
    <row r="8" spans="1:5" x14ac:dyDescent="0.3">
      <c r="A8" s="129">
        <v>46059.980023148099</v>
      </c>
      <c r="B8" s="126" t="s">
        <v>1383</v>
      </c>
      <c r="C8" s="126" t="s">
        <v>1385</v>
      </c>
      <c r="D8" s="129">
        <v>46060.021689814799</v>
      </c>
      <c r="E8" s="126"/>
    </row>
    <row r="9" spans="1:5" x14ac:dyDescent="0.3">
      <c r="A9" s="129">
        <v>46063.377106481501</v>
      </c>
      <c r="B9" s="126" t="s">
        <v>1376</v>
      </c>
      <c r="C9" s="126" t="s">
        <v>1386</v>
      </c>
      <c r="D9" s="129">
        <v>46063.387523148202</v>
      </c>
      <c r="E9" s="126"/>
    </row>
    <row r="10" spans="1:5" x14ac:dyDescent="0.3">
      <c r="A10" s="129">
        <v>46063.450023148202</v>
      </c>
      <c r="B10" s="126" t="s">
        <v>1376</v>
      </c>
      <c r="C10" s="126" t="s">
        <v>1387</v>
      </c>
      <c r="D10" s="129">
        <v>46063.470856481501</v>
      </c>
      <c r="E10" s="126"/>
    </row>
    <row r="11" spans="1:5" x14ac:dyDescent="0.3">
      <c r="A11" s="129">
        <v>46065.668275463002</v>
      </c>
      <c r="B11" s="126" t="s">
        <v>1388</v>
      </c>
      <c r="C11" s="126" t="s">
        <v>1389</v>
      </c>
      <c r="D11" s="129">
        <v>46065.709942129601</v>
      </c>
      <c r="E11" s="126"/>
    </row>
    <row r="12" spans="1:5" x14ac:dyDescent="0.3">
      <c r="A12" s="129">
        <v>46066.003472222197</v>
      </c>
      <c r="B12" s="126" t="s">
        <v>1376</v>
      </c>
      <c r="C12" s="126" t="s">
        <v>1390</v>
      </c>
      <c r="D12" s="129">
        <v>46066.243067129602</v>
      </c>
      <c r="E12" s="126"/>
    </row>
    <row r="13" spans="1:5" x14ac:dyDescent="0.3">
      <c r="A13" s="129">
        <v>46077.211550925902</v>
      </c>
      <c r="B13" s="126" t="s">
        <v>1391</v>
      </c>
      <c r="C13" s="126" t="s">
        <v>1392</v>
      </c>
      <c r="D13" s="129">
        <v>46077.232384259303</v>
      </c>
      <c r="E13" s="126"/>
    </row>
    <row r="14" spans="1:5" x14ac:dyDescent="0.3">
      <c r="A14" s="129">
        <v>46077.211550925902</v>
      </c>
      <c r="B14" s="126" t="s">
        <v>1391</v>
      </c>
      <c r="C14" s="126" t="s">
        <v>1393</v>
      </c>
      <c r="D14" s="129">
        <v>46077.232384259303</v>
      </c>
      <c r="E14" s="126"/>
    </row>
    <row r="15" spans="1:5" x14ac:dyDescent="0.3">
      <c r="A15" s="129">
        <v>46083.420138888898</v>
      </c>
      <c r="B15" s="130" t="s">
        <v>1394</v>
      </c>
      <c r="C15" s="126" t="s">
        <v>1395</v>
      </c>
      <c r="D15" s="126"/>
      <c r="E15" s="126"/>
    </row>
    <row r="16" spans="1:5" x14ac:dyDescent="0.3">
      <c r="A16" s="129">
        <v>46084.002164351798</v>
      </c>
      <c r="B16" s="126" t="s">
        <v>1396</v>
      </c>
      <c r="C16" s="126" t="s">
        <v>1397</v>
      </c>
      <c r="D16" s="127">
        <v>46084.064664351798</v>
      </c>
      <c r="E16" s="126"/>
    </row>
    <row r="17" spans="1:5" x14ac:dyDescent="0.3">
      <c r="A17" s="127">
        <v>46084.200104166703</v>
      </c>
      <c r="B17" s="126" t="s">
        <v>1396</v>
      </c>
      <c r="C17" s="126" t="s">
        <v>1398</v>
      </c>
      <c r="D17" s="127">
        <v>46084.210497685199</v>
      </c>
      <c r="E17" s="126"/>
    </row>
    <row r="18" spans="1:5" x14ac:dyDescent="0.3">
      <c r="A18" s="127">
        <v>46084.345937500002</v>
      </c>
      <c r="B18" s="126" t="s">
        <v>1396</v>
      </c>
      <c r="C18" s="126" t="s">
        <v>1399</v>
      </c>
      <c r="D18" s="129">
        <v>46084.356331018498</v>
      </c>
      <c r="E18" s="126"/>
    </row>
    <row r="19" spans="1:5" x14ac:dyDescent="0.3">
      <c r="A19" s="129">
        <v>46087.003472222197</v>
      </c>
      <c r="B19" s="126" t="s">
        <v>1376</v>
      </c>
      <c r="C19" s="126" t="s">
        <v>1400</v>
      </c>
      <c r="D19" s="129">
        <v>46087.243055555598</v>
      </c>
      <c r="E19" s="126"/>
    </row>
    <row r="20" spans="1:5" x14ac:dyDescent="0.3">
      <c r="A20" s="129">
        <v>46090.046863425901</v>
      </c>
      <c r="B20" s="126" t="s">
        <v>1401</v>
      </c>
      <c r="C20" s="126" t="s">
        <v>1402</v>
      </c>
      <c r="D20" s="129">
        <v>46090.088530092602</v>
      </c>
      <c r="E20" s="126"/>
    </row>
    <row r="21" spans="1:5" x14ac:dyDescent="0.3">
      <c r="A21" s="129">
        <v>46092.668321759302</v>
      </c>
      <c r="B21" s="126" t="s">
        <v>1403</v>
      </c>
      <c r="C21" s="126" t="s">
        <v>1404</v>
      </c>
      <c r="D21" s="129">
        <v>46093.085011574098</v>
      </c>
      <c r="E21" s="126"/>
    </row>
    <row r="22" spans="1:5" x14ac:dyDescent="0.3">
      <c r="A22" s="129">
        <v>46113.430868055599</v>
      </c>
      <c r="B22" s="126" t="s">
        <v>1405</v>
      </c>
      <c r="C22" s="126" t="s">
        <v>1406</v>
      </c>
      <c r="D22" s="129">
        <v>46113.4621064815</v>
      </c>
      <c r="E22" s="126"/>
    </row>
    <row r="23" spans="1:5" x14ac:dyDescent="0.3">
      <c r="A23" s="129">
        <v>46113.441736111097</v>
      </c>
      <c r="B23" s="126" t="s">
        <v>1407</v>
      </c>
      <c r="C23" s="126" t="s">
        <v>1408</v>
      </c>
      <c r="D23" s="126" t="s">
        <v>78</v>
      </c>
      <c r="E23" s="126" t="s">
        <v>1409</v>
      </c>
    </row>
    <row r="24" spans="1:5" x14ac:dyDescent="0.3">
      <c r="A24" s="129">
        <v>46113.532696759299</v>
      </c>
      <c r="B24" s="126" t="s">
        <v>1410</v>
      </c>
      <c r="C24" s="126" t="s">
        <v>1402</v>
      </c>
      <c r="D24" s="129">
        <v>46113.6308796296</v>
      </c>
      <c r="E24" s="126"/>
    </row>
    <row r="25" spans="1:5" x14ac:dyDescent="0.3">
      <c r="A25" s="129">
        <v>46111.659722222197</v>
      </c>
      <c r="B25" s="126" t="s">
        <v>1394</v>
      </c>
      <c r="C25" s="126" t="s">
        <v>1411</v>
      </c>
      <c r="D25" s="129">
        <v>46113.631840277798</v>
      </c>
      <c r="E25" s="126"/>
    </row>
    <row r="26" spans="1:5" x14ac:dyDescent="0.3">
      <c r="A26" s="127">
        <v>46119.4604398148</v>
      </c>
      <c r="B26" s="126" t="s">
        <v>1412</v>
      </c>
      <c r="C26" s="126" t="s">
        <v>1413</v>
      </c>
      <c r="D26" s="129">
        <v>46119.470856481501</v>
      </c>
      <c r="E26" s="126"/>
    </row>
    <row r="27" spans="1:5" x14ac:dyDescent="0.3">
      <c r="A27" s="129">
        <v>46119.564606481501</v>
      </c>
      <c r="B27" s="126" t="s">
        <v>1412</v>
      </c>
      <c r="C27" s="126" t="s">
        <v>1414</v>
      </c>
      <c r="D27" s="129">
        <v>46119.575023148202</v>
      </c>
      <c r="E27" s="126"/>
    </row>
    <row r="28" spans="1:5" x14ac:dyDescent="0.3">
      <c r="A28" s="129">
        <v>46119.376446759299</v>
      </c>
      <c r="B28" s="126" t="s">
        <v>1410</v>
      </c>
      <c r="C28" s="126" t="s">
        <v>1415</v>
      </c>
      <c r="D28" s="129">
        <v>46133.39607638889</v>
      </c>
      <c r="E28" s="126"/>
    </row>
    <row r="29" spans="1:5" x14ac:dyDescent="0.3">
      <c r="A29" s="127">
        <v>46133.02107638889</v>
      </c>
      <c r="B29" s="126" t="s">
        <v>1394</v>
      </c>
      <c r="C29" s="126" t="s">
        <v>1621</v>
      </c>
      <c r="D29" s="129">
        <v>46133.39607638889</v>
      </c>
      <c r="E29" s="126"/>
    </row>
    <row r="30" spans="1:5" x14ac:dyDescent="0.3">
      <c r="A30" s="127">
        <v>46133.065335648149</v>
      </c>
      <c r="B30" s="126" t="s">
        <v>1623</v>
      </c>
      <c r="C30" s="126" t="s">
        <v>1622</v>
      </c>
      <c r="D30" s="129">
        <v>46133.252847222226</v>
      </c>
      <c r="E30" s="126"/>
    </row>
    <row r="31" spans="1:5" x14ac:dyDescent="0.3">
      <c r="A31" s="127">
        <v>46136.065335648149</v>
      </c>
      <c r="B31" s="126" t="s">
        <v>1623</v>
      </c>
      <c r="C31" s="126" t="s">
        <v>1622</v>
      </c>
      <c r="D31" s="191">
        <v>46136.252847222226</v>
      </c>
      <c r="E31" s="34"/>
    </row>
    <row r="32" spans="1:5" x14ac:dyDescent="0.3">
      <c r="A32" s="191">
        <v>46136.046863425923</v>
      </c>
      <c r="B32" s="126" t="s">
        <v>2650</v>
      </c>
      <c r="C32" s="126" t="s">
        <v>2651</v>
      </c>
      <c r="D32" s="191">
        <v>46136.369780092595</v>
      </c>
      <c r="E32"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3"/>
  <sheetViews>
    <sheetView workbookViewId="0">
      <pane ySplit="1" topLeftCell="A2" activePane="bottomLeft" state="frozen"/>
      <selection pane="bottomLeft" activeCell="B3" sqref="B3"/>
    </sheetView>
  </sheetViews>
  <sheetFormatPr defaultColWidth="12.6640625" defaultRowHeight="15" customHeight="1" x14ac:dyDescent="0.25"/>
  <cols>
    <col min="1" max="1" width="12.88671875" customWidth="1"/>
    <col min="2" max="2" width="15.6640625" customWidth="1"/>
    <col min="3" max="3" width="8.88671875" customWidth="1"/>
    <col min="4" max="4" width="10.33203125" customWidth="1"/>
    <col min="5" max="5" width="8.88671875" customWidth="1"/>
    <col min="6" max="6" width="6.44140625" customWidth="1"/>
    <col min="7" max="7" width="7.109375" customWidth="1"/>
    <col min="8" max="8" width="36.44140625" customWidth="1"/>
    <col min="9" max="9" width="7.6640625" customWidth="1"/>
    <col min="10" max="10" width="6.44140625" customWidth="1"/>
    <col min="11" max="11" width="9.44140625" customWidth="1"/>
    <col min="12" max="12" width="34.44140625" customWidth="1"/>
    <col min="13" max="13" width="29" customWidth="1"/>
    <col min="14" max="14" width="13.33203125" customWidth="1"/>
    <col min="15" max="15" width="11.88671875" customWidth="1"/>
    <col min="16" max="16" width="4.6640625" customWidth="1"/>
    <col min="17" max="17" width="7" customWidth="1"/>
    <col min="18" max="18" width="11.44140625" customWidth="1"/>
    <col min="19" max="26" width="8.88671875" customWidth="1"/>
  </cols>
  <sheetData>
    <row r="1" spans="1:26" ht="29.25" customHeight="1" x14ac:dyDescent="0.25">
      <c r="A1" s="9" t="s">
        <v>22</v>
      </c>
      <c r="B1" s="10" t="s">
        <v>23</v>
      </c>
      <c r="C1" s="9" t="s">
        <v>24</v>
      </c>
      <c r="D1" s="11" t="s">
        <v>25</v>
      </c>
      <c r="E1" s="11" t="s">
        <v>26</v>
      </c>
      <c r="F1" s="12" t="s">
        <v>27</v>
      </c>
      <c r="G1" s="12" t="s">
        <v>16</v>
      </c>
      <c r="H1" s="12" t="s">
        <v>1416</v>
      </c>
      <c r="I1" s="12" t="s">
        <v>30</v>
      </c>
      <c r="J1" s="23" t="s">
        <v>31</v>
      </c>
      <c r="K1" s="23" t="s">
        <v>1417</v>
      </c>
      <c r="L1" s="24" t="s">
        <v>32</v>
      </c>
      <c r="M1" s="24" t="s">
        <v>1418</v>
      </c>
      <c r="N1" s="24" t="s">
        <v>35</v>
      </c>
      <c r="O1" s="25" t="s">
        <v>1372</v>
      </c>
      <c r="P1" s="26" t="s">
        <v>1419</v>
      </c>
      <c r="Q1" s="25" t="s">
        <v>1420</v>
      </c>
      <c r="R1" s="30" t="s">
        <v>1421</v>
      </c>
      <c r="S1" s="20"/>
      <c r="T1" s="20"/>
      <c r="U1" s="20"/>
      <c r="V1" s="20"/>
      <c r="W1" s="20"/>
      <c r="X1" s="20"/>
      <c r="Y1" s="20"/>
      <c r="Z1" s="20"/>
    </row>
    <row r="2" spans="1:26" ht="111" hidden="1" customHeight="1" x14ac:dyDescent="0.25">
      <c r="A2" s="13" t="s">
        <v>1422</v>
      </c>
      <c r="B2" s="14">
        <v>45931.593055555597</v>
      </c>
      <c r="C2" s="13" t="s">
        <v>77</v>
      </c>
      <c r="D2" s="15" t="s">
        <v>78</v>
      </c>
      <c r="E2" s="13" t="s">
        <v>1423</v>
      </c>
      <c r="F2" s="16" t="s">
        <v>40</v>
      </c>
      <c r="G2" s="13" t="s">
        <v>60</v>
      </c>
      <c r="H2" s="17" t="s">
        <v>1424</v>
      </c>
      <c r="I2" s="15" t="s">
        <v>63</v>
      </c>
      <c r="J2" s="13" t="s">
        <v>1425</v>
      </c>
      <c r="K2" s="13" t="s">
        <v>5</v>
      </c>
      <c r="L2" s="15" t="s">
        <v>1426</v>
      </c>
      <c r="M2" s="15" t="s">
        <v>1427</v>
      </c>
      <c r="N2" s="14">
        <v>45931.596527777801</v>
      </c>
      <c r="O2" s="27">
        <f t="shared" ref="O2:O10" si="0">MOD(B2,1)</f>
        <v>0.59305555555329204</v>
      </c>
      <c r="P2" s="13"/>
      <c r="Q2" s="27">
        <f>MOD(N2,1)</f>
        <v>0.59652777777955601</v>
      </c>
      <c r="R2" s="13"/>
      <c r="S2" s="20"/>
      <c r="T2" s="20"/>
      <c r="U2" s="20"/>
      <c r="V2" s="20"/>
      <c r="W2" s="20"/>
      <c r="X2" s="20"/>
      <c r="Y2" s="20"/>
      <c r="Z2" s="20"/>
    </row>
    <row r="3" spans="1:26" ht="9.75" hidden="1" customHeight="1" x14ac:dyDescent="0.25">
      <c r="A3" s="13" t="s">
        <v>1428</v>
      </c>
      <c r="B3" s="14">
        <v>45931.740277777797</v>
      </c>
      <c r="C3" s="13" t="s">
        <v>77</v>
      </c>
      <c r="D3" s="15" t="s">
        <v>78</v>
      </c>
      <c r="E3" s="13" t="s">
        <v>1429</v>
      </c>
      <c r="F3" s="16" t="s">
        <v>40</v>
      </c>
      <c r="G3" s="13" t="s">
        <v>60</v>
      </c>
      <c r="H3" s="17" t="s">
        <v>1430</v>
      </c>
      <c r="I3" s="15" t="s">
        <v>107</v>
      </c>
      <c r="J3" s="13" t="s">
        <v>1425</v>
      </c>
      <c r="K3" s="13" t="s">
        <v>5</v>
      </c>
      <c r="L3" s="13" t="s">
        <v>1431</v>
      </c>
      <c r="M3" s="13" t="s">
        <v>1427</v>
      </c>
      <c r="N3" s="14">
        <v>45931.760416666701</v>
      </c>
      <c r="O3" s="27">
        <f t="shared" si="0"/>
        <v>0.74027777777519099</v>
      </c>
      <c r="P3" s="13"/>
      <c r="Q3" s="27">
        <f>MOD(N3,1)</f>
        <v>0.76041666666424101</v>
      </c>
      <c r="R3" s="13"/>
      <c r="S3" s="20"/>
      <c r="T3" s="20"/>
      <c r="U3" s="20"/>
      <c r="V3" s="20"/>
      <c r="W3" s="20"/>
      <c r="X3" s="20"/>
      <c r="Y3" s="20"/>
      <c r="Z3" s="20"/>
    </row>
    <row r="4" spans="1:26" ht="9.75" hidden="1" customHeight="1" x14ac:dyDescent="0.25">
      <c r="A4" s="13" t="s">
        <v>1432</v>
      </c>
      <c r="B4" s="14">
        <v>45931.775694444397</v>
      </c>
      <c r="C4" s="13" t="s">
        <v>77</v>
      </c>
      <c r="D4" s="15" t="s">
        <v>78</v>
      </c>
      <c r="E4" s="13" t="s">
        <v>1429</v>
      </c>
      <c r="F4" s="16" t="s">
        <v>40</v>
      </c>
      <c r="G4" s="13" t="s">
        <v>60</v>
      </c>
      <c r="H4" s="17" t="s">
        <v>1433</v>
      </c>
      <c r="I4" s="15" t="s">
        <v>107</v>
      </c>
      <c r="J4" s="13" t="s">
        <v>1425</v>
      </c>
      <c r="K4" s="13" t="s">
        <v>5</v>
      </c>
      <c r="L4" s="13" t="s">
        <v>1434</v>
      </c>
      <c r="M4" s="13" t="s">
        <v>1427</v>
      </c>
      <c r="N4" s="14">
        <v>45931.780555555597</v>
      </c>
      <c r="O4" s="27">
        <f t="shared" si="0"/>
        <v>0.77569444444088698</v>
      </c>
      <c r="P4" s="13"/>
      <c r="Q4" s="27">
        <f>MOD(N4,1)</f>
        <v>0.78055555555329204</v>
      </c>
      <c r="R4" s="13"/>
      <c r="S4" s="20"/>
      <c r="T4" s="20"/>
      <c r="U4" s="20"/>
      <c r="V4" s="20"/>
      <c r="W4" s="20"/>
      <c r="X4" s="20"/>
      <c r="Y4" s="20"/>
      <c r="Z4" s="20"/>
    </row>
    <row r="5" spans="1:26" ht="9.75" hidden="1" customHeight="1" x14ac:dyDescent="0.25">
      <c r="A5" s="13" t="s">
        <v>1435</v>
      </c>
      <c r="B5" s="14">
        <v>45931.5444444444</v>
      </c>
      <c r="C5" s="13" t="s">
        <v>37</v>
      </c>
      <c r="D5" s="15" t="s">
        <v>1436</v>
      </c>
      <c r="E5" s="13" t="s">
        <v>78</v>
      </c>
      <c r="F5" s="16" t="s">
        <v>40</v>
      </c>
      <c r="G5" s="13" t="s">
        <v>1437</v>
      </c>
      <c r="H5" s="17" t="s">
        <v>1438</v>
      </c>
      <c r="I5" s="15" t="s">
        <v>1439</v>
      </c>
      <c r="J5" s="13" t="s">
        <v>1440</v>
      </c>
      <c r="K5" s="13" t="s">
        <v>5</v>
      </c>
      <c r="L5" s="13" t="s">
        <v>1441</v>
      </c>
      <c r="M5" s="13" t="s">
        <v>1442</v>
      </c>
      <c r="N5" s="14">
        <v>45938.344444444403</v>
      </c>
      <c r="O5" s="27">
        <f t="shared" si="0"/>
        <v>0.54444444444379803</v>
      </c>
      <c r="P5" s="13"/>
      <c r="Q5" s="27">
        <f>MOD(N5,1)</f>
        <v>0.34444444444670802</v>
      </c>
      <c r="R5" s="13"/>
      <c r="S5" s="20"/>
      <c r="T5" s="20"/>
      <c r="U5" s="20"/>
      <c r="V5" s="20"/>
      <c r="W5" s="20"/>
      <c r="X5" s="20"/>
      <c r="Y5" s="20"/>
      <c r="Z5" s="20"/>
    </row>
    <row r="6" spans="1:26" ht="9.75" customHeight="1" x14ac:dyDescent="0.25">
      <c r="A6" s="13" t="s">
        <v>1443</v>
      </c>
      <c r="B6" s="14">
        <v>45951.427777777797</v>
      </c>
      <c r="C6" s="13" t="s">
        <v>37</v>
      </c>
      <c r="D6" s="15" t="s">
        <v>1013</v>
      </c>
      <c r="E6" s="13" t="s">
        <v>78</v>
      </c>
      <c r="F6" s="13" t="s">
        <v>40</v>
      </c>
      <c r="G6" s="13" t="s">
        <v>60</v>
      </c>
      <c r="H6" s="15" t="s">
        <v>1444</v>
      </c>
      <c r="I6" s="15" t="s">
        <v>1014</v>
      </c>
      <c r="J6" s="13" t="s">
        <v>64</v>
      </c>
      <c r="K6" s="13" t="s">
        <v>6</v>
      </c>
      <c r="L6" s="15" t="s">
        <v>1445</v>
      </c>
      <c r="M6" s="15" t="s">
        <v>1446</v>
      </c>
      <c r="N6" s="14"/>
      <c r="O6" s="27">
        <f t="shared" si="0"/>
        <v>0.42777777777519099</v>
      </c>
      <c r="P6" s="13"/>
      <c r="Q6" s="27"/>
      <c r="R6" s="13"/>
      <c r="S6" s="20"/>
      <c r="T6" s="20"/>
      <c r="U6" s="20"/>
      <c r="V6" s="20"/>
      <c r="W6" s="20"/>
      <c r="X6" s="20"/>
      <c r="Y6" s="20"/>
      <c r="Z6" s="20"/>
    </row>
    <row r="7" spans="1:26" ht="9.75" customHeight="1" x14ac:dyDescent="0.25">
      <c r="A7" s="13" t="s">
        <v>1447</v>
      </c>
      <c r="B7" s="14">
        <v>45951.452083333301</v>
      </c>
      <c r="C7" s="13" t="s">
        <v>37</v>
      </c>
      <c r="D7" s="15" t="s">
        <v>764</v>
      </c>
      <c r="E7" s="13" t="s">
        <v>1448</v>
      </c>
      <c r="F7" s="13" t="s">
        <v>59</v>
      </c>
      <c r="G7" s="13" t="s">
        <v>60</v>
      </c>
      <c r="H7" s="18" t="s">
        <v>1449</v>
      </c>
      <c r="I7" s="15" t="s">
        <v>63</v>
      </c>
      <c r="J7" s="13" t="s">
        <v>1358</v>
      </c>
      <c r="K7" s="13" t="s">
        <v>6</v>
      </c>
      <c r="L7" s="15" t="s">
        <v>1450</v>
      </c>
      <c r="M7" s="15" t="s">
        <v>1451</v>
      </c>
      <c r="N7" s="28">
        <v>45952</v>
      </c>
      <c r="O7" s="27">
        <f t="shared" si="0"/>
        <v>0.452083333329938</v>
      </c>
      <c r="P7" s="13"/>
      <c r="Q7" s="27"/>
      <c r="R7" s="13"/>
      <c r="S7" s="20"/>
      <c r="T7" s="20"/>
      <c r="U7" s="20"/>
      <c r="V7" s="20"/>
      <c r="W7" s="20"/>
      <c r="X7" s="20"/>
      <c r="Y7" s="20"/>
      <c r="Z7" s="20"/>
    </row>
    <row r="8" spans="1:26" ht="9.75" customHeight="1" x14ac:dyDescent="0.25">
      <c r="A8" s="13" t="s">
        <v>1452</v>
      </c>
      <c r="B8" s="14">
        <v>45951.503472222197</v>
      </c>
      <c r="C8" s="13" t="s">
        <v>77</v>
      </c>
      <c r="D8" s="15" t="s">
        <v>78</v>
      </c>
      <c r="E8" s="13" t="s">
        <v>1453</v>
      </c>
      <c r="F8" s="13" t="s">
        <v>40</v>
      </c>
      <c r="G8" s="13" t="s">
        <v>1454</v>
      </c>
      <c r="H8" s="13" t="s">
        <v>1455</v>
      </c>
      <c r="I8" s="15" t="s">
        <v>78</v>
      </c>
      <c r="J8" s="13" t="s">
        <v>1348</v>
      </c>
      <c r="K8" s="13" t="s">
        <v>5</v>
      </c>
      <c r="L8" s="15" t="s">
        <v>1456</v>
      </c>
      <c r="M8" s="13"/>
      <c r="N8" s="14"/>
      <c r="O8" s="27">
        <f t="shared" si="0"/>
        <v>0.50347222221898802</v>
      </c>
      <c r="P8" s="27">
        <v>0.50486111111111098</v>
      </c>
      <c r="Q8" s="27">
        <v>0.50624999999999998</v>
      </c>
      <c r="R8" s="13" t="s">
        <v>1457</v>
      </c>
      <c r="S8" s="20"/>
      <c r="T8" s="20"/>
      <c r="U8" s="20"/>
      <c r="V8" s="20"/>
      <c r="W8" s="20"/>
      <c r="X8" s="20"/>
      <c r="Y8" s="20"/>
      <c r="Z8" s="20"/>
    </row>
    <row r="9" spans="1:26" ht="9.75" customHeight="1" x14ac:dyDescent="0.25">
      <c r="A9" s="13" t="s">
        <v>1458</v>
      </c>
      <c r="B9" s="14">
        <v>45951.6027777778</v>
      </c>
      <c r="C9" s="13" t="s">
        <v>37</v>
      </c>
      <c r="D9" s="15" t="s">
        <v>262</v>
      </c>
      <c r="E9" s="13" t="s">
        <v>78</v>
      </c>
      <c r="F9" s="13" t="s">
        <v>40</v>
      </c>
      <c r="G9" s="13" t="s">
        <v>60</v>
      </c>
      <c r="H9" s="17" t="s">
        <v>1459</v>
      </c>
      <c r="I9" s="15" t="s">
        <v>107</v>
      </c>
      <c r="J9" s="13" t="s">
        <v>64</v>
      </c>
      <c r="K9" s="13" t="s">
        <v>6</v>
      </c>
      <c r="L9" s="15" t="s">
        <v>1460</v>
      </c>
      <c r="M9" s="15" t="s">
        <v>1461</v>
      </c>
      <c r="N9" s="14"/>
      <c r="O9" s="27">
        <f t="shared" si="0"/>
        <v>0.60277777777810104</v>
      </c>
      <c r="P9" s="13"/>
      <c r="Q9" s="27"/>
      <c r="R9" s="13" t="s">
        <v>1457</v>
      </c>
      <c r="S9" s="20"/>
      <c r="T9" s="20"/>
      <c r="U9" s="20"/>
      <c r="V9" s="20"/>
      <c r="W9" s="20"/>
      <c r="X9" s="20"/>
      <c r="Y9" s="20"/>
      <c r="Z9" s="20"/>
    </row>
    <row r="10" spans="1:26" ht="9.75" customHeight="1" x14ac:dyDescent="0.25">
      <c r="A10" s="13" t="s">
        <v>1462</v>
      </c>
      <c r="B10" s="14">
        <v>45951.681944444397</v>
      </c>
      <c r="C10" s="13" t="s">
        <v>77</v>
      </c>
      <c r="D10" s="15" t="s">
        <v>78</v>
      </c>
      <c r="E10" s="13" t="s">
        <v>1453</v>
      </c>
      <c r="F10" s="13" t="s">
        <v>40</v>
      </c>
      <c r="G10" s="13" t="s">
        <v>60</v>
      </c>
      <c r="H10" s="13" t="s">
        <v>1463</v>
      </c>
      <c r="I10" s="15" t="s">
        <v>1464</v>
      </c>
      <c r="J10" s="13" t="s">
        <v>81</v>
      </c>
      <c r="K10" s="13" t="s">
        <v>5</v>
      </c>
      <c r="L10" s="15" t="s">
        <v>1465</v>
      </c>
      <c r="M10" s="13" t="s">
        <v>1466</v>
      </c>
      <c r="N10" s="14"/>
      <c r="O10" s="27">
        <f t="shared" si="0"/>
        <v>0.68194444444088698</v>
      </c>
      <c r="P10" s="27">
        <v>0.68263888888888902</v>
      </c>
      <c r="Q10" s="27">
        <v>0.68611111111111101</v>
      </c>
      <c r="R10" s="13" t="s">
        <v>1467</v>
      </c>
      <c r="S10" s="20"/>
      <c r="T10" s="20"/>
      <c r="U10" s="20"/>
      <c r="V10" s="20"/>
      <c r="W10" s="20"/>
      <c r="X10" s="20"/>
      <c r="Y10" s="20"/>
      <c r="Z10" s="20"/>
    </row>
    <row r="11" spans="1:26" ht="9.75" customHeight="1" x14ac:dyDescent="0.25">
      <c r="A11" s="13" t="s">
        <v>1468</v>
      </c>
      <c r="B11" s="14">
        <v>45951.735416666699</v>
      </c>
      <c r="C11" s="15" t="s">
        <v>37</v>
      </c>
      <c r="D11" s="15" t="s">
        <v>764</v>
      </c>
      <c r="E11" s="15" t="s">
        <v>78</v>
      </c>
      <c r="F11" s="15" t="s">
        <v>64</v>
      </c>
      <c r="G11" s="15" t="s">
        <v>60</v>
      </c>
      <c r="H11" s="15"/>
      <c r="I11" s="15"/>
      <c r="J11" s="15"/>
      <c r="K11" s="15"/>
      <c r="L11" s="15"/>
      <c r="M11" s="15"/>
      <c r="N11" s="19"/>
      <c r="O11" s="29"/>
      <c r="P11" s="29"/>
      <c r="Q11" s="29"/>
      <c r="R11" s="15"/>
      <c r="S11" s="22"/>
      <c r="T11" s="22"/>
      <c r="U11" s="22"/>
      <c r="V11" s="22"/>
      <c r="W11" s="22"/>
      <c r="X11" s="22"/>
      <c r="Y11" s="22"/>
      <c r="Z11" s="22"/>
    </row>
    <row r="12" spans="1:26" ht="9.75" customHeight="1" x14ac:dyDescent="0.25">
      <c r="A12" s="13" t="s">
        <v>1469</v>
      </c>
      <c r="B12" s="14">
        <v>45951.766666666699</v>
      </c>
      <c r="C12" s="15" t="s">
        <v>77</v>
      </c>
      <c r="D12" s="15" t="s">
        <v>78</v>
      </c>
      <c r="E12" s="15" t="s">
        <v>1470</v>
      </c>
      <c r="F12" s="15" t="s">
        <v>40</v>
      </c>
      <c r="G12" s="15" t="s">
        <v>60</v>
      </c>
      <c r="H12" s="15" t="s">
        <v>1471</v>
      </c>
      <c r="I12" s="15" t="s">
        <v>107</v>
      </c>
      <c r="J12" s="15" t="s">
        <v>81</v>
      </c>
      <c r="K12" s="15" t="s">
        <v>5</v>
      </c>
      <c r="L12" s="15" t="s">
        <v>1472</v>
      </c>
      <c r="M12" s="15" t="s">
        <v>1473</v>
      </c>
      <c r="N12" s="19">
        <v>45951.776388888902</v>
      </c>
      <c r="O12" s="29">
        <f t="shared" ref="O12:O144" si="1">MOD(B12,1)</f>
        <v>0.766666666670062</v>
      </c>
      <c r="P12" s="29">
        <v>0.76666666666666705</v>
      </c>
      <c r="Q12" s="29">
        <f>MOD(N12,1)</f>
        <v>0.77638888888759505</v>
      </c>
      <c r="R12" s="15" t="s">
        <v>1467</v>
      </c>
      <c r="S12" s="22"/>
      <c r="T12" s="22"/>
      <c r="U12" s="22"/>
      <c r="V12" s="22"/>
      <c r="W12" s="22"/>
      <c r="X12" s="22"/>
      <c r="Y12" s="22"/>
      <c r="Z12" s="22"/>
    </row>
    <row r="13" spans="1:26" ht="9.75" customHeight="1" x14ac:dyDescent="0.25">
      <c r="A13" s="13" t="s">
        <v>1469</v>
      </c>
      <c r="B13" s="14">
        <v>45951.909722222197</v>
      </c>
      <c r="C13" s="15" t="s">
        <v>77</v>
      </c>
      <c r="D13" s="15" t="s">
        <v>78</v>
      </c>
      <c r="E13" s="15" t="s">
        <v>1470</v>
      </c>
      <c r="F13" s="15" t="s">
        <v>40</v>
      </c>
      <c r="G13" s="15" t="s">
        <v>60</v>
      </c>
      <c r="H13" s="15" t="s">
        <v>1474</v>
      </c>
      <c r="I13" s="15" t="s">
        <v>63</v>
      </c>
      <c r="J13" s="15" t="s">
        <v>81</v>
      </c>
      <c r="K13" s="15" t="s">
        <v>5</v>
      </c>
      <c r="L13" s="15" t="s">
        <v>1475</v>
      </c>
      <c r="M13" s="15" t="s">
        <v>1476</v>
      </c>
      <c r="N13" s="19">
        <v>45951.918055555601</v>
      </c>
      <c r="O13" s="29">
        <f t="shared" si="1"/>
        <v>0.90972222221898802</v>
      </c>
      <c r="P13" s="29">
        <v>0.90972222222222199</v>
      </c>
      <c r="Q13" s="29">
        <f>MOD(N13,1)</f>
        <v>0.91805555555765705</v>
      </c>
      <c r="R13" s="15" t="s">
        <v>1467</v>
      </c>
      <c r="S13" s="22"/>
      <c r="T13" s="22"/>
      <c r="U13" s="22"/>
      <c r="V13" s="22"/>
      <c r="W13" s="22"/>
      <c r="X13" s="22"/>
      <c r="Y13" s="22"/>
      <c r="Z13" s="22"/>
    </row>
    <row r="14" spans="1:26" ht="9.75" customHeight="1" x14ac:dyDescent="0.25">
      <c r="A14" s="13" t="s">
        <v>1477</v>
      </c>
      <c r="B14" s="19">
        <v>45952.076388888898</v>
      </c>
      <c r="C14" s="15" t="s">
        <v>77</v>
      </c>
      <c r="D14" s="15" t="s">
        <v>78</v>
      </c>
      <c r="E14" s="15" t="s">
        <v>1423</v>
      </c>
      <c r="F14" s="15" t="s">
        <v>40</v>
      </c>
      <c r="G14" s="15" t="s">
        <v>60</v>
      </c>
      <c r="H14" s="119" t="s">
        <v>1478</v>
      </c>
      <c r="I14" s="15" t="s">
        <v>63</v>
      </c>
      <c r="J14" s="15" t="s">
        <v>81</v>
      </c>
      <c r="K14" s="15" t="s">
        <v>5</v>
      </c>
      <c r="L14" s="15" t="s">
        <v>1479</v>
      </c>
      <c r="M14" s="15" t="s">
        <v>1473</v>
      </c>
      <c r="N14" s="19">
        <v>45952.1118055556</v>
      </c>
      <c r="O14" s="29">
        <f t="shared" si="1"/>
        <v>7.6388888890505796E-2</v>
      </c>
      <c r="P14" s="29">
        <v>9.6527777777777796E-2</v>
      </c>
      <c r="Q14" s="29">
        <f>MOD(N14,1)</f>
        <v>0.111805555556202</v>
      </c>
      <c r="R14" s="15" t="s">
        <v>1480</v>
      </c>
      <c r="S14" s="22"/>
      <c r="T14" s="22"/>
      <c r="U14" s="22"/>
      <c r="V14" s="22"/>
      <c r="W14" s="22"/>
      <c r="X14" s="22"/>
      <c r="Y14" s="22"/>
      <c r="Z14" s="22"/>
    </row>
    <row r="15" spans="1:26" ht="9.75" customHeight="1" x14ac:dyDescent="0.25">
      <c r="A15" s="15" t="s">
        <v>1481</v>
      </c>
      <c r="B15" s="19">
        <v>45952.3569444444</v>
      </c>
      <c r="C15" s="15" t="s">
        <v>77</v>
      </c>
      <c r="D15" s="15" t="s">
        <v>78</v>
      </c>
      <c r="E15" s="15" t="s">
        <v>1482</v>
      </c>
      <c r="F15" s="15" t="s">
        <v>40</v>
      </c>
      <c r="G15" s="15" t="s">
        <v>60</v>
      </c>
      <c r="H15" s="119" t="s">
        <v>1483</v>
      </c>
      <c r="I15" s="15" t="s">
        <v>135</v>
      </c>
      <c r="J15" s="15" t="s">
        <v>1348</v>
      </c>
      <c r="K15" s="15" t="s">
        <v>5</v>
      </c>
      <c r="L15" s="15" t="s">
        <v>1484</v>
      </c>
      <c r="M15" s="15" t="s">
        <v>1485</v>
      </c>
      <c r="N15" s="19">
        <v>45952.383333333302</v>
      </c>
      <c r="O15" s="29">
        <f t="shared" si="1"/>
        <v>0.35694444444379803</v>
      </c>
      <c r="P15" s="29">
        <v>0.359722222222222</v>
      </c>
      <c r="Q15" s="29">
        <v>0.38333333333333303</v>
      </c>
      <c r="R15" s="15" t="s">
        <v>1486</v>
      </c>
      <c r="S15" s="22"/>
      <c r="T15" s="22"/>
      <c r="U15" s="22"/>
      <c r="V15" s="22"/>
      <c r="W15" s="22"/>
      <c r="X15" s="22"/>
      <c r="Y15" s="22"/>
      <c r="Z15" s="22"/>
    </row>
    <row r="16" spans="1:26" ht="9.75" customHeight="1" x14ac:dyDescent="0.25">
      <c r="A16" s="15" t="s">
        <v>1487</v>
      </c>
      <c r="B16" s="19">
        <v>45952.359722222202</v>
      </c>
      <c r="C16" s="15" t="s">
        <v>77</v>
      </c>
      <c r="D16" s="15" t="s">
        <v>78</v>
      </c>
      <c r="E16" s="15" t="s">
        <v>1482</v>
      </c>
      <c r="F16" s="15" t="s">
        <v>40</v>
      </c>
      <c r="G16" s="15" t="s">
        <v>60</v>
      </c>
      <c r="H16" s="119" t="s">
        <v>1488</v>
      </c>
      <c r="I16" s="15" t="s">
        <v>107</v>
      </c>
      <c r="J16" s="15" t="s">
        <v>81</v>
      </c>
      <c r="K16" s="15" t="s">
        <v>5</v>
      </c>
      <c r="L16" s="15" t="s">
        <v>1489</v>
      </c>
      <c r="M16" s="15" t="s">
        <v>1490</v>
      </c>
      <c r="N16" s="19">
        <v>45952.364583333299</v>
      </c>
      <c r="O16" s="29">
        <f t="shared" si="1"/>
        <v>0.35972222222335398</v>
      </c>
      <c r="P16" s="29">
        <v>0.359722222222222</v>
      </c>
      <c r="Q16" s="29">
        <f t="shared" ref="Q16:Q144" si="2">MOD(N16,1)</f>
        <v>0.36458333333575899</v>
      </c>
      <c r="R16" s="15" t="s">
        <v>1486</v>
      </c>
      <c r="S16" s="22"/>
      <c r="T16" s="22"/>
      <c r="U16" s="22"/>
      <c r="V16" s="22"/>
      <c r="W16" s="22"/>
      <c r="X16" s="22"/>
      <c r="Y16" s="22"/>
      <c r="Z16" s="22"/>
    </row>
    <row r="17" spans="1:26" ht="9.75" customHeight="1" x14ac:dyDescent="0.25">
      <c r="A17" s="15" t="s">
        <v>1491</v>
      </c>
      <c r="B17" s="19">
        <v>45952.457638888904</v>
      </c>
      <c r="C17" s="15" t="s">
        <v>37</v>
      </c>
      <c r="D17" s="15" t="s">
        <v>286</v>
      </c>
      <c r="E17" s="15" t="s">
        <v>434</v>
      </c>
      <c r="F17" s="15" t="s">
        <v>40</v>
      </c>
      <c r="G17" s="15" t="s">
        <v>41</v>
      </c>
      <c r="H17" s="15" t="s">
        <v>1492</v>
      </c>
      <c r="I17" s="15" t="s">
        <v>44</v>
      </c>
      <c r="J17" s="15" t="s">
        <v>81</v>
      </c>
      <c r="K17" s="15" t="s">
        <v>5</v>
      </c>
      <c r="L17" s="15" t="s">
        <v>1493</v>
      </c>
      <c r="M17" s="15" t="s">
        <v>1494</v>
      </c>
      <c r="N17" s="19">
        <v>45952.463194444397</v>
      </c>
      <c r="O17" s="29">
        <f t="shared" si="1"/>
        <v>0.45763888888905102</v>
      </c>
      <c r="P17" s="29"/>
      <c r="Q17" s="29">
        <f t="shared" si="2"/>
        <v>0.46319444444088698</v>
      </c>
      <c r="R17" s="15" t="s">
        <v>1486</v>
      </c>
      <c r="S17" s="22"/>
      <c r="T17" s="22"/>
      <c r="U17" s="22"/>
      <c r="V17" s="22"/>
      <c r="W17" s="22"/>
      <c r="X17" s="22"/>
      <c r="Y17" s="22"/>
      <c r="Z17" s="22"/>
    </row>
    <row r="18" spans="1:26" ht="9.75" customHeight="1" x14ac:dyDescent="0.25">
      <c r="A18" s="20"/>
      <c r="B18" s="21"/>
      <c r="C18" s="20"/>
      <c r="D18" s="22"/>
      <c r="E18" s="20"/>
      <c r="F18" s="20"/>
      <c r="G18" s="20"/>
      <c r="H18" s="20"/>
      <c r="I18" s="22"/>
      <c r="J18" s="20"/>
      <c r="K18" s="20"/>
      <c r="L18" s="20"/>
      <c r="M18" s="20"/>
      <c r="N18" s="21"/>
      <c r="O18" s="29">
        <f t="shared" si="1"/>
        <v>0</v>
      </c>
      <c r="P18" s="20"/>
      <c r="Q18" s="29">
        <f t="shared" si="2"/>
        <v>0</v>
      </c>
      <c r="R18" s="20"/>
      <c r="S18" s="20"/>
      <c r="T18" s="20"/>
      <c r="U18" s="20"/>
      <c r="V18" s="20"/>
      <c r="W18" s="20"/>
      <c r="X18" s="20"/>
      <c r="Y18" s="20"/>
      <c r="Z18" s="20"/>
    </row>
    <row r="19" spans="1:26" ht="9.75" customHeight="1" x14ac:dyDescent="0.25">
      <c r="A19" s="20"/>
      <c r="B19" s="21"/>
      <c r="C19" s="20"/>
      <c r="D19" s="22"/>
      <c r="E19" s="20"/>
      <c r="F19" s="20"/>
      <c r="G19" s="20"/>
      <c r="H19" s="20"/>
      <c r="I19" s="22"/>
      <c r="J19" s="20"/>
      <c r="K19" s="20"/>
      <c r="L19" s="20"/>
      <c r="M19" s="20"/>
      <c r="N19" s="21"/>
      <c r="O19" s="29">
        <f t="shared" si="1"/>
        <v>0</v>
      </c>
      <c r="P19" s="20"/>
      <c r="Q19" s="29">
        <f t="shared" si="2"/>
        <v>0</v>
      </c>
      <c r="R19" s="20"/>
      <c r="S19" s="20"/>
      <c r="T19" s="20"/>
      <c r="U19" s="20"/>
      <c r="V19" s="20"/>
      <c r="W19" s="20"/>
      <c r="X19" s="20"/>
      <c r="Y19" s="20"/>
      <c r="Z19" s="20"/>
    </row>
    <row r="20" spans="1:26" ht="9.75" customHeight="1" x14ac:dyDescent="0.25">
      <c r="A20" s="20"/>
      <c r="B20" s="21"/>
      <c r="C20" s="20"/>
      <c r="D20" s="22"/>
      <c r="E20" s="20"/>
      <c r="F20" s="20"/>
      <c r="G20" s="20"/>
      <c r="H20" s="20"/>
      <c r="I20" s="22"/>
      <c r="J20" s="20"/>
      <c r="K20" s="20"/>
      <c r="L20" s="20"/>
      <c r="M20" s="20"/>
      <c r="N20" s="21"/>
      <c r="O20" s="29">
        <f t="shared" si="1"/>
        <v>0</v>
      </c>
      <c r="P20" s="20"/>
      <c r="Q20" s="29">
        <f t="shared" si="2"/>
        <v>0</v>
      </c>
      <c r="R20" s="20"/>
      <c r="S20" s="20"/>
      <c r="T20" s="20"/>
      <c r="U20" s="20"/>
      <c r="V20" s="20"/>
      <c r="W20" s="20"/>
      <c r="X20" s="20"/>
      <c r="Y20" s="20"/>
      <c r="Z20" s="20"/>
    </row>
    <row r="21" spans="1:26" ht="9.75" customHeight="1" x14ac:dyDescent="0.25">
      <c r="A21" s="20"/>
      <c r="B21" s="21"/>
      <c r="C21" s="20"/>
      <c r="D21" s="22"/>
      <c r="E21" s="20"/>
      <c r="F21" s="20"/>
      <c r="G21" s="20"/>
      <c r="H21" s="20"/>
      <c r="I21" s="22"/>
      <c r="J21" s="20"/>
      <c r="K21" s="20"/>
      <c r="L21" s="20"/>
      <c r="M21" s="20"/>
      <c r="N21" s="21"/>
      <c r="O21" s="29">
        <f t="shared" si="1"/>
        <v>0</v>
      </c>
      <c r="P21" s="20"/>
      <c r="Q21" s="29">
        <f t="shared" si="2"/>
        <v>0</v>
      </c>
      <c r="R21" s="20"/>
      <c r="S21" s="20"/>
      <c r="T21" s="20"/>
      <c r="U21" s="20"/>
      <c r="V21" s="20"/>
      <c r="W21" s="20"/>
      <c r="X21" s="20"/>
      <c r="Y21" s="20"/>
      <c r="Z21" s="20"/>
    </row>
    <row r="22" spans="1:26" ht="9.75" customHeight="1" x14ac:dyDescent="0.25">
      <c r="A22" s="20"/>
      <c r="B22" s="21"/>
      <c r="C22" s="20"/>
      <c r="D22" s="22"/>
      <c r="E22" s="20"/>
      <c r="F22" s="20"/>
      <c r="G22" s="20"/>
      <c r="H22" s="20"/>
      <c r="I22" s="22"/>
      <c r="J22" s="20"/>
      <c r="K22" s="20"/>
      <c r="L22" s="20"/>
      <c r="M22" s="20"/>
      <c r="N22" s="21"/>
      <c r="O22" s="29">
        <f t="shared" si="1"/>
        <v>0</v>
      </c>
      <c r="P22" s="20"/>
      <c r="Q22" s="29">
        <f t="shared" si="2"/>
        <v>0</v>
      </c>
      <c r="R22" s="20"/>
      <c r="S22" s="20"/>
      <c r="T22" s="20"/>
      <c r="U22" s="20"/>
      <c r="V22" s="20"/>
      <c r="W22" s="20"/>
      <c r="X22" s="20"/>
      <c r="Y22" s="20"/>
      <c r="Z22" s="20"/>
    </row>
    <row r="23" spans="1:26" ht="9.75" customHeight="1" x14ac:dyDescent="0.25">
      <c r="A23" s="20"/>
      <c r="B23" s="21"/>
      <c r="C23" s="20"/>
      <c r="D23" s="22"/>
      <c r="E23" s="20"/>
      <c r="F23" s="20"/>
      <c r="G23" s="20"/>
      <c r="H23" s="20"/>
      <c r="I23" s="22"/>
      <c r="J23" s="20"/>
      <c r="K23" s="20"/>
      <c r="L23" s="20"/>
      <c r="M23" s="20"/>
      <c r="N23" s="21"/>
      <c r="O23" s="29">
        <f t="shared" si="1"/>
        <v>0</v>
      </c>
      <c r="P23" s="20"/>
      <c r="Q23" s="29">
        <f t="shared" si="2"/>
        <v>0</v>
      </c>
      <c r="R23" s="20"/>
      <c r="S23" s="20"/>
      <c r="T23" s="20"/>
      <c r="U23" s="20"/>
      <c r="V23" s="20"/>
      <c r="W23" s="20"/>
      <c r="X23" s="20"/>
      <c r="Y23" s="20"/>
      <c r="Z23" s="20"/>
    </row>
    <row r="24" spans="1:26" ht="9.75" customHeight="1" x14ac:dyDescent="0.25">
      <c r="A24" s="20"/>
      <c r="B24" s="21"/>
      <c r="C24" s="20"/>
      <c r="D24" s="22"/>
      <c r="E24" s="20"/>
      <c r="F24" s="20"/>
      <c r="G24" s="20"/>
      <c r="H24" s="20"/>
      <c r="I24" s="22"/>
      <c r="J24" s="20"/>
      <c r="K24" s="20"/>
      <c r="L24" s="20"/>
      <c r="M24" s="20"/>
      <c r="N24" s="21"/>
      <c r="O24" s="29">
        <f t="shared" si="1"/>
        <v>0</v>
      </c>
      <c r="P24" s="20"/>
      <c r="Q24" s="29">
        <f t="shared" si="2"/>
        <v>0</v>
      </c>
      <c r="R24" s="20"/>
      <c r="S24" s="20"/>
      <c r="T24" s="20"/>
      <c r="U24" s="20"/>
      <c r="V24" s="20"/>
      <c r="W24" s="20"/>
      <c r="X24" s="20"/>
      <c r="Y24" s="20"/>
      <c r="Z24" s="20"/>
    </row>
    <row r="25" spans="1:26" ht="9.75" customHeight="1" x14ac:dyDescent="0.25">
      <c r="A25" s="20"/>
      <c r="B25" s="21"/>
      <c r="C25" s="20"/>
      <c r="D25" s="22"/>
      <c r="E25" s="20"/>
      <c r="F25" s="20"/>
      <c r="G25" s="20"/>
      <c r="H25" s="20"/>
      <c r="I25" s="22"/>
      <c r="J25" s="20"/>
      <c r="K25" s="20"/>
      <c r="L25" s="20"/>
      <c r="M25" s="20"/>
      <c r="N25" s="21"/>
      <c r="O25" s="29">
        <f t="shared" si="1"/>
        <v>0</v>
      </c>
      <c r="P25" s="20"/>
      <c r="Q25" s="29">
        <f t="shared" si="2"/>
        <v>0</v>
      </c>
      <c r="R25" s="20"/>
      <c r="S25" s="20"/>
      <c r="T25" s="20"/>
      <c r="U25" s="20"/>
      <c r="V25" s="20"/>
      <c r="W25" s="20"/>
      <c r="X25" s="20"/>
      <c r="Y25" s="20"/>
      <c r="Z25" s="20"/>
    </row>
    <row r="26" spans="1:26" ht="9.75" customHeight="1" x14ac:dyDescent="0.25">
      <c r="A26" s="20"/>
      <c r="B26" s="21"/>
      <c r="C26" s="20"/>
      <c r="D26" s="22"/>
      <c r="E26" s="20"/>
      <c r="F26" s="20"/>
      <c r="G26" s="20"/>
      <c r="H26" s="20"/>
      <c r="I26" s="22"/>
      <c r="J26" s="20"/>
      <c r="K26" s="20"/>
      <c r="L26" s="20"/>
      <c r="M26" s="20"/>
      <c r="N26" s="21"/>
      <c r="O26" s="29">
        <f t="shared" si="1"/>
        <v>0</v>
      </c>
      <c r="P26" s="20"/>
      <c r="Q26" s="29">
        <f t="shared" si="2"/>
        <v>0</v>
      </c>
      <c r="R26" s="20"/>
      <c r="S26" s="20"/>
      <c r="T26" s="20"/>
      <c r="U26" s="20"/>
      <c r="V26" s="20"/>
      <c r="W26" s="20"/>
      <c r="X26" s="20"/>
      <c r="Y26" s="20"/>
      <c r="Z26" s="20"/>
    </row>
    <row r="27" spans="1:26" ht="9.75" customHeight="1" x14ac:dyDescent="0.25">
      <c r="A27" s="20"/>
      <c r="B27" s="21"/>
      <c r="C27" s="20"/>
      <c r="D27" s="22"/>
      <c r="E27" s="20"/>
      <c r="F27" s="20"/>
      <c r="G27" s="20"/>
      <c r="H27" s="20"/>
      <c r="I27" s="22"/>
      <c r="J27" s="20"/>
      <c r="K27" s="20"/>
      <c r="L27" s="20"/>
      <c r="M27" s="20"/>
      <c r="N27" s="21"/>
      <c r="O27" s="29">
        <f t="shared" si="1"/>
        <v>0</v>
      </c>
      <c r="P27" s="20"/>
      <c r="Q27" s="29">
        <f t="shared" si="2"/>
        <v>0</v>
      </c>
      <c r="R27" s="20"/>
      <c r="S27" s="20"/>
      <c r="T27" s="20"/>
      <c r="U27" s="20"/>
      <c r="V27" s="20"/>
      <c r="W27" s="20"/>
      <c r="X27" s="20"/>
      <c r="Y27" s="20"/>
      <c r="Z27" s="20"/>
    </row>
    <row r="28" spans="1:26" ht="9.75" customHeight="1" x14ac:dyDescent="0.25">
      <c r="A28" s="20"/>
      <c r="B28" s="21"/>
      <c r="C28" s="20"/>
      <c r="D28" s="22"/>
      <c r="E28" s="20"/>
      <c r="F28" s="20"/>
      <c r="G28" s="20"/>
      <c r="H28" s="20"/>
      <c r="I28" s="22"/>
      <c r="J28" s="20"/>
      <c r="K28" s="20"/>
      <c r="L28" s="20"/>
      <c r="M28" s="20"/>
      <c r="N28" s="21"/>
      <c r="O28" s="29">
        <f t="shared" si="1"/>
        <v>0</v>
      </c>
      <c r="P28" s="20"/>
      <c r="Q28" s="29">
        <f t="shared" si="2"/>
        <v>0</v>
      </c>
      <c r="R28" s="20"/>
      <c r="S28" s="20"/>
      <c r="T28" s="20"/>
      <c r="U28" s="20"/>
      <c r="V28" s="20"/>
      <c r="W28" s="20"/>
      <c r="X28" s="20"/>
      <c r="Y28" s="20"/>
      <c r="Z28" s="20"/>
    </row>
    <row r="29" spans="1:26" ht="9.75" customHeight="1" x14ac:dyDescent="0.25">
      <c r="A29" s="20"/>
      <c r="B29" s="21"/>
      <c r="C29" s="20"/>
      <c r="D29" s="22"/>
      <c r="E29" s="20"/>
      <c r="F29" s="20"/>
      <c r="G29" s="20"/>
      <c r="H29" s="20"/>
      <c r="I29" s="22"/>
      <c r="J29" s="20"/>
      <c r="K29" s="20"/>
      <c r="L29" s="20"/>
      <c r="M29" s="20"/>
      <c r="N29" s="21"/>
      <c r="O29" s="29">
        <f t="shared" si="1"/>
        <v>0</v>
      </c>
      <c r="P29" s="20"/>
      <c r="Q29" s="29">
        <f t="shared" si="2"/>
        <v>0</v>
      </c>
      <c r="R29" s="20"/>
      <c r="S29" s="20"/>
      <c r="T29" s="20"/>
      <c r="U29" s="20"/>
      <c r="V29" s="20"/>
      <c r="W29" s="20"/>
      <c r="X29" s="20"/>
      <c r="Y29" s="20"/>
      <c r="Z29" s="20"/>
    </row>
    <row r="30" spans="1:26" ht="9.75" customHeight="1" x14ac:dyDescent="0.25">
      <c r="A30" s="20"/>
      <c r="B30" s="21"/>
      <c r="C30" s="20"/>
      <c r="D30" s="22"/>
      <c r="E30" s="20"/>
      <c r="F30" s="20"/>
      <c r="G30" s="20"/>
      <c r="H30" s="20"/>
      <c r="I30" s="22"/>
      <c r="J30" s="20"/>
      <c r="K30" s="20"/>
      <c r="L30" s="20"/>
      <c r="M30" s="20"/>
      <c r="N30" s="21"/>
      <c r="O30" s="29">
        <f t="shared" si="1"/>
        <v>0</v>
      </c>
      <c r="P30" s="20"/>
      <c r="Q30" s="29">
        <f t="shared" si="2"/>
        <v>0</v>
      </c>
      <c r="R30" s="20"/>
      <c r="S30" s="20"/>
      <c r="T30" s="20"/>
      <c r="U30" s="20"/>
      <c r="V30" s="20"/>
      <c r="W30" s="20"/>
      <c r="X30" s="20"/>
      <c r="Y30" s="20"/>
      <c r="Z30" s="20"/>
    </row>
    <row r="31" spans="1:26" ht="9.75" customHeight="1" x14ac:dyDescent="0.25">
      <c r="A31" s="20"/>
      <c r="B31" s="21"/>
      <c r="C31" s="20"/>
      <c r="D31" s="22"/>
      <c r="E31" s="20"/>
      <c r="F31" s="20"/>
      <c r="G31" s="20"/>
      <c r="H31" s="20"/>
      <c r="I31" s="22"/>
      <c r="J31" s="20"/>
      <c r="K31" s="20"/>
      <c r="L31" s="20"/>
      <c r="M31" s="20"/>
      <c r="N31" s="21"/>
      <c r="O31" s="29">
        <f t="shared" si="1"/>
        <v>0</v>
      </c>
      <c r="P31" s="20"/>
      <c r="Q31" s="29">
        <f t="shared" si="2"/>
        <v>0</v>
      </c>
      <c r="R31" s="20"/>
      <c r="S31" s="20"/>
      <c r="T31" s="20"/>
      <c r="U31" s="20"/>
      <c r="V31" s="20"/>
      <c r="W31" s="20"/>
      <c r="X31" s="20"/>
      <c r="Y31" s="20"/>
      <c r="Z31" s="20"/>
    </row>
    <row r="32" spans="1:26" ht="9.75" customHeight="1" x14ac:dyDescent="0.25">
      <c r="A32" s="20"/>
      <c r="B32" s="21"/>
      <c r="C32" s="20"/>
      <c r="D32" s="22"/>
      <c r="E32" s="20"/>
      <c r="F32" s="20"/>
      <c r="G32" s="20"/>
      <c r="H32" s="20"/>
      <c r="I32" s="22"/>
      <c r="J32" s="20"/>
      <c r="K32" s="20"/>
      <c r="L32" s="20"/>
      <c r="M32" s="20"/>
      <c r="N32" s="21"/>
      <c r="O32" s="29">
        <f t="shared" si="1"/>
        <v>0</v>
      </c>
      <c r="P32" s="20"/>
      <c r="Q32" s="29">
        <f t="shared" si="2"/>
        <v>0</v>
      </c>
      <c r="R32" s="20"/>
      <c r="S32" s="20"/>
      <c r="T32" s="20"/>
      <c r="U32" s="20"/>
      <c r="V32" s="20"/>
      <c r="W32" s="20"/>
      <c r="X32" s="20"/>
      <c r="Y32" s="20"/>
      <c r="Z32" s="20"/>
    </row>
    <row r="33" spans="1:26" ht="9.75" customHeight="1" x14ac:dyDescent="0.25">
      <c r="A33" s="20"/>
      <c r="B33" s="21"/>
      <c r="C33" s="20"/>
      <c r="D33" s="22"/>
      <c r="E33" s="20"/>
      <c r="F33" s="20"/>
      <c r="G33" s="20"/>
      <c r="H33" s="20"/>
      <c r="I33" s="22"/>
      <c r="J33" s="20"/>
      <c r="K33" s="20"/>
      <c r="L33" s="20"/>
      <c r="M33" s="20"/>
      <c r="N33" s="21"/>
      <c r="O33" s="29">
        <f t="shared" si="1"/>
        <v>0</v>
      </c>
      <c r="P33" s="20"/>
      <c r="Q33" s="29">
        <f t="shared" si="2"/>
        <v>0</v>
      </c>
      <c r="R33" s="20"/>
      <c r="S33" s="20"/>
      <c r="T33" s="20"/>
      <c r="U33" s="20"/>
      <c r="V33" s="20"/>
      <c r="W33" s="20"/>
      <c r="X33" s="20"/>
      <c r="Y33" s="20"/>
      <c r="Z33" s="20"/>
    </row>
    <row r="34" spans="1:26" ht="9.75" customHeight="1" x14ac:dyDescent="0.25">
      <c r="A34" s="20"/>
      <c r="B34" s="21"/>
      <c r="C34" s="20"/>
      <c r="D34" s="22"/>
      <c r="E34" s="20"/>
      <c r="F34" s="20"/>
      <c r="G34" s="20"/>
      <c r="H34" s="20"/>
      <c r="I34" s="22"/>
      <c r="J34" s="20"/>
      <c r="K34" s="20"/>
      <c r="L34" s="20"/>
      <c r="M34" s="20"/>
      <c r="N34" s="21"/>
      <c r="O34" s="29">
        <f t="shared" si="1"/>
        <v>0</v>
      </c>
      <c r="P34" s="20"/>
      <c r="Q34" s="29">
        <f t="shared" si="2"/>
        <v>0</v>
      </c>
      <c r="R34" s="20"/>
      <c r="S34" s="20"/>
      <c r="T34" s="20"/>
      <c r="U34" s="20"/>
      <c r="V34" s="20"/>
      <c r="W34" s="20"/>
      <c r="X34" s="20"/>
      <c r="Y34" s="20"/>
      <c r="Z34" s="20"/>
    </row>
    <row r="35" spans="1:26" ht="9.75" customHeight="1" x14ac:dyDescent="0.25">
      <c r="A35" s="20"/>
      <c r="B35" s="21"/>
      <c r="C35" s="20"/>
      <c r="D35" s="22"/>
      <c r="E35" s="20"/>
      <c r="F35" s="20"/>
      <c r="G35" s="20"/>
      <c r="H35" s="20"/>
      <c r="I35" s="22"/>
      <c r="J35" s="20"/>
      <c r="K35" s="20"/>
      <c r="L35" s="20"/>
      <c r="M35" s="20"/>
      <c r="N35" s="21"/>
      <c r="O35" s="29">
        <f t="shared" si="1"/>
        <v>0</v>
      </c>
      <c r="P35" s="20"/>
      <c r="Q35" s="29">
        <f t="shared" si="2"/>
        <v>0</v>
      </c>
      <c r="R35" s="20"/>
      <c r="S35" s="20"/>
      <c r="T35" s="20"/>
      <c r="U35" s="20"/>
      <c r="V35" s="20"/>
      <c r="W35" s="20"/>
      <c r="X35" s="20"/>
      <c r="Y35" s="20"/>
      <c r="Z35" s="20"/>
    </row>
    <row r="36" spans="1:26" ht="9.75" customHeight="1" x14ac:dyDescent="0.25">
      <c r="A36" s="20"/>
      <c r="B36" s="21"/>
      <c r="C36" s="20"/>
      <c r="D36" s="22"/>
      <c r="E36" s="20"/>
      <c r="F36" s="20"/>
      <c r="G36" s="20"/>
      <c r="H36" s="20"/>
      <c r="I36" s="22"/>
      <c r="J36" s="20"/>
      <c r="K36" s="20"/>
      <c r="L36" s="20"/>
      <c r="M36" s="20"/>
      <c r="N36" s="21"/>
      <c r="O36" s="29">
        <f t="shared" si="1"/>
        <v>0</v>
      </c>
      <c r="P36" s="20"/>
      <c r="Q36" s="29">
        <f t="shared" si="2"/>
        <v>0</v>
      </c>
      <c r="R36" s="20"/>
      <c r="S36" s="20"/>
      <c r="T36" s="20"/>
      <c r="U36" s="20"/>
      <c r="V36" s="20"/>
      <c r="W36" s="20"/>
      <c r="X36" s="20"/>
      <c r="Y36" s="20"/>
      <c r="Z36" s="20"/>
    </row>
    <row r="37" spans="1:26" ht="9.75" customHeight="1" x14ac:dyDescent="0.25">
      <c r="A37" s="20"/>
      <c r="B37" s="21"/>
      <c r="C37" s="20"/>
      <c r="D37" s="22"/>
      <c r="E37" s="20"/>
      <c r="F37" s="20"/>
      <c r="G37" s="20"/>
      <c r="H37" s="20"/>
      <c r="I37" s="22"/>
      <c r="J37" s="20"/>
      <c r="K37" s="20"/>
      <c r="L37" s="20"/>
      <c r="M37" s="20"/>
      <c r="N37" s="21"/>
      <c r="O37" s="29">
        <f t="shared" si="1"/>
        <v>0</v>
      </c>
      <c r="P37" s="20"/>
      <c r="Q37" s="29">
        <f t="shared" si="2"/>
        <v>0</v>
      </c>
      <c r="R37" s="20"/>
      <c r="S37" s="20"/>
      <c r="T37" s="20"/>
      <c r="U37" s="20"/>
      <c r="V37" s="20"/>
      <c r="W37" s="20"/>
      <c r="X37" s="20"/>
      <c r="Y37" s="20"/>
      <c r="Z37" s="20"/>
    </row>
    <row r="38" spans="1:26" ht="9.75" customHeight="1" x14ac:dyDescent="0.25">
      <c r="A38" s="20"/>
      <c r="B38" s="21"/>
      <c r="C38" s="20"/>
      <c r="D38" s="22"/>
      <c r="E38" s="20"/>
      <c r="F38" s="20"/>
      <c r="G38" s="20"/>
      <c r="H38" s="20"/>
      <c r="I38" s="22"/>
      <c r="J38" s="20"/>
      <c r="K38" s="20"/>
      <c r="L38" s="20"/>
      <c r="M38" s="20"/>
      <c r="N38" s="21"/>
      <c r="O38" s="29">
        <f t="shared" si="1"/>
        <v>0</v>
      </c>
      <c r="P38" s="20"/>
      <c r="Q38" s="29">
        <f t="shared" si="2"/>
        <v>0</v>
      </c>
      <c r="R38" s="20"/>
      <c r="S38" s="20"/>
      <c r="T38" s="20"/>
      <c r="U38" s="20"/>
      <c r="V38" s="20"/>
      <c r="W38" s="20"/>
      <c r="X38" s="20"/>
      <c r="Y38" s="20"/>
      <c r="Z38" s="20"/>
    </row>
    <row r="39" spans="1:26" ht="9.75" customHeight="1" x14ac:dyDescent="0.25">
      <c r="A39" s="20"/>
      <c r="B39" s="21"/>
      <c r="C39" s="20"/>
      <c r="D39" s="22"/>
      <c r="E39" s="20"/>
      <c r="F39" s="20"/>
      <c r="G39" s="20"/>
      <c r="H39" s="20"/>
      <c r="I39" s="22"/>
      <c r="J39" s="20"/>
      <c r="K39" s="20"/>
      <c r="L39" s="20"/>
      <c r="M39" s="20"/>
      <c r="N39" s="21"/>
      <c r="O39" s="29">
        <f t="shared" si="1"/>
        <v>0</v>
      </c>
      <c r="P39" s="20"/>
      <c r="Q39" s="29">
        <f t="shared" si="2"/>
        <v>0</v>
      </c>
      <c r="R39" s="20"/>
      <c r="S39" s="20"/>
      <c r="T39" s="20"/>
      <c r="U39" s="20"/>
      <c r="V39" s="20"/>
      <c r="W39" s="20"/>
      <c r="X39" s="20"/>
      <c r="Y39" s="20"/>
      <c r="Z39" s="20"/>
    </row>
    <row r="40" spans="1:26" ht="9.75" customHeight="1" x14ac:dyDescent="0.25">
      <c r="A40" s="20"/>
      <c r="B40" s="21"/>
      <c r="C40" s="20"/>
      <c r="D40" s="22"/>
      <c r="E40" s="20"/>
      <c r="F40" s="20"/>
      <c r="G40" s="20"/>
      <c r="H40" s="20"/>
      <c r="I40" s="22"/>
      <c r="J40" s="20"/>
      <c r="K40" s="20"/>
      <c r="L40" s="20"/>
      <c r="M40" s="20"/>
      <c r="N40" s="21"/>
      <c r="O40" s="29">
        <f t="shared" si="1"/>
        <v>0</v>
      </c>
      <c r="P40" s="20"/>
      <c r="Q40" s="29">
        <f t="shared" si="2"/>
        <v>0</v>
      </c>
      <c r="R40" s="20"/>
      <c r="S40" s="20"/>
      <c r="T40" s="20"/>
      <c r="U40" s="20"/>
      <c r="V40" s="20"/>
      <c r="W40" s="20"/>
      <c r="X40" s="20"/>
      <c r="Y40" s="20"/>
      <c r="Z40" s="20"/>
    </row>
    <row r="41" spans="1:26" ht="9.75" customHeight="1" x14ac:dyDescent="0.25">
      <c r="A41" s="20"/>
      <c r="B41" s="21"/>
      <c r="C41" s="20"/>
      <c r="D41" s="22"/>
      <c r="E41" s="20"/>
      <c r="F41" s="20"/>
      <c r="G41" s="20"/>
      <c r="H41" s="20"/>
      <c r="I41" s="22"/>
      <c r="J41" s="20"/>
      <c r="K41" s="20"/>
      <c r="L41" s="20"/>
      <c r="M41" s="20"/>
      <c r="N41" s="21"/>
      <c r="O41" s="29">
        <f t="shared" si="1"/>
        <v>0</v>
      </c>
      <c r="P41" s="20"/>
      <c r="Q41" s="29">
        <f t="shared" si="2"/>
        <v>0</v>
      </c>
      <c r="R41" s="20"/>
      <c r="S41" s="20"/>
      <c r="T41" s="20"/>
      <c r="U41" s="20"/>
      <c r="V41" s="20"/>
      <c r="W41" s="20"/>
      <c r="X41" s="20"/>
      <c r="Y41" s="20"/>
      <c r="Z41" s="20"/>
    </row>
    <row r="42" spans="1:26" ht="9.75" customHeight="1" x14ac:dyDescent="0.25">
      <c r="A42" s="20"/>
      <c r="B42" s="21"/>
      <c r="C42" s="20"/>
      <c r="D42" s="22"/>
      <c r="E42" s="20"/>
      <c r="F42" s="20"/>
      <c r="G42" s="20"/>
      <c r="H42" s="20"/>
      <c r="I42" s="22"/>
      <c r="J42" s="20"/>
      <c r="K42" s="20"/>
      <c r="L42" s="20"/>
      <c r="M42" s="20"/>
      <c r="N42" s="21"/>
      <c r="O42" s="29">
        <f t="shared" si="1"/>
        <v>0</v>
      </c>
      <c r="P42" s="20"/>
      <c r="Q42" s="29">
        <f t="shared" si="2"/>
        <v>0</v>
      </c>
      <c r="R42" s="20"/>
      <c r="S42" s="20"/>
      <c r="T42" s="20"/>
      <c r="U42" s="20"/>
      <c r="V42" s="20"/>
      <c r="W42" s="20"/>
      <c r="X42" s="20"/>
      <c r="Y42" s="20"/>
      <c r="Z42" s="20"/>
    </row>
    <row r="43" spans="1:26" ht="9.75" customHeight="1" x14ac:dyDescent="0.25">
      <c r="A43" s="20"/>
      <c r="B43" s="21"/>
      <c r="C43" s="20"/>
      <c r="D43" s="22"/>
      <c r="E43" s="20"/>
      <c r="F43" s="20"/>
      <c r="G43" s="20"/>
      <c r="H43" s="20"/>
      <c r="I43" s="22"/>
      <c r="J43" s="20"/>
      <c r="K43" s="20"/>
      <c r="L43" s="20"/>
      <c r="M43" s="20"/>
      <c r="N43" s="21"/>
      <c r="O43" s="29">
        <f t="shared" si="1"/>
        <v>0</v>
      </c>
      <c r="P43" s="20"/>
      <c r="Q43" s="29">
        <f t="shared" si="2"/>
        <v>0</v>
      </c>
      <c r="R43" s="20"/>
      <c r="S43" s="20"/>
      <c r="T43" s="20"/>
      <c r="U43" s="20"/>
      <c r="V43" s="20"/>
      <c r="W43" s="20"/>
      <c r="X43" s="20"/>
      <c r="Y43" s="20"/>
      <c r="Z43" s="20"/>
    </row>
    <row r="44" spans="1:26" ht="9.75" customHeight="1" x14ac:dyDescent="0.25">
      <c r="A44" s="20"/>
      <c r="B44" s="21"/>
      <c r="C44" s="20"/>
      <c r="D44" s="22"/>
      <c r="E44" s="20"/>
      <c r="F44" s="20"/>
      <c r="G44" s="20"/>
      <c r="H44" s="20"/>
      <c r="I44" s="22"/>
      <c r="J44" s="20"/>
      <c r="K44" s="20"/>
      <c r="L44" s="20"/>
      <c r="M44" s="20"/>
      <c r="N44" s="21"/>
      <c r="O44" s="29">
        <f t="shared" si="1"/>
        <v>0</v>
      </c>
      <c r="P44" s="20"/>
      <c r="Q44" s="29">
        <f t="shared" si="2"/>
        <v>0</v>
      </c>
      <c r="R44" s="20"/>
      <c r="S44" s="20"/>
      <c r="T44" s="20"/>
      <c r="U44" s="20"/>
      <c r="V44" s="20"/>
      <c r="W44" s="20"/>
      <c r="X44" s="20"/>
      <c r="Y44" s="20"/>
      <c r="Z44" s="20"/>
    </row>
    <row r="45" spans="1:26" ht="9.75" customHeight="1" x14ac:dyDescent="0.25">
      <c r="A45" s="20"/>
      <c r="B45" s="21"/>
      <c r="C45" s="20"/>
      <c r="D45" s="22"/>
      <c r="E45" s="20"/>
      <c r="F45" s="20"/>
      <c r="G45" s="20"/>
      <c r="H45" s="20"/>
      <c r="I45" s="22"/>
      <c r="J45" s="20"/>
      <c r="K45" s="20"/>
      <c r="L45" s="20"/>
      <c r="M45" s="20"/>
      <c r="N45" s="21"/>
      <c r="O45" s="29">
        <f t="shared" si="1"/>
        <v>0</v>
      </c>
      <c r="P45" s="20"/>
      <c r="Q45" s="29">
        <f t="shared" si="2"/>
        <v>0</v>
      </c>
      <c r="R45" s="20"/>
      <c r="S45" s="20"/>
      <c r="T45" s="20"/>
      <c r="U45" s="20"/>
      <c r="V45" s="20"/>
      <c r="W45" s="20"/>
      <c r="X45" s="20"/>
      <c r="Y45" s="20"/>
      <c r="Z45" s="20"/>
    </row>
    <row r="46" spans="1:26" ht="9.75" customHeight="1" x14ac:dyDescent="0.25">
      <c r="A46" s="20"/>
      <c r="B46" s="21"/>
      <c r="C46" s="20"/>
      <c r="D46" s="22"/>
      <c r="E46" s="20"/>
      <c r="F46" s="20"/>
      <c r="G46" s="20"/>
      <c r="H46" s="20"/>
      <c r="I46" s="22"/>
      <c r="J46" s="20"/>
      <c r="K46" s="20"/>
      <c r="L46" s="20"/>
      <c r="M46" s="20"/>
      <c r="N46" s="21"/>
      <c r="O46" s="29">
        <f t="shared" si="1"/>
        <v>0</v>
      </c>
      <c r="P46" s="20"/>
      <c r="Q46" s="29">
        <f t="shared" si="2"/>
        <v>0</v>
      </c>
      <c r="R46" s="20"/>
      <c r="S46" s="20"/>
      <c r="T46" s="20"/>
      <c r="U46" s="20"/>
      <c r="V46" s="20"/>
      <c r="W46" s="20"/>
      <c r="X46" s="20"/>
      <c r="Y46" s="20"/>
      <c r="Z46" s="20"/>
    </row>
    <row r="47" spans="1:26" ht="9.75" customHeight="1" x14ac:dyDescent="0.25">
      <c r="A47" s="20"/>
      <c r="B47" s="21"/>
      <c r="C47" s="20"/>
      <c r="D47" s="22"/>
      <c r="E47" s="20"/>
      <c r="F47" s="20"/>
      <c r="G47" s="20"/>
      <c r="H47" s="20"/>
      <c r="I47" s="22"/>
      <c r="J47" s="20"/>
      <c r="K47" s="20"/>
      <c r="L47" s="20"/>
      <c r="M47" s="20"/>
      <c r="N47" s="21"/>
      <c r="O47" s="29">
        <f t="shared" si="1"/>
        <v>0</v>
      </c>
      <c r="P47" s="20"/>
      <c r="Q47" s="29">
        <f t="shared" si="2"/>
        <v>0</v>
      </c>
      <c r="R47" s="20"/>
      <c r="S47" s="20"/>
      <c r="T47" s="20"/>
      <c r="U47" s="20"/>
      <c r="V47" s="20"/>
      <c r="W47" s="20"/>
      <c r="X47" s="20"/>
      <c r="Y47" s="20"/>
      <c r="Z47" s="20"/>
    </row>
    <row r="48" spans="1:26" ht="9.75" customHeight="1" x14ac:dyDescent="0.25">
      <c r="A48" s="20"/>
      <c r="B48" s="21"/>
      <c r="C48" s="20"/>
      <c r="D48" s="22"/>
      <c r="E48" s="20"/>
      <c r="F48" s="20"/>
      <c r="G48" s="20"/>
      <c r="H48" s="20"/>
      <c r="I48" s="22"/>
      <c r="J48" s="20"/>
      <c r="K48" s="20"/>
      <c r="L48" s="20"/>
      <c r="M48" s="20"/>
      <c r="N48" s="21"/>
      <c r="O48" s="29">
        <f t="shared" si="1"/>
        <v>0</v>
      </c>
      <c r="P48" s="20"/>
      <c r="Q48" s="29">
        <f t="shared" si="2"/>
        <v>0</v>
      </c>
      <c r="R48" s="20"/>
      <c r="S48" s="20"/>
      <c r="T48" s="20"/>
      <c r="U48" s="20"/>
      <c r="V48" s="20"/>
      <c r="W48" s="20"/>
      <c r="X48" s="20"/>
      <c r="Y48" s="20"/>
      <c r="Z48" s="20"/>
    </row>
    <row r="49" spans="1:26" ht="9.75" customHeight="1" x14ac:dyDescent="0.25">
      <c r="A49" s="20"/>
      <c r="B49" s="21"/>
      <c r="C49" s="20"/>
      <c r="D49" s="22"/>
      <c r="E49" s="20"/>
      <c r="F49" s="20"/>
      <c r="G49" s="20"/>
      <c r="H49" s="20"/>
      <c r="I49" s="22"/>
      <c r="J49" s="20"/>
      <c r="K49" s="20"/>
      <c r="L49" s="20"/>
      <c r="M49" s="20"/>
      <c r="N49" s="21"/>
      <c r="O49" s="29">
        <f t="shared" si="1"/>
        <v>0</v>
      </c>
      <c r="P49" s="20"/>
      <c r="Q49" s="29">
        <f t="shared" si="2"/>
        <v>0</v>
      </c>
      <c r="R49" s="20"/>
      <c r="S49" s="20"/>
      <c r="T49" s="20"/>
      <c r="U49" s="20"/>
      <c r="V49" s="20"/>
      <c r="W49" s="20"/>
      <c r="X49" s="20"/>
      <c r="Y49" s="20"/>
      <c r="Z49" s="20"/>
    </row>
    <row r="50" spans="1:26" ht="9.75" customHeight="1" x14ac:dyDescent="0.25">
      <c r="A50" s="20"/>
      <c r="B50" s="21"/>
      <c r="C50" s="20"/>
      <c r="D50" s="22"/>
      <c r="E50" s="20"/>
      <c r="F50" s="20"/>
      <c r="G50" s="20"/>
      <c r="H50" s="20"/>
      <c r="I50" s="22"/>
      <c r="J50" s="20"/>
      <c r="K50" s="20"/>
      <c r="L50" s="20"/>
      <c r="M50" s="20"/>
      <c r="N50" s="21"/>
      <c r="O50" s="29">
        <f t="shared" si="1"/>
        <v>0</v>
      </c>
      <c r="P50" s="20"/>
      <c r="Q50" s="29">
        <f t="shared" si="2"/>
        <v>0</v>
      </c>
      <c r="R50" s="20"/>
      <c r="S50" s="20"/>
      <c r="T50" s="20"/>
      <c r="U50" s="20"/>
      <c r="V50" s="20"/>
      <c r="W50" s="20"/>
      <c r="X50" s="20"/>
      <c r="Y50" s="20"/>
      <c r="Z50" s="20"/>
    </row>
    <row r="51" spans="1:26" ht="9.75" customHeight="1" x14ac:dyDescent="0.25">
      <c r="A51" s="20"/>
      <c r="B51" s="21"/>
      <c r="C51" s="20"/>
      <c r="D51" s="22"/>
      <c r="E51" s="20"/>
      <c r="F51" s="20"/>
      <c r="G51" s="20"/>
      <c r="H51" s="20"/>
      <c r="I51" s="22"/>
      <c r="J51" s="20"/>
      <c r="K51" s="20"/>
      <c r="L51" s="20"/>
      <c r="M51" s="20"/>
      <c r="N51" s="21"/>
      <c r="O51" s="29">
        <f t="shared" si="1"/>
        <v>0</v>
      </c>
      <c r="P51" s="20"/>
      <c r="Q51" s="29">
        <f t="shared" si="2"/>
        <v>0</v>
      </c>
      <c r="R51" s="20"/>
      <c r="S51" s="20"/>
      <c r="T51" s="20"/>
      <c r="U51" s="20"/>
      <c r="V51" s="20"/>
      <c r="W51" s="20"/>
      <c r="X51" s="20"/>
      <c r="Y51" s="20"/>
      <c r="Z51" s="20"/>
    </row>
    <row r="52" spans="1:26" ht="9.75" customHeight="1" x14ac:dyDescent="0.25">
      <c r="A52" s="20"/>
      <c r="B52" s="21"/>
      <c r="C52" s="20"/>
      <c r="D52" s="22"/>
      <c r="E52" s="20"/>
      <c r="F52" s="20"/>
      <c r="G52" s="20"/>
      <c r="H52" s="20"/>
      <c r="I52" s="22"/>
      <c r="J52" s="20"/>
      <c r="K52" s="20"/>
      <c r="L52" s="20"/>
      <c r="M52" s="20"/>
      <c r="N52" s="21"/>
      <c r="O52" s="29">
        <f t="shared" si="1"/>
        <v>0</v>
      </c>
      <c r="P52" s="20"/>
      <c r="Q52" s="29">
        <f t="shared" si="2"/>
        <v>0</v>
      </c>
      <c r="R52" s="20"/>
      <c r="S52" s="20"/>
      <c r="T52" s="20"/>
      <c r="U52" s="20"/>
      <c r="V52" s="20"/>
      <c r="W52" s="20"/>
      <c r="X52" s="20"/>
      <c r="Y52" s="20"/>
      <c r="Z52" s="20"/>
    </row>
    <row r="53" spans="1:26" ht="9.75" customHeight="1" x14ac:dyDescent="0.25">
      <c r="A53" s="20"/>
      <c r="B53" s="21"/>
      <c r="C53" s="20"/>
      <c r="D53" s="22"/>
      <c r="E53" s="20"/>
      <c r="F53" s="20"/>
      <c r="G53" s="20"/>
      <c r="H53" s="20"/>
      <c r="I53" s="22"/>
      <c r="J53" s="20"/>
      <c r="K53" s="20"/>
      <c r="L53" s="20"/>
      <c r="M53" s="20"/>
      <c r="N53" s="21"/>
      <c r="O53" s="29">
        <f t="shared" si="1"/>
        <v>0</v>
      </c>
      <c r="P53" s="20"/>
      <c r="Q53" s="29">
        <f t="shared" si="2"/>
        <v>0</v>
      </c>
      <c r="R53" s="20"/>
      <c r="S53" s="20"/>
      <c r="T53" s="20"/>
      <c r="U53" s="20"/>
      <c r="V53" s="20"/>
      <c r="W53" s="20"/>
      <c r="X53" s="20"/>
      <c r="Y53" s="20"/>
      <c r="Z53" s="20"/>
    </row>
    <row r="54" spans="1:26" ht="9.75" customHeight="1" x14ac:dyDescent="0.25">
      <c r="A54" s="20"/>
      <c r="B54" s="21"/>
      <c r="C54" s="20"/>
      <c r="D54" s="22"/>
      <c r="E54" s="20"/>
      <c r="F54" s="20"/>
      <c r="G54" s="20"/>
      <c r="H54" s="20"/>
      <c r="I54" s="22"/>
      <c r="J54" s="20"/>
      <c r="K54" s="20"/>
      <c r="L54" s="20"/>
      <c r="M54" s="20"/>
      <c r="N54" s="21"/>
      <c r="O54" s="29">
        <f t="shared" si="1"/>
        <v>0</v>
      </c>
      <c r="P54" s="20"/>
      <c r="Q54" s="29">
        <f t="shared" si="2"/>
        <v>0</v>
      </c>
      <c r="R54" s="20"/>
      <c r="S54" s="20"/>
      <c r="T54" s="20"/>
      <c r="U54" s="20"/>
      <c r="V54" s="20"/>
      <c r="W54" s="20"/>
      <c r="X54" s="20"/>
      <c r="Y54" s="20"/>
      <c r="Z54" s="20"/>
    </row>
    <row r="55" spans="1:26" ht="9.75" customHeight="1" x14ac:dyDescent="0.25">
      <c r="A55" s="20"/>
      <c r="B55" s="21"/>
      <c r="C55" s="20"/>
      <c r="D55" s="22"/>
      <c r="E55" s="20"/>
      <c r="F55" s="20"/>
      <c r="G55" s="20"/>
      <c r="H55" s="20"/>
      <c r="I55" s="22"/>
      <c r="J55" s="20"/>
      <c r="K55" s="20"/>
      <c r="L55" s="20"/>
      <c r="M55" s="20"/>
      <c r="N55" s="21"/>
      <c r="O55" s="29">
        <f t="shared" si="1"/>
        <v>0</v>
      </c>
      <c r="P55" s="20"/>
      <c r="Q55" s="29">
        <f t="shared" si="2"/>
        <v>0</v>
      </c>
      <c r="R55" s="20"/>
      <c r="S55" s="20"/>
      <c r="T55" s="20"/>
      <c r="U55" s="20"/>
      <c r="V55" s="20"/>
      <c r="W55" s="20"/>
      <c r="X55" s="20"/>
      <c r="Y55" s="20"/>
      <c r="Z55" s="20"/>
    </row>
    <row r="56" spans="1:26" ht="9.75" customHeight="1" x14ac:dyDescent="0.25">
      <c r="A56" s="20"/>
      <c r="B56" s="21"/>
      <c r="C56" s="20"/>
      <c r="D56" s="22"/>
      <c r="E56" s="20"/>
      <c r="F56" s="20"/>
      <c r="G56" s="20"/>
      <c r="H56" s="20"/>
      <c r="I56" s="22"/>
      <c r="J56" s="20"/>
      <c r="K56" s="20"/>
      <c r="L56" s="20"/>
      <c r="M56" s="20"/>
      <c r="N56" s="21"/>
      <c r="O56" s="29">
        <f t="shared" si="1"/>
        <v>0</v>
      </c>
      <c r="P56" s="20"/>
      <c r="Q56" s="29">
        <f t="shared" si="2"/>
        <v>0</v>
      </c>
      <c r="R56" s="20"/>
      <c r="S56" s="20"/>
      <c r="T56" s="20"/>
      <c r="U56" s="20"/>
      <c r="V56" s="20"/>
      <c r="W56" s="20"/>
      <c r="X56" s="20"/>
      <c r="Y56" s="20"/>
      <c r="Z56" s="20"/>
    </row>
    <row r="57" spans="1:26" ht="9.75" customHeight="1" x14ac:dyDescent="0.25">
      <c r="A57" s="20"/>
      <c r="B57" s="21"/>
      <c r="C57" s="20"/>
      <c r="D57" s="22"/>
      <c r="E57" s="20"/>
      <c r="F57" s="20"/>
      <c r="G57" s="20"/>
      <c r="H57" s="20"/>
      <c r="I57" s="22"/>
      <c r="J57" s="20"/>
      <c r="K57" s="20"/>
      <c r="L57" s="20"/>
      <c r="M57" s="20"/>
      <c r="N57" s="21"/>
      <c r="O57" s="29">
        <f t="shared" si="1"/>
        <v>0</v>
      </c>
      <c r="P57" s="20"/>
      <c r="Q57" s="29">
        <f t="shared" si="2"/>
        <v>0</v>
      </c>
      <c r="R57" s="20"/>
      <c r="S57" s="20"/>
      <c r="T57" s="20"/>
      <c r="U57" s="20"/>
      <c r="V57" s="20"/>
      <c r="W57" s="20"/>
      <c r="X57" s="20"/>
      <c r="Y57" s="20"/>
      <c r="Z57" s="20"/>
    </row>
    <row r="58" spans="1:26" ht="9.75" customHeight="1" x14ac:dyDescent="0.25">
      <c r="A58" s="20"/>
      <c r="B58" s="21"/>
      <c r="C58" s="20"/>
      <c r="D58" s="22"/>
      <c r="E58" s="20"/>
      <c r="F58" s="20"/>
      <c r="G58" s="20"/>
      <c r="H58" s="20"/>
      <c r="I58" s="22"/>
      <c r="J58" s="20"/>
      <c r="K58" s="20"/>
      <c r="L58" s="20"/>
      <c r="M58" s="20"/>
      <c r="N58" s="21"/>
      <c r="O58" s="29">
        <f t="shared" si="1"/>
        <v>0</v>
      </c>
      <c r="P58" s="20"/>
      <c r="Q58" s="29">
        <f t="shared" si="2"/>
        <v>0</v>
      </c>
      <c r="R58" s="20"/>
      <c r="S58" s="20"/>
      <c r="T58" s="20"/>
      <c r="U58" s="20"/>
      <c r="V58" s="20"/>
      <c r="W58" s="20"/>
      <c r="X58" s="20"/>
      <c r="Y58" s="20"/>
      <c r="Z58" s="20"/>
    </row>
    <row r="59" spans="1:26" ht="9.75" customHeight="1" x14ac:dyDescent="0.25">
      <c r="A59" s="20"/>
      <c r="B59" s="21"/>
      <c r="C59" s="20"/>
      <c r="D59" s="22"/>
      <c r="E59" s="20"/>
      <c r="F59" s="20"/>
      <c r="G59" s="20"/>
      <c r="H59" s="20"/>
      <c r="I59" s="22"/>
      <c r="J59" s="20"/>
      <c r="K59" s="20"/>
      <c r="L59" s="20"/>
      <c r="M59" s="20"/>
      <c r="N59" s="21"/>
      <c r="O59" s="29">
        <f t="shared" si="1"/>
        <v>0</v>
      </c>
      <c r="P59" s="20"/>
      <c r="Q59" s="29">
        <f t="shared" si="2"/>
        <v>0</v>
      </c>
      <c r="R59" s="20"/>
      <c r="S59" s="20"/>
      <c r="T59" s="20"/>
      <c r="U59" s="20"/>
      <c r="V59" s="20"/>
      <c r="W59" s="20"/>
      <c r="X59" s="20"/>
      <c r="Y59" s="20"/>
      <c r="Z59" s="20"/>
    </row>
    <row r="60" spans="1:26" ht="9.75" customHeight="1" x14ac:dyDescent="0.25">
      <c r="A60" s="20"/>
      <c r="B60" s="21"/>
      <c r="C60" s="20"/>
      <c r="D60" s="22"/>
      <c r="E60" s="20"/>
      <c r="F60" s="20"/>
      <c r="G60" s="20"/>
      <c r="H60" s="20"/>
      <c r="I60" s="22"/>
      <c r="J60" s="20"/>
      <c r="K60" s="20"/>
      <c r="L60" s="20"/>
      <c r="M60" s="20"/>
      <c r="N60" s="21"/>
      <c r="O60" s="29">
        <f t="shared" si="1"/>
        <v>0</v>
      </c>
      <c r="P60" s="20"/>
      <c r="Q60" s="29">
        <f t="shared" si="2"/>
        <v>0</v>
      </c>
      <c r="R60" s="20"/>
      <c r="S60" s="20"/>
      <c r="T60" s="20"/>
      <c r="U60" s="20"/>
      <c r="V60" s="20"/>
      <c r="W60" s="20"/>
      <c r="X60" s="20"/>
      <c r="Y60" s="20"/>
      <c r="Z60" s="20"/>
    </row>
    <row r="61" spans="1:26" ht="9.75" customHeight="1" x14ac:dyDescent="0.25">
      <c r="A61" s="20"/>
      <c r="B61" s="21"/>
      <c r="C61" s="20"/>
      <c r="D61" s="22"/>
      <c r="E61" s="20"/>
      <c r="F61" s="20"/>
      <c r="G61" s="20"/>
      <c r="H61" s="20"/>
      <c r="I61" s="22"/>
      <c r="J61" s="20"/>
      <c r="K61" s="20"/>
      <c r="L61" s="20"/>
      <c r="M61" s="20"/>
      <c r="N61" s="21"/>
      <c r="O61" s="29">
        <f t="shared" si="1"/>
        <v>0</v>
      </c>
      <c r="P61" s="20"/>
      <c r="Q61" s="29">
        <f t="shared" si="2"/>
        <v>0</v>
      </c>
      <c r="R61" s="20"/>
      <c r="S61" s="20"/>
      <c r="T61" s="20"/>
      <c r="U61" s="20"/>
      <c r="V61" s="20"/>
      <c r="W61" s="20"/>
      <c r="X61" s="20"/>
      <c r="Y61" s="20"/>
      <c r="Z61" s="20"/>
    </row>
    <row r="62" spans="1:26" ht="9.75" customHeight="1" x14ac:dyDescent="0.25">
      <c r="A62" s="20"/>
      <c r="B62" s="21"/>
      <c r="C62" s="20"/>
      <c r="D62" s="22"/>
      <c r="E62" s="20"/>
      <c r="F62" s="20"/>
      <c r="G62" s="20"/>
      <c r="H62" s="20"/>
      <c r="I62" s="22"/>
      <c r="J62" s="20"/>
      <c r="K62" s="20"/>
      <c r="L62" s="20"/>
      <c r="M62" s="20"/>
      <c r="N62" s="21"/>
      <c r="O62" s="29">
        <f t="shared" si="1"/>
        <v>0</v>
      </c>
      <c r="P62" s="20"/>
      <c r="Q62" s="29">
        <f t="shared" si="2"/>
        <v>0</v>
      </c>
      <c r="R62" s="20"/>
      <c r="S62" s="20"/>
      <c r="T62" s="20"/>
      <c r="U62" s="20"/>
      <c r="V62" s="20"/>
      <c r="W62" s="20"/>
      <c r="X62" s="20"/>
      <c r="Y62" s="20"/>
      <c r="Z62" s="20"/>
    </row>
    <row r="63" spans="1:26" ht="9.75" customHeight="1" x14ac:dyDescent="0.25">
      <c r="A63" s="20"/>
      <c r="B63" s="21"/>
      <c r="C63" s="20"/>
      <c r="D63" s="22"/>
      <c r="E63" s="20"/>
      <c r="F63" s="20"/>
      <c r="G63" s="20"/>
      <c r="H63" s="20"/>
      <c r="I63" s="22"/>
      <c r="J63" s="20"/>
      <c r="K63" s="20"/>
      <c r="L63" s="20"/>
      <c r="M63" s="20"/>
      <c r="N63" s="21"/>
      <c r="O63" s="29">
        <f t="shared" si="1"/>
        <v>0</v>
      </c>
      <c r="P63" s="20"/>
      <c r="Q63" s="29">
        <f t="shared" si="2"/>
        <v>0</v>
      </c>
      <c r="R63" s="20"/>
      <c r="S63" s="20"/>
      <c r="T63" s="20"/>
      <c r="U63" s="20"/>
      <c r="V63" s="20"/>
      <c r="W63" s="20"/>
      <c r="X63" s="20"/>
      <c r="Y63" s="20"/>
      <c r="Z63" s="20"/>
    </row>
    <row r="64" spans="1:26" ht="9.75" customHeight="1" x14ac:dyDescent="0.25">
      <c r="A64" s="20"/>
      <c r="B64" s="21"/>
      <c r="C64" s="20"/>
      <c r="D64" s="22"/>
      <c r="E64" s="20"/>
      <c r="F64" s="20"/>
      <c r="G64" s="20"/>
      <c r="H64" s="20"/>
      <c r="I64" s="22"/>
      <c r="J64" s="20"/>
      <c r="K64" s="20"/>
      <c r="L64" s="20"/>
      <c r="M64" s="20"/>
      <c r="N64" s="21"/>
      <c r="O64" s="29">
        <f t="shared" si="1"/>
        <v>0</v>
      </c>
      <c r="P64" s="20"/>
      <c r="Q64" s="29">
        <f t="shared" si="2"/>
        <v>0</v>
      </c>
      <c r="R64" s="20"/>
      <c r="S64" s="20"/>
      <c r="T64" s="20"/>
      <c r="U64" s="20"/>
      <c r="V64" s="20"/>
      <c r="W64" s="20"/>
      <c r="X64" s="20"/>
      <c r="Y64" s="20"/>
      <c r="Z64" s="20"/>
    </row>
    <row r="65" spans="1:26" ht="9.75" customHeight="1" x14ac:dyDescent="0.25">
      <c r="A65" s="20"/>
      <c r="B65" s="21"/>
      <c r="C65" s="20"/>
      <c r="D65" s="22"/>
      <c r="E65" s="20"/>
      <c r="F65" s="20"/>
      <c r="G65" s="20"/>
      <c r="H65" s="20"/>
      <c r="I65" s="22"/>
      <c r="J65" s="20"/>
      <c r="K65" s="20"/>
      <c r="L65" s="20"/>
      <c r="M65" s="20"/>
      <c r="N65" s="21"/>
      <c r="O65" s="29">
        <f t="shared" si="1"/>
        <v>0</v>
      </c>
      <c r="P65" s="20"/>
      <c r="Q65" s="29">
        <f t="shared" si="2"/>
        <v>0</v>
      </c>
      <c r="R65" s="20"/>
      <c r="S65" s="20"/>
      <c r="T65" s="20"/>
      <c r="U65" s="20"/>
      <c r="V65" s="20"/>
      <c r="W65" s="20"/>
      <c r="X65" s="20"/>
      <c r="Y65" s="20"/>
      <c r="Z65" s="20"/>
    </row>
    <row r="66" spans="1:26" ht="9.75" customHeight="1" x14ac:dyDescent="0.25">
      <c r="A66" s="20"/>
      <c r="B66" s="21"/>
      <c r="C66" s="20"/>
      <c r="D66" s="22"/>
      <c r="E66" s="20"/>
      <c r="F66" s="20"/>
      <c r="G66" s="20"/>
      <c r="H66" s="20"/>
      <c r="I66" s="22"/>
      <c r="J66" s="20"/>
      <c r="K66" s="20"/>
      <c r="L66" s="20"/>
      <c r="M66" s="20"/>
      <c r="N66" s="21"/>
      <c r="O66" s="29">
        <f t="shared" si="1"/>
        <v>0</v>
      </c>
      <c r="P66" s="20"/>
      <c r="Q66" s="29">
        <f t="shared" si="2"/>
        <v>0</v>
      </c>
      <c r="R66" s="20"/>
      <c r="S66" s="20"/>
      <c r="T66" s="20"/>
      <c r="U66" s="20"/>
      <c r="V66" s="20"/>
      <c r="W66" s="20"/>
      <c r="X66" s="20"/>
      <c r="Y66" s="20"/>
      <c r="Z66" s="20"/>
    </row>
    <row r="67" spans="1:26" ht="9.75" customHeight="1" x14ac:dyDescent="0.25">
      <c r="A67" s="20"/>
      <c r="B67" s="21"/>
      <c r="C67" s="20"/>
      <c r="D67" s="22"/>
      <c r="E67" s="20"/>
      <c r="F67" s="20"/>
      <c r="G67" s="20"/>
      <c r="H67" s="20"/>
      <c r="I67" s="22"/>
      <c r="J67" s="20"/>
      <c r="K67" s="20"/>
      <c r="L67" s="20"/>
      <c r="M67" s="20"/>
      <c r="N67" s="21"/>
      <c r="O67" s="29">
        <f t="shared" si="1"/>
        <v>0</v>
      </c>
      <c r="P67" s="20"/>
      <c r="Q67" s="29">
        <f t="shared" si="2"/>
        <v>0</v>
      </c>
      <c r="R67" s="20"/>
      <c r="S67" s="20"/>
      <c r="T67" s="20"/>
      <c r="U67" s="20"/>
      <c r="V67" s="20"/>
      <c r="W67" s="20"/>
      <c r="X67" s="20"/>
      <c r="Y67" s="20"/>
      <c r="Z67" s="20"/>
    </row>
    <row r="68" spans="1:26" ht="9.75" customHeight="1" x14ac:dyDescent="0.25">
      <c r="A68" s="20"/>
      <c r="B68" s="21"/>
      <c r="C68" s="20"/>
      <c r="D68" s="22"/>
      <c r="E68" s="20"/>
      <c r="F68" s="20"/>
      <c r="G68" s="20"/>
      <c r="H68" s="20"/>
      <c r="I68" s="22"/>
      <c r="J68" s="20"/>
      <c r="K68" s="20"/>
      <c r="L68" s="20"/>
      <c r="M68" s="20"/>
      <c r="N68" s="21"/>
      <c r="O68" s="29">
        <f t="shared" si="1"/>
        <v>0</v>
      </c>
      <c r="P68" s="20"/>
      <c r="Q68" s="29">
        <f t="shared" si="2"/>
        <v>0</v>
      </c>
      <c r="R68" s="20"/>
      <c r="S68" s="20"/>
      <c r="T68" s="20"/>
      <c r="U68" s="20"/>
      <c r="V68" s="20"/>
      <c r="W68" s="20"/>
      <c r="X68" s="20"/>
      <c r="Y68" s="20"/>
      <c r="Z68" s="20"/>
    </row>
    <row r="69" spans="1:26" ht="9.75" customHeight="1" x14ac:dyDescent="0.25">
      <c r="A69" s="20"/>
      <c r="B69" s="21"/>
      <c r="C69" s="20"/>
      <c r="D69" s="22"/>
      <c r="E69" s="20"/>
      <c r="F69" s="20"/>
      <c r="G69" s="20"/>
      <c r="H69" s="20"/>
      <c r="I69" s="22"/>
      <c r="J69" s="20"/>
      <c r="K69" s="20"/>
      <c r="L69" s="20"/>
      <c r="M69" s="20"/>
      <c r="N69" s="21"/>
      <c r="O69" s="29">
        <f t="shared" si="1"/>
        <v>0</v>
      </c>
      <c r="P69" s="20"/>
      <c r="Q69" s="29">
        <f t="shared" si="2"/>
        <v>0</v>
      </c>
      <c r="R69" s="20"/>
      <c r="S69" s="20"/>
      <c r="T69" s="20"/>
      <c r="U69" s="20"/>
      <c r="V69" s="20"/>
      <c r="W69" s="20"/>
      <c r="X69" s="20"/>
      <c r="Y69" s="20"/>
      <c r="Z69" s="20"/>
    </row>
    <row r="70" spans="1:26" ht="9.75" customHeight="1" x14ac:dyDescent="0.25">
      <c r="A70" s="20"/>
      <c r="B70" s="21"/>
      <c r="C70" s="20"/>
      <c r="D70" s="22"/>
      <c r="E70" s="20"/>
      <c r="F70" s="20"/>
      <c r="G70" s="20"/>
      <c r="H70" s="20"/>
      <c r="I70" s="22"/>
      <c r="J70" s="20"/>
      <c r="K70" s="20"/>
      <c r="L70" s="20"/>
      <c r="M70" s="20"/>
      <c r="N70" s="21"/>
      <c r="O70" s="29">
        <f t="shared" si="1"/>
        <v>0</v>
      </c>
      <c r="P70" s="20"/>
      <c r="Q70" s="29">
        <f t="shared" si="2"/>
        <v>0</v>
      </c>
      <c r="R70" s="20"/>
      <c r="S70" s="20"/>
      <c r="T70" s="20"/>
      <c r="U70" s="20"/>
      <c r="V70" s="20"/>
      <c r="W70" s="20"/>
      <c r="X70" s="20"/>
      <c r="Y70" s="20"/>
      <c r="Z70" s="20"/>
    </row>
    <row r="71" spans="1:26" ht="9.75" customHeight="1" x14ac:dyDescent="0.25">
      <c r="A71" s="20"/>
      <c r="B71" s="21"/>
      <c r="C71" s="20"/>
      <c r="D71" s="22"/>
      <c r="E71" s="20"/>
      <c r="F71" s="20"/>
      <c r="G71" s="20"/>
      <c r="H71" s="20"/>
      <c r="I71" s="22"/>
      <c r="J71" s="20"/>
      <c r="K71" s="20"/>
      <c r="L71" s="20"/>
      <c r="M71" s="20"/>
      <c r="N71" s="21"/>
      <c r="O71" s="29">
        <f t="shared" si="1"/>
        <v>0</v>
      </c>
      <c r="P71" s="20"/>
      <c r="Q71" s="29">
        <f t="shared" si="2"/>
        <v>0</v>
      </c>
      <c r="R71" s="20"/>
      <c r="S71" s="20"/>
      <c r="T71" s="20"/>
      <c r="U71" s="20"/>
      <c r="V71" s="20"/>
      <c r="W71" s="20"/>
      <c r="X71" s="20"/>
      <c r="Y71" s="20"/>
      <c r="Z71" s="20"/>
    </row>
    <row r="72" spans="1:26" ht="9.75" customHeight="1" x14ac:dyDescent="0.25">
      <c r="A72" s="20"/>
      <c r="B72" s="21"/>
      <c r="C72" s="20"/>
      <c r="D72" s="22"/>
      <c r="E72" s="20"/>
      <c r="F72" s="20"/>
      <c r="G72" s="20"/>
      <c r="H72" s="20"/>
      <c r="I72" s="22"/>
      <c r="J72" s="20"/>
      <c r="K72" s="20"/>
      <c r="L72" s="20"/>
      <c r="M72" s="20"/>
      <c r="N72" s="21"/>
      <c r="O72" s="29">
        <f t="shared" si="1"/>
        <v>0</v>
      </c>
      <c r="P72" s="20"/>
      <c r="Q72" s="29">
        <f t="shared" si="2"/>
        <v>0</v>
      </c>
      <c r="R72" s="20"/>
      <c r="S72" s="20"/>
      <c r="T72" s="20"/>
      <c r="U72" s="20"/>
      <c r="V72" s="20"/>
      <c r="W72" s="20"/>
      <c r="X72" s="20"/>
      <c r="Y72" s="20"/>
      <c r="Z72" s="20"/>
    </row>
    <row r="73" spans="1:26" ht="9.75" customHeight="1" x14ac:dyDescent="0.25">
      <c r="A73" s="20"/>
      <c r="B73" s="21"/>
      <c r="C73" s="20"/>
      <c r="D73" s="22"/>
      <c r="E73" s="20"/>
      <c r="F73" s="20"/>
      <c r="G73" s="20"/>
      <c r="H73" s="20"/>
      <c r="I73" s="22"/>
      <c r="J73" s="20"/>
      <c r="K73" s="20"/>
      <c r="L73" s="20"/>
      <c r="M73" s="20"/>
      <c r="N73" s="21"/>
      <c r="O73" s="29">
        <f t="shared" si="1"/>
        <v>0</v>
      </c>
      <c r="P73" s="20"/>
      <c r="Q73" s="29">
        <f t="shared" si="2"/>
        <v>0</v>
      </c>
      <c r="R73" s="20"/>
      <c r="S73" s="20"/>
      <c r="T73" s="20"/>
      <c r="U73" s="20"/>
      <c r="V73" s="20"/>
      <c r="W73" s="20"/>
      <c r="X73" s="20"/>
      <c r="Y73" s="20"/>
      <c r="Z73" s="20"/>
    </row>
    <row r="74" spans="1:26" ht="9.75" customHeight="1" x14ac:dyDescent="0.25">
      <c r="A74" s="20"/>
      <c r="B74" s="21"/>
      <c r="C74" s="20"/>
      <c r="D74" s="22"/>
      <c r="E74" s="20"/>
      <c r="F74" s="20"/>
      <c r="G74" s="20"/>
      <c r="H74" s="20"/>
      <c r="I74" s="22"/>
      <c r="J74" s="20"/>
      <c r="K74" s="20"/>
      <c r="L74" s="20"/>
      <c r="M74" s="20"/>
      <c r="N74" s="21"/>
      <c r="O74" s="29">
        <f t="shared" si="1"/>
        <v>0</v>
      </c>
      <c r="P74" s="20"/>
      <c r="Q74" s="29">
        <f t="shared" si="2"/>
        <v>0</v>
      </c>
      <c r="R74" s="20"/>
      <c r="S74" s="20"/>
      <c r="T74" s="20"/>
      <c r="U74" s="20"/>
      <c r="V74" s="20"/>
      <c r="W74" s="20"/>
      <c r="X74" s="20"/>
      <c r="Y74" s="20"/>
      <c r="Z74" s="20"/>
    </row>
    <row r="75" spans="1:26" ht="9.75" customHeight="1" x14ac:dyDescent="0.25">
      <c r="A75" s="20"/>
      <c r="B75" s="21"/>
      <c r="C75" s="20"/>
      <c r="D75" s="22"/>
      <c r="E75" s="20"/>
      <c r="F75" s="20"/>
      <c r="G75" s="20"/>
      <c r="H75" s="20"/>
      <c r="I75" s="22"/>
      <c r="J75" s="20"/>
      <c r="K75" s="20"/>
      <c r="L75" s="20"/>
      <c r="M75" s="20"/>
      <c r="N75" s="21"/>
      <c r="O75" s="29">
        <f t="shared" si="1"/>
        <v>0</v>
      </c>
      <c r="P75" s="20"/>
      <c r="Q75" s="29">
        <f t="shared" si="2"/>
        <v>0</v>
      </c>
      <c r="R75" s="20"/>
      <c r="S75" s="20"/>
      <c r="T75" s="20"/>
      <c r="U75" s="20"/>
      <c r="V75" s="20"/>
      <c r="W75" s="20"/>
      <c r="X75" s="20"/>
      <c r="Y75" s="20"/>
      <c r="Z75" s="20"/>
    </row>
    <row r="76" spans="1:26" ht="9.75" customHeight="1" x14ac:dyDescent="0.25">
      <c r="A76" s="20"/>
      <c r="B76" s="21"/>
      <c r="C76" s="20"/>
      <c r="D76" s="22"/>
      <c r="E76" s="20"/>
      <c r="F76" s="20"/>
      <c r="G76" s="20"/>
      <c r="H76" s="20"/>
      <c r="I76" s="22"/>
      <c r="J76" s="20"/>
      <c r="K76" s="20"/>
      <c r="L76" s="20"/>
      <c r="M76" s="20"/>
      <c r="N76" s="21"/>
      <c r="O76" s="29">
        <f t="shared" si="1"/>
        <v>0</v>
      </c>
      <c r="P76" s="20"/>
      <c r="Q76" s="29">
        <f t="shared" si="2"/>
        <v>0</v>
      </c>
      <c r="R76" s="20"/>
      <c r="S76" s="20"/>
      <c r="T76" s="20"/>
      <c r="U76" s="20"/>
      <c r="V76" s="20"/>
      <c r="W76" s="20"/>
      <c r="X76" s="20"/>
      <c r="Y76" s="20"/>
      <c r="Z76" s="20"/>
    </row>
    <row r="77" spans="1:26" ht="9.75" customHeight="1" x14ac:dyDescent="0.25">
      <c r="A77" s="20"/>
      <c r="B77" s="21"/>
      <c r="C77" s="20"/>
      <c r="D77" s="22"/>
      <c r="E77" s="20"/>
      <c r="F77" s="20"/>
      <c r="G77" s="20"/>
      <c r="H77" s="20"/>
      <c r="I77" s="22"/>
      <c r="J77" s="20"/>
      <c r="K77" s="20"/>
      <c r="L77" s="20"/>
      <c r="M77" s="20"/>
      <c r="N77" s="21"/>
      <c r="O77" s="29">
        <f t="shared" si="1"/>
        <v>0</v>
      </c>
      <c r="P77" s="20"/>
      <c r="Q77" s="29">
        <f t="shared" si="2"/>
        <v>0</v>
      </c>
      <c r="R77" s="20"/>
      <c r="S77" s="20"/>
      <c r="T77" s="20"/>
      <c r="U77" s="20"/>
      <c r="V77" s="20"/>
      <c r="W77" s="20"/>
      <c r="X77" s="20"/>
      <c r="Y77" s="20"/>
      <c r="Z77" s="20"/>
    </row>
    <row r="78" spans="1:26" ht="9.75" customHeight="1" x14ac:dyDescent="0.25">
      <c r="A78" s="20"/>
      <c r="B78" s="21"/>
      <c r="C78" s="20"/>
      <c r="D78" s="22"/>
      <c r="E78" s="20"/>
      <c r="F78" s="20"/>
      <c r="G78" s="20"/>
      <c r="H78" s="20"/>
      <c r="I78" s="22"/>
      <c r="J78" s="20"/>
      <c r="K78" s="20"/>
      <c r="L78" s="20"/>
      <c r="M78" s="20"/>
      <c r="N78" s="21"/>
      <c r="O78" s="29">
        <f t="shared" si="1"/>
        <v>0</v>
      </c>
      <c r="P78" s="20"/>
      <c r="Q78" s="29">
        <f t="shared" si="2"/>
        <v>0</v>
      </c>
      <c r="R78" s="20"/>
      <c r="S78" s="20"/>
      <c r="T78" s="20"/>
      <c r="U78" s="20"/>
      <c r="V78" s="20"/>
      <c r="W78" s="20"/>
      <c r="X78" s="20"/>
      <c r="Y78" s="20"/>
      <c r="Z78" s="20"/>
    </row>
    <row r="79" spans="1:26" ht="9.75" customHeight="1" x14ac:dyDescent="0.25">
      <c r="A79" s="20"/>
      <c r="B79" s="21"/>
      <c r="C79" s="20"/>
      <c r="D79" s="22"/>
      <c r="E79" s="20"/>
      <c r="F79" s="20"/>
      <c r="G79" s="20"/>
      <c r="H79" s="20"/>
      <c r="I79" s="22"/>
      <c r="J79" s="20"/>
      <c r="K79" s="20"/>
      <c r="L79" s="20"/>
      <c r="M79" s="20"/>
      <c r="N79" s="21"/>
      <c r="O79" s="29">
        <f t="shared" si="1"/>
        <v>0</v>
      </c>
      <c r="P79" s="20"/>
      <c r="Q79" s="29">
        <f t="shared" si="2"/>
        <v>0</v>
      </c>
      <c r="R79" s="20"/>
      <c r="S79" s="20"/>
      <c r="T79" s="20"/>
      <c r="U79" s="20"/>
      <c r="V79" s="20"/>
      <c r="W79" s="20"/>
      <c r="X79" s="20"/>
      <c r="Y79" s="20"/>
      <c r="Z79" s="20"/>
    </row>
    <row r="80" spans="1:26" ht="9.75" customHeight="1" x14ac:dyDescent="0.25">
      <c r="A80" s="20"/>
      <c r="B80" s="21"/>
      <c r="C80" s="20"/>
      <c r="D80" s="22"/>
      <c r="E80" s="20"/>
      <c r="F80" s="20"/>
      <c r="G80" s="20"/>
      <c r="H80" s="20"/>
      <c r="I80" s="22"/>
      <c r="J80" s="20"/>
      <c r="K80" s="20"/>
      <c r="L80" s="20"/>
      <c r="M80" s="20"/>
      <c r="N80" s="21"/>
      <c r="O80" s="29">
        <f t="shared" si="1"/>
        <v>0</v>
      </c>
      <c r="P80" s="20"/>
      <c r="Q80" s="29">
        <f t="shared" si="2"/>
        <v>0</v>
      </c>
      <c r="R80" s="20"/>
      <c r="S80" s="20"/>
      <c r="T80" s="20"/>
      <c r="U80" s="20"/>
      <c r="V80" s="20"/>
      <c r="W80" s="20"/>
      <c r="X80" s="20"/>
      <c r="Y80" s="20"/>
      <c r="Z80" s="20"/>
    </row>
    <row r="81" spans="1:26" ht="9.75" customHeight="1" x14ac:dyDescent="0.25">
      <c r="A81" s="20"/>
      <c r="B81" s="21"/>
      <c r="C81" s="20"/>
      <c r="D81" s="22"/>
      <c r="E81" s="20"/>
      <c r="F81" s="20"/>
      <c r="G81" s="20"/>
      <c r="H81" s="20"/>
      <c r="I81" s="22"/>
      <c r="J81" s="20"/>
      <c r="K81" s="20"/>
      <c r="L81" s="20"/>
      <c r="M81" s="20"/>
      <c r="N81" s="21"/>
      <c r="O81" s="29">
        <f t="shared" si="1"/>
        <v>0</v>
      </c>
      <c r="P81" s="20"/>
      <c r="Q81" s="29">
        <f t="shared" si="2"/>
        <v>0</v>
      </c>
      <c r="R81" s="20"/>
      <c r="S81" s="20"/>
      <c r="T81" s="20"/>
      <c r="U81" s="20"/>
      <c r="V81" s="20"/>
      <c r="W81" s="20"/>
      <c r="X81" s="20"/>
      <c r="Y81" s="20"/>
      <c r="Z81" s="20"/>
    </row>
    <row r="82" spans="1:26" ht="9.75" customHeight="1" x14ac:dyDescent="0.25">
      <c r="A82" s="20"/>
      <c r="B82" s="21"/>
      <c r="C82" s="20"/>
      <c r="D82" s="22"/>
      <c r="E82" s="20"/>
      <c r="F82" s="20"/>
      <c r="G82" s="20"/>
      <c r="H82" s="20"/>
      <c r="I82" s="22"/>
      <c r="J82" s="20"/>
      <c r="K82" s="20"/>
      <c r="L82" s="20"/>
      <c r="M82" s="20"/>
      <c r="N82" s="21"/>
      <c r="O82" s="29">
        <f t="shared" si="1"/>
        <v>0</v>
      </c>
      <c r="P82" s="20"/>
      <c r="Q82" s="29">
        <f t="shared" si="2"/>
        <v>0</v>
      </c>
      <c r="R82" s="20"/>
      <c r="S82" s="20"/>
      <c r="T82" s="20"/>
      <c r="U82" s="20"/>
      <c r="V82" s="20"/>
      <c r="W82" s="20"/>
      <c r="X82" s="20"/>
      <c r="Y82" s="20"/>
      <c r="Z82" s="20"/>
    </row>
    <row r="83" spans="1:26" ht="9.75" customHeight="1" x14ac:dyDescent="0.25">
      <c r="A83" s="20"/>
      <c r="B83" s="21"/>
      <c r="C83" s="20"/>
      <c r="D83" s="22"/>
      <c r="E83" s="20"/>
      <c r="F83" s="20"/>
      <c r="G83" s="20"/>
      <c r="H83" s="20"/>
      <c r="I83" s="22"/>
      <c r="J83" s="20"/>
      <c r="K83" s="20"/>
      <c r="L83" s="20"/>
      <c r="M83" s="20"/>
      <c r="N83" s="21"/>
      <c r="O83" s="29">
        <f t="shared" si="1"/>
        <v>0</v>
      </c>
      <c r="P83" s="20"/>
      <c r="Q83" s="29">
        <f t="shared" si="2"/>
        <v>0</v>
      </c>
      <c r="R83" s="20"/>
      <c r="S83" s="20"/>
      <c r="T83" s="20"/>
      <c r="U83" s="20"/>
      <c r="V83" s="20"/>
      <c r="W83" s="20"/>
      <c r="X83" s="20"/>
      <c r="Y83" s="20"/>
      <c r="Z83" s="20"/>
    </row>
    <row r="84" spans="1:26" ht="9.75" customHeight="1" x14ac:dyDescent="0.25">
      <c r="A84" s="20"/>
      <c r="B84" s="21"/>
      <c r="C84" s="20"/>
      <c r="D84" s="22"/>
      <c r="E84" s="20"/>
      <c r="F84" s="20"/>
      <c r="G84" s="20"/>
      <c r="H84" s="20"/>
      <c r="I84" s="22"/>
      <c r="J84" s="20"/>
      <c r="K84" s="20"/>
      <c r="L84" s="20"/>
      <c r="M84" s="20"/>
      <c r="N84" s="21"/>
      <c r="O84" s="29">
        <f t="shared" si="1"/>
        <v>0</v>
      </c>
      <c r="P84" s="20"/>
      <c r="Q84" s="29">
        <f t="shared" si="2"/>
        <v>0</v>
      </c>
      <c r="R84" s="20"/>
      <c r="S84" s="20"/>
      <c r="T84" s="20"/>
      <c r="U84" s="20"/>
      <c r="V84" s="20"/>
      <c r="W84" s="20"/>
      <c r="X84" s="20"/>
      <c r="Y84" s="20"/>
      <c r="Z84" s="20"/>
    </row>
    <row r="85" spans="1:26" ht="9.75" customHeight="1" x14ac:dyDescent="0.25">
      <c r="A85" s="20"/>
      <c r="B85" s="21"/>
      <c r="C85" s="20"/>
      <c r="D85" s="22"/>
      <c r="E85" s="20"/>
      <c r="F85" s="20"/>
      <c r="G85" s="20"/>
      <c r="H85" s="20"/>
      <c r="I85" s="22"/>
      <c r="J85" s="20"/>
      <c r="K85" s="20"/>
      <c r="L85" s="20"/>
      <c r="M85" s="20"/>
      <c r="N85" s="21"/>
      <c r="O85" s="29">
        <f t="shared" si="1"/>
        <v>0</v>
      </c>
      <c r="P85" s="20"/>
      <c r="Q85" s="29">
        <f t="shared" si="2"/>
        <v>0</v>
      </c>
      <c r="R85" s="20"/>
      <c r="S85" s="20"/>
      <c r="T85" s="20"/>
      <c r="U85" s="20"/>
      <c r="V85" s="20"/>
      <c r="W85" s="20"/>
      <c r="X85" s="20"/>
      <c r="Y85" s="20"/>
      <c r="Z85" s="20"/>
    </row>
    <row r="86" spans="1:26" ht="9.75" customHeight="1" x14ac:dyDescent="0.25">
      <c r="A86" s="20"/>
      <c r="B86" s="21"/>
      <c r="C86" s="20"/>
      <c r="D86" s="22"/>
      <c r="E86" s="20"/>
      <c r="F86" s="20"/>
      <c r="G86" s="20"/>
      <c r="H86" s="20"/>
      <c r="I86" s="22"/>
      <c r="J86" s="20"/>
      <c r="K86" s="20"/>
      <c r="L86" s="20"/>
      <c r="M86" s="20"/>
      <c r="N86" s="21"/>
      <c r="O86" s="29">
        <f t="shared" si="1"/>
        <v>0</v>
      </c>
      <c r="P86" s="20"/>
      <c r="Q86" s="29">
        <f t="shared" si="2"/>
        <v>0</v>
      </c>
      <c r="R86" s="20"/>
      <c r="S86" s="20"/>
      <c r="T86" s="20"/>
      <c r="U86" s="20"/>
      <c r="V86" s="20"/>
      <c r="W86" s="20"/>
      <c r="X86" s="20"/>
      <c r="Y86" s="20"/>
      <c r="Z86" s="20"/>
    </row>
    <row r="87" spans="1:26" ht="9.75" customHeight="1" x14ac:dyDescent="0.25">
      <c r="A87" s="20"/>
      <c r="B87" s="21"/>
      <c r="C87" s="20"/>
      <c r="D87" s="22"/>
      <c r="E87" s="20"/>
      <c r="F87" s="20"/>
      <c r="G87" s="20"/>
      <c r="H87" s="20"/>
      <c r="I87" s="22"/>
      <c r="J87" s="20"/>
      <c r="K87" s="20"/>
      <c r="L87" s="20"/>
      <c r="M87" s="20"/>
      <c r="N87" s="21"/>
      <c r="O87" s="29">
        <f t="shared" si="1"/>
        <v>0</v>
      </c>
      <c r="P87" s="20"/>
      <c r="Q87" s="29">
        <f t="shared" si="2"/>
        <v>0</v>
      </c>
      <c r="R87" s="20"/>
      <c r="S87" s="20"/>
      <c r="T87" s="20"/>
      <c r="U87" s="20"/>
      <c r="V87" s="20"/>
      <c r="W87" s="20"/>
      <c r="X87" s="20"/>
      <c r="Y87" s="20"/>
      <c r="Z87" s="20"/>
    </row>
    <row r="88" spans="1:26" ht="9.75" customHeight="1" x14ac:dyDescent="0.25">
      <c r="A88" s="20"/>
      <c r="B88" s="21"/>
      <c r="C88" s="20"/>
      <c r="D88" s="22"/>
      <c r="E88" s="20"/>
      <c r="F88" s="20"/>
      <c r="G88" s="20"/>
      <c r="H88" s="20"/>
      <c r="I88" s="22"/>
      <c r="J88" s="20"/>
      <c r="K88" s="20"/>
      <c r="L88" s="20"/>
      <c r="M88" s="20"/>
      <c r="N88" s="21"/>
      <c r="O88" s="29">
        <f t="shared" si="1"/>
        <v>0</v>
      </c>
      <c r="P88" s="20"/>
      <c r="Q88" s="29">
        <f t="shared" si="2"/>
        <v>0</v>
      </c>
      <c r="R88" s="20"/>
      <c r="S88" s="20"/>
      <c r="T88" s="20"/>
      <c r="U88" s="20"/>
      <c r="V88" s="20"/>
      <c r="W88" s="20"/>
      <c r="X88" s="20"/>
      <c r="Y88" s="20"/>
      <c r="Z88" s="20"/>
    </row>
    <row r="89" spans="1:26" ht="9.75" customHeight="1" x14ac:dyDescent="0.25">
      <c r="A89" s="20"/>
      <c r="B89" s="21"/>
      <c r="C89" s="20"/>
      <c r="D89" s="22"/>
      <c r="E89" s="20"/>
      <c r="F89" s="20"/>
      <c r="G89" s="20"/>
      <c r="H89" s="20"/>
      <c r="I89" s="22"/>
      <c r="J89" s="20"/>
      <c r="K89" s="20"/>
      <c r="L89" s="20"/>
      <c r="M89" s="20"/>
      <c r="N89" s="21"/>
      <c r="O89" s="29">
        <f t="shared" si="1"/>
        <v>0</v>
      </c>
      <c r="P89" s="20"/>
      <c r="Q89" s="29">
        <f t="shared" si="2"/>
        <v>0</v>
      </c>
      <c r="R89" s="20"/>
      <c r="S89" s="20"/>
      <c r="T89" s="20"/>
      <c r="U89" s="20"/>
      <c r="V89" s="20"/>
      <c r="W89" s="20"/>
      <c r="X89" s="20"/>
      <c r="Y89" s="20"/>
      <c r="Z89" s="20"/>
    </row>
    <row r="90" spans="1:26" ht="9.75" customHeight="1" x14ac:dyDescent="0.25">
      <c r="A90" s="20"/>
      <c r="B90" s="21"/>
      <c r="C90" s="20"/>
      <c r="D90" s="22"/>
      <c r="E90" s="20"/>
      <c r="F90" s="20"/>
      <c r="G90" s="20"/>
      <c r="H90" s="20"/>
      <c r="I90" s="22"/>
      <c r="J90" s="20"/>
      <c r="K90" s="20"/>
      <c r="L90" s="20"/>
      <c r="M90" s="20"/>
      <c r="N90" s="21"/>
      <c r="O90" s="29">
        <f t="shared" si="1"/>
        <v>0</v>
      </c>
      <c r="P90" s="20"/>
      <c r="Q90" s="29">
        <f t="shared" si="2"/>
        <v>0</v>
      </c>
      <c r="R90" s="20"/>
      <c r="S90" s="20"/>
      <c r="T90" s="20"/>
      <c r="U90" s="20"/>
      <c r="V90" s="20"/>
      <c r="W90" s="20"/>
      <c r="X90" s="20"/>
      <c r="Y90" s="20"/>
      <c r="Z90" s="20"/>
    </row>
    <row r="91" spans="1:26" ht="9.75" customHeight="1" x14ac:dyDescent="0.25">
      <c r="A91" s="20"/>
      <c r="B91" s="21"/>
      <c r="C91" s="20"/>
      <c r="D91" s="22"/>
      <c r="E91" s="20"/>
      <c r="F91" s="20"/>
      <c r="G91" s="20"/>
      <c r="H91" s="20"/>
      <c r="I91" s="22"/>
      <c r="J91" s="20"/>
      <c r="K91" s="20"/>
      <c r="L91" s="20"/>
      <c r="M91" s="20"/>
      <c r="N91" s="21"/>
      <c r="O91" s="29">
        <f t="shared" si="1"/>
        <v>0</v>
      </c>
      <c r="P91" s="20"/>
      <c r="Q91" s="29">
        <f t="shared" si="2"/>
        <v>0</v>
      </c>
      <c r="R91" s="20"/>
      <c r="S91" s="20"/>
      <c r="T91" s="20"/>
      <c r="U91" s="20"/>
      <c r="V91" s="20"/>
      <c r="W91" s="20"/>
      <c r="X91" s="20"/>
      <c r="Y91" s="20"/>
      <c r="Z91" s="20"/>
    </row>
    <row r="92" spans="1:26" ht="9.75" customHeight="1" x14ac:dyDescent="0.25">
      <c r="A92" s="20"/>
      <c r="B92" s="21"/>
      <c r="C92" s="20"/>
      <c r="D92" s="22"/>
      <c r="E92" s="20"/>
      <c r="F92" s="20"/>
      <c r="G92" s="20"/>
      <c r="H92" s="20"/>
      <c r="I92" s="22"/>
      <c r="J92" s="20"/>
      <c r="K92" s="20"/>
      <c r="L92" s="20"/>
      <c r="M92" s="20"/>
      <c r="N92" s="21"/>
      <c r="O92" s="29">
        <f t="shared" si="1"/>
        <v>0</v>
      </c>
      <c r="P92" s="20"/>
      <c r="Q92" s="29">
        <f t="shared" si="2"/>
        <v>0</v>
      </c>
      <c r="R92" s="20"/>
      <c r="S92" s="20"/>
      <c r="T92" s="20"/>
      <c r="U92" s="20"/>
      <c r="V92" s="20"/>
      <c r="W92" s="20"/>
      <c r="X92" s="20"/>
      <c r="Y92" s="20"/>
      <c r="Z92" s="20"/>
    </row>
    <row r="93" spans="1:26" ht="9.75" customHeight="1" x14ac:dyDescent="0.25">
      <c r="A93" s="20"/>
      <c r="B93" s="21"/>
      <c r="C93" s="20"/>
      <c r="D93" s="22"/>
      <c r="E93" s="20"/>
      <c r="F93" s="20"/>
      <c r="G93" s="20"/>
      <c r="H93" s="20"/>
      <c r="I93" s="22"/>
      <c r="J93" s="20"/>
      <c r="K93" s="20"/>
      <c r="L93" s="20"/>
      <c r="M93" s="20"/>
      <c r="N93" s="21"/>
      <c r="O93" s="29">
        <f t="shared" si="1"/>
        <v>0</v>
      </c>
      <c r="P93" s="20"/>
      <c r="Q93" s="29">
        <f t="shared" si="2"/>
        <v>0</v>
      </c>
      <c r="R93" s="20"/>
      <c r="S93" s="20"/>
      <c r="T93" s="20"/>
      <c r="U93" s="20"/>
      <c r="V93" s="20"/>
      <c r="W93" s="20"/>
      <c r="X93" s="20"/>
      <c r="Y93" s="20"/>
      <c r="Z93" s="20"/>
    </row>
    <row r="94" spans="1:26" ht="9.75" customHeight="1" x14ac:dyDescent="0.25">
      <c r="A94" s="20"/>
      <c r="B94" s="21"/>
      <c r="C94" s="20"/>
      <c r="D94" s="22"/>
      <c r="E94" s="20"/>
      <c r="F94" s="20"/>
      <c r="G94" s="20"/>
      <c r="H94" s="20"/>
      <c r="I94" s="22"/>
      <c r="J94" s="20"/>
      <c r="K94" s="20"/>
      <c r="L94" s="20"/>
      <c r="M94" s="20"/>
      <c r="N94" s="21"/>
      <c r="O94" s="29">
        <f t="shared" si="1"/>
        <v>0</v>
      </c>
      <c r="P94" s="20"/>
      <c r="Q94" s="29">
        <f t="shared" si="2"/>
        <v>0</v>
      </c>
      <c r="R94" s="20"/>
      <c r="S94" s="20"/>
      <c r="T94" s="20"/>
      <c r="U94" s="20"/>
      <c r="V94" s="20"/>
      <c r="W94" s="20"/>
      <c r="X94" s="20"/>
      <c r="Y94" s="20"/>
      <c r="Z94" s="20"/>
    </row>
    <row r="95" spans="1:26" ht="9.75" customHeight="1" x14ac:dyDescent="0.25">
      <c r="A95" s="20"/>
      <c r="B95" s="21"/>
      <c r="C95" s="20"/>
      <c r="D95" s="22"/>
      <c r="E95" s="20"/>
      <c r="F95" s="20"/>
      <c r="G95" s="20"/>
      <c r="H95" s="20"/>
      <c r="I95" s="22"/>
      <c r="J95" s="20"/>
      <c r="K95" s="20"/>
      <c r="L95" s="20"/>
      <c r="M95" s="20"/>
      <c r="N95" s="21"/>
      <c r="O95" s="29">
        <f t="shared" si="1"/>
        <v>0</v>
      </c>
      <c r="P95" s="20"/>
      <c r="Q95" s="29">
        <f t="shared" si="2"/>
        <v>0</v>
      </c>
      <c r="R95" s="20"/>
      <c r="S95" s="20"/>
      <c r="T95" s="20"/>
      <c r="U95" s="20"/>
      <c r="V95" s="20"/>
      <c r="W95" s="20"/>
      <c r="X95" s="20"/>
      <c r="Y95" s="20"/>
      <c r="Z95" s="20"/>
    </row>
    <row r="96" spans="1:26" ht="9.75" customHeight="1" x14ac:dyDescent="0.25">
      <c r="A96" s="20"/>
      <c r="B96" s="21"/>
      <c r="C96" s="20"/>
      <c r="D96" s="22"/>
      <c r="E96" s="20"/>
      <c r="F96" s="20"/>
      <c r="G96" s="20"/>
      <c r="H96" s="20"/>
      <c r="I96" s="22"/>
      <c r="J96" s="20"/>
      <c r="K96" s="20"/>
      <c r="L96" s="20"/>
      <c r="M96" s="20"/>
      <c r="N96" s="21"/>
      <c r="O96" s="29">
        <f t="shared" si="1"/>
        <v>0</v>
      </c>
      <c r="P96" s="20"/>
      <c r="Q96" s="29">
        <f t="shared" si="2"/>
        <v>0</v>
      </c>
      <c r="R96" s="20"/>
      <c r="S96" s="20"/>
      <c r="T96" s="20"/>
      <c r="U96" s="20"/>
      <c r="V96" s="20"/>
      <c r="W96" s="20"/>
      <c r="X96" s="20"/>
      <c r="Y96" s="20"/>
      <c r="Z96" s="20"/>
    </row>
    <row r="97" spans="1:26" ht="9.75" customHeight="1" x14ac:dyDescent="0.25">
      <c r="A97" s="20"/>
      <c r="B97" s="21"/>
      <c r="C97" s="20"/>
      <c r="D97" s="22"/>
      <c r="E97" s="20"/>
      <c r="F97" s="20"/>
      <c r="G97" s="20"/>
      <c r="H97" s="20"/>
      <c r="I97" s="22"/>
      <c r="J97" s="20"/>
      <c r="K97" s="20"/>
      <c r="L97" s="20"/>
      <c r="M97" s="20"/>
      <c r="N97" s="21"/>
      <c r="O97" s="29">
        <f t="shared" si="1"/>
        <v>0</v>
      </c>
      <c r="P97" s="20"/>
      <c r="Q97" s="29">
        <f t="shared" si="2"/>
        <v>0</v>
      </c>
      <c r="R97" s="20"/>
      <c r="S97" s="20"/>
      <c r="T97" s="20"/>
      <c r="U97" s="20"/>
      <c r="V97" s="20"/>
      <c r="W97" s="20"/>
      <c r="X97" s="20"/>
      <c r="Y97" s="20"/>
      <c r="Z97" s="20"/>
    </row>
    <row r="98" spans="1:26" ht="9.75" customHeight="1" x14ac:dyDescent="0.25">
      <c r="A98" s="20"/>
      <c r="B98" s="21"/>
      <c r="C98" s="20"/>
      <c r="D98" s="22"/>
      <c r="E98" s="20"/>
      <c r="F98" s="20"/>
      <c r="G98" s="20"/>
      <c r="H98" s="20"/>
      <c r="I98" s="22"/>
      <c r="J98" s="20"/>
      <c r="K98" s="20"/>
      <c r="L98" s="20"/>
      <c r="M98" s="20"/>
      <c r="N98" s="21"/>
      <c r="O98" s="29">
        <f t="shared" si="1"/>
        <v>0</v>
      </c>
      <c r="P98" s="20"/>
      <c r="Q98" s="29">
        <f t="shared" si="2"/>
        <v>0</v>
      </c>
      <c r="R98" s="20"/>
      <c r="S98" s="20"/>
      <c r="T98" s="20"/>
      <c r="U98" s="20"/>
      <c r="V98" s="20"/>
      <c r="W98" s="20"/>
      <c r="X98" s="20"/>
      <c r="Y98" s="20"/>
      <c r="Z98" s="20"/>
    </row>
    <row r="99" spans="1:26" ht="9.75" customHeight="1" x14ac:dyDescent="0.25">
      <c r="A99" s="20"/>
      <c r="B99" s="21"/>
      <c r="C99" s="20"/>
      <c r="D99" s="22"/>
      <c r="E99" s="20"/>
      <c r="F99" s="20"/>
      <c r="G99" s="20"/>
      <c r="H99" s="20"/>
      <c r="I99" s="22"/>
      <c r="J99" s="20"/>
      <c r="K99" s="20"/>
      <c r="L99" s="20"/>
      <c r="M99" s="20"/>
      <c r="N99" s="21"/>
      <c r="O99" s="29">
        <f t="shared" si="1"/>
        <v>0</v>
      </c>
      <c r="P99" s="20"/>
      <c r="Q99" s="29">
        <f t="shared" si="2"/>
        <v>0</v>
      </c>
      <c r="R99" s="20"/>
      <c r="S99" s="20"/>
      <c r="T99" s="20"/>
      <c r="U99" s="20"/>
      <c r="V99" s="20"/>
      <c r="W99" s="20"/>
      <c r="X99" s="20"/>
      <c r="Y99" s="20"/>
      <c r="Z99" s="20"/>
    </row>
    <row r="100" spans="1:26" ht="9.75" customHeight="1" x14ac:dyDescent="0.25">
      <c r="A100" s="20"/>
      <c r="B100" s="21"/>
      <c r="C100" s="20"/>
      <c r="D100" s="22"/>
      <c r="E100" s="20"/>
      <c r="F100" s="20"/>
      <c r="G100" s="20"/>
      <c r="H100" s="20"/>
      <c r="I100" s="22"/>
      <c r="J100" s="20"/>
      <c r="K100" s="20"/>
      <c r="L100" s="20"/>
      <c r="M100" s="20"/>
      <c r="N100" s="21"/>
      <c r="O100" s="29">
        <f t="shared" si="1"/>
        <v>0</v>
      </c>
      <c r="P100" s="20"/>
      <c r="Q100" s="29">
        <f t="shared" si="2"/>
        <v>0</v>
      </c>
      <c r="R100" s="20"/>
      <c r="S100" s="20"/>
      <c r="T100" s="20"/>
      <c r="U100" s="20"/>
      <c r="V100" s="20"/>
      <c r="W100" s="20"/>
      <c r="X100" s="20"/>
      <c r="Y100" s="20"/>
      <c r="Z100" s="20"/>
    </row>
    <row r="101" spans="1:26" ht="9.75" customHeight="1" x14ac:dyDescent="0.25">
      <c r="A101" s="20"/>
      <c r="B101" s="21"/>
      <c r="C101" s="20"/>
      <c r="D101" s="22"/>
      <c r="E101" s="20"/>
      <c r="F101" s="20"/>
      <c r="G101" s="20"/>
      <c r="H101" s="20"/>
      <c r="I101" s="22"/>
      <c r="J101" s="20"/>
      <c r="K101" s="20"/>
      <c r="L101" s="20"/>
      <c r="M101" s="20"/>
      <c r="N101" s="21"/>
      <c r="O101" s="29">
        <f t="shared" si="1"/>
        <v>0</v>
      </c>
      <c r="P101" s="20"/>
      <c r="Q101" s="29">
        <f t="shared" si="2"/>
        <v>0</v>
      </c>
      <c r="R101" s="20"/>
      <c r="S101" s="20"/>
      <c r="T101" s="20"/>
      <c r="U101" s="20"/>
      <c r="V101" s="20"/>
      <c r="W101" s="20"/>
      <c r="X101" s="20"/>
      <c r="Y101" s="20"/>
      <c r="Z101" s="20"/>
    </row>
    <row r="102" spans="1:26" ht="9.75" customHeight="1" x14ac:dyDescent="0.25">
      <c r="A102" s="20"/>
      <c r="B102" s="21"/>
      <c r="C102" s="20"/>
      <c r="D102" s="22"/>
      <c r="E102" s="20"/>
      <c r="F102" s="20"/>
      <c r="G102" s="20"/>
      <c r="H102" s="20"/>
      <c r="I102" s="22"/>
      <c r="J102" s="20"/>
      <c r="K102" s="20"/>
      <c r="L102" s="20"/>
      <c r="M102" s="20"/>
      <c r="N102" s="21"/>
      <c r="O102" s="29">
        <f t="shared" si="1"/>
        <v>0</v>
      </c>
      <c r="P102" s="20"/>
      <c r="Q102" s="29">
        <f t="shared" si="2"/>
        <v>0</v>
      </c>
      <c r="R102" s="20"/>
      <c r="S102" s="20"/>
      <c r="T102" s="20"/>
      <c r="U102" s="20"/>
      <c r="V102" s="20"/>
      <c r="W102" s="20"/>
      <c r="X102" s="20"/>
      <c r="Y102" s="20"/>
      <c r="Z102" s="20"/>
    </row>
    <row r="103" spans="1:26" ht="9.75" customHeight="1" x14ac:dyDescent="0.25">
      <c r="A103" s="20"/>
      <c r="B103" s="21"/>
      <c r="C103" s="20"/>
      <c r="D103" s="22"/>
      <c r="E103" s="20"/>
      <c r="F103" s="20"/>
      <c r="G103" s="20"/>
      <c r="H103" s="20"/>
      <c r="I103" s="22"/>
      <c r="J103" s="20"/>
      <c r="K103" s="20"/>
      <c r="L103" s="20"/>
      <c r="M103" s="20"/>
      <c r="N103" s="21"/>
      <c r="O103" s="29">
        <f t="shared" si="1"/>
        <v>0</v>
      </c>
      <c r="P103" s="20"/>
      <c r="Q103" s="29">
        <f t="shared" si="2"/>
        <v>0</v>
      </c>
      <c r="R103" s="20"/>
      <c r="S103" s="20"/>
      <c r="T103" s="20"/>
      <c r="U103" s="20"/>
      <c r="V103" s="20"/>
      <c r="W103" s="20"/>
      <c r="X103" s="20"/>
      <c r="Y103" s="20"/>
      <c r="Z103" s="20"/>
    </row>
    <row r="104" spans="1:26" ht="9.75" customHeight="1" x14ac:dyDescent="0.25">
      <c r="A104" s="20"/>
      <c r="B104" s="21"/>
      <c r="C104" s="20"/>
      <c r="D104" s="22"/>
      <c r="E104" s="20"/>
      <c r="F104" s="20"/>
      <c r="G104" s="20"/>
      <c r="H104" s="20"/>
      <c r="I104" s="22"/>
      <c r="J104" s="20"/>
      <c r="K104" s="20"/>
      <c r="L104" s="20"/>
      <c r="M104" s="20"/>
      <c r="N104" s="21"/>
      <c r="O104" s="29">
        <f t="shared" si="1"/>
        <v>0</v>
      </c>
      <c r="P104" s="20"/>
      <c r="Q104" s="29">
        <f t="shared" si="2"/>
        <v>0</v>
      </c>
      <c r="R104" s="20"/>
      <c r="S104" s="20"/>
      <c r="T104" s="20"/>
      <c r="U104" s="20"/>
      <c r="V104" s="20"/>
      <c r="W104" s="20"/>
      <c r="X104" s="20"/>
      <c r="Y104" s="20"/>
      <c r="Z104" s="20"/>
    </row>
    <row r="105" spans="1:26" ht="9.75" customHeight="1" x14ac:dyDescent="0.25">
      <c r="A105" s="20"/>
      <c r="B105" s="21"/>
      <c r="C105" s="20"/>
      <c r="D105" s="22"/>
      <c r="E105" s="20"/>
      <c r="F105" s="20"/>
      <c r="G105" s="20"/>
      <c r="H105" s="20"/>
      <c r="I105" s="22"/>
      <c r="J105" s="20"/>
      <c r="K105" s="20"/>
      <c r="L105" s="20"/>
      <c r="M105" s="20"/>
      <c r="N105" s="21"/>
      <c r="O105" s="29">
        <f t="shared" si="1"/>
        <v>0</v>
      </c>
      <c r="P105" s="20"/>
      <c r="Q105" s="29">
        <f t="shared" si="2"/>
        <v>0</v>
      </c>
      <c r="R105" s="20"/>
      <c r="S105" s="20"/>
      <c r="T105" s="20"/>
      <c r="U105" s="20"/>
      <c r="V105" s="20"/>
      <c r="W105" s="20"/>
      <c r="X105" s="20"/>
      <c r="Y105" s="20"/>
      <c r="Z105" s="20"/>
    </row>
    <row r="106" spans="1:26" ht="9.75" customHeight="1" x14ac:dyDescent="0.25">
      <c r="A106" s="20"/>
      <c r="B106" s="21"/>
      <c r="C106" s="20"/>
      <c r="D106" s="22"/>
      <c r="E106" s="20"/>
      <c r="F106" s="20"/>
      <c r="G106" s="20"/>
      <c r="H106" s="20"/>
      <c r="I106" s="22"/>
      <c r="J106" s="20"/>
      <c r="K106" s="20"/>
      <c r="L106" s="20"/>
      <c r="M106" s="20"/>
      <c r="N106" s="21"/>
      <c r="O106" s="29">
        <f t="shared" si="1"/>
        <v>0</v>
      </c>
      <c r="P106" s="20"/>
      <c r="Q106" s="29">
        <f t="shared" si="2"/>
        <v>0</v>
      </c>
      <c r="R106" s="20"/>
      <c r="S106" s="20"/>
      <c r="T106" s="20"/>
      <c r="U106" s="20"/>
      <c r="V106" s="20"/>
      <c r="W106" s="20"/>
      <c r="X106" s="20"/>
      <c r="Y106" s="20"/>
      <c r="Z106" s="20"/>
    </row>
    <row r="107" spans="1:26" ht="9.75" customHeight="1" x14ac:dyDescent="0.25">
      <c r="A107" s="20"/>
      <c r="B107" s="21"/>
      <c r="C107" s="20"/>
      <c r="D107" s="22"/>
      <c r="E107" s="20"/>
      <c r="F107" s="20"/>
      <c r="G107" s="20"/>
      <c r="H107" s="20"/>
      <c r="I107" s="22"/>
      <c r="J107" s="20"/>
      <c r="K107" s="20"/>
      <c r="L107" s="20"/>
      <c r="M107" s="20"/>
      <c r="N107" s="21"/>
      <c r="O107" s="29">
        <f t="shared" si="1"/>
        <v>0</v>
      </c>
      <c r="P107" s="20"/>
      <c r="Q107" s="29">
        <f t="shared" si="2"/>
        <v>0</v>
      </c>
      <c r="R107" s="20"/>
      <c r="S107" s="20"/>
      <c r="T107" s="20"/>
      <c r="U107" s="20"/>
      <c r="V107" s="20"/>
      <c r="W107" s="20"/>
      <c r="X107" s="20"/>
      <c r="Y107" s="20"/>
      <c r="Z107" s="20"/>
    </row>
    <row r="108" spans="1:26" ht="9.75" customHeight="1" x14ac:dyDescent="0.25">
      <c r="A108" s="20"/>
      <c r="B108" s="21"/>
      <c r="C108" s="20"/>
      <c r="D108" s="22"/>
      <c r="E108" s="20"/>
      <c r="F108" s="20"/>
      <c r="G108" s="20"/>
      <c r="H108" s="20"/>
      <c r="I108" s="22"/>
      <c r="J108" s="20"/>
      <c r="K108" s="20"/>
      <c r="L108" s="20"/>
      <c r="M108" s="20"/>
      <c r="N108" s="21"/>
      <c r="O108" s="29">
        <f t="shared" si="1"/>
        <v>0</v>
      </c>
      <c r="P108" s="20"/>
      <c r="Q108" s="29">
        <f t="shared" si="2"/>
        <v>0</v>
      </c>
      <c r="R108" s="20"/>
      <c r="S108" s="20"/>
      <c r="T108" s="20"/>
      <c r="U108" s="20"/>
      <c r="V108" s="20"/>
      <c r="W108" s="20"/>
      <c r="X108" s="20"/>
      <c r="Y108" s="20"/>
      <c r="Z108" s="20"/>
    </row>
    <row r="109" spans="1:26" ht="9.75" customHeight="1" x14ac:dyDescent="0.25">
      <c r="A109" s="20"/>
      <c r="B109" s="21"/>
      <c r="C109" s="20"/>
      <c r="D109" s="22"/>
      <c r="E109" s="20"/>
      <c r="F109" s="20"/>
      <c r="G109" s="20"/>
      <c r="H109" s="20"/>
      <c r="I109" s="22"/>
      <c r="J109" s="20"/>
      <c r="K109" s="20"/>
      <c r="L109" s="20"/>
      <c r="M109" s="20"/>
      <c r="N109" s="21"/>
      <c r="O109" s="29">
        <f t="shared" si="1"/>
        <v>0</v>
      </c>
      <c r="P109" s="20"/>
      <c r="Q109" s="29">
        <f t="shared" si="2"/>
        <v>0</v>
      </c>
      <c r="R109" s="20"/>
      <c r="S109" s="20"/>
      <c r="T109" s="20"/>
      <c r="U109" s="20"/>
      <c r="V109" s="20"/>
      <c r="W109" s="20"/>
      <c r="X109" s="20"/>
      <c r="Y109" s="20"/>
      <c r="Z109" s="20"/>
    </row>
    <row r="110" spans="1:26" ht="9.75" customHeight="1" x14ac:dyDescent="0.25">
      <c r="A110" s="20"/>
      <c r="B110" s="21"/>
      <c r="C110" s="20"/>
      <c r="D110" s="22"/>
      <c r="E110" s="20"/>
      <c r="F110" s="20"/>
      <c r="G110" s="20"/>
      <c r="H110" s="20"/>
      <c r="I110" s="22"/>
      <c r="J110" s="20"/>
      <c r="K110" s="20"/>
      <c r="L110" s="20"/>
      <c r="M110" s="20"/>
      <c r="N110" s="21"/>
      <c r="O110" s="29">
        <f t="shared" si="1"/>
        <v>0</v>
      </c>
      <c r="P110" s="20"/>
      <c r="Q110" s="29">
        <f t="shared" si="2"/>
        <v>0</v>
      </c>
      <c r="R110" s="20"/>
      <c r="S110" s="20"/>
      <c r="T110" s="20"/>
      <c r="U110" s="20"/>
      <c r="V110" s="20"/>
      <c r="W110" s="20"/>
      <c r="X110" s="20"/>
      <c r="Y110" s="20"/>
      <c r="Z110" s="20"/>
    </row>
    <row r="111" spans="1:26" ht="9.75" customHeight="1" x14ac:dyDescent="0.25">
      <c r="A111" s="20"/>
      <c r="B111" s="21"/>
      <c r="C111" s="20"/>
      <c r="D111" s="22"/>
      <c r="E111" s="20"/>
      <c r="F111" s="20"/>
      <c r="G111" s="20"/>
      <c r="H111" s="20"/>
      <c r="I111" s="22"/>
      <c r="J111" s="20"/>
      <c r="K111" s="20"/>
      <c r="L111" s="20"/>
      <c r="M111" s="20"/>
      <c r="N111" s="21"/>
      <c r="O111" s="29">
        <f t="shared" si="1"/>
        <v>0</v>
      </c>
      <c r="P111" s="20"/>
      <c r="Q111" s="29">
        <f t="shared" si="2"/>
        <v>0</v>
      </c>
      <c r="R111" s="20"/>
      <c r="S111" s="20"/>
      <c r="T111" s="20"/>
      <c r="U111" s="20"/>
      <c r="V111" s="20"/>
      <c r="W111" s="20"/>
      <c r="X111" s="20"/>
      <c r="Y111" s="20"/>
      <c r="Z111" s="20"/>
    </row>
    <row r="112" spans="1:26" ht="9.75" customHeight="1" x14ac:dyDescent="0.25">
      <c r="A112" s="20"/>
      <c r="B112" s="21"/>
      <c r="C112" s="20"/>
      <c r="D112" s="22"/>
      <c r="E112" s="20"/>
      <c r="F112" s="20"/>
      <c r="G112" s="20"/>
      <c r="H112" s="20"/>
      <c r="I112" s="22"/>
      <c r="J112" s="20"/>
      <c r="K112" s="20"/>
      <c r="L112" s="20"/>
      <c r="M112" s="20"/>
      <c r="N112" s="21"/>
      <c r="O112" s="29">
        <f t="shared" si="1"/>
        <v>0</v>
      </c>
      <c r="P112" s="20"/>
      <c r="Q112" s="29">
        <f t="shared" si="2"/>
        <v>0</v>
      </c>
      <c r="R112" s="20"/>
      <c r="S112" s="20"/>
      <c r="T112" s="20"/>
      <c r="U112" s="20"/>
      <c r="V112" s="20"/>
      <c r="W112" s="20"/>
      <c r="X112" s="20"/>
      <c r="Y112" s="20"/>
      <c r="Z112" s="20"/>
    </row>
    <row r="113" spans="1:26" ht="9.75" customHeight="1" x14ac:dyDescent="0.25">
      <c r="A113" s="20"/>
      <c r="B113" s="21"/>
      <c r="C113" s="20"/>
      <c r="D113" s="22"/>
      <c r="E113" s="20"/>
      <c r="F113" s="20"/>
      <c r="G113" s="20"/>
      <c r="H113" s="20"/>
      <c r="I113" s="22"/>
      <c r="J113" s="20"/>
      <c r="K113" s="20"/>
      <c r="L113" s="20"/>
      <c r="M113" s="20"/>
      <c r="N113" s="21"/>
      <c r="O113" s="29">
        <f t="shared" si="1"/>
        <v>0</v>
      </c>
      <c r="P113" s="20"/>
      <c r="Q113" s="29">
        <f t="shared" si="2"/>
        <v>0</v>
      </c>
      <c r="R113" s="20"/>
      <c r="S113" s="20"/>
      <c r="T113" s="20"/>
      <c r="U113" s="20"/>
      <c r="V113" s="20"/>
      <c r="W113" s="20"/>
      <c r="X113" s="20"/>
      <c r="Y113" s="20"/>
      <c r="Z113" s="20"/>
    </row>
    <row r="114" spans="1:26" ht="9.75" customHeight="1" x14ac:dyDescent="0.25">
      <c r="A114" s="20"/>
      <c r="B114" s="21"/>
      <c r="C114" s="20"/>
      <c r="D114" s="22"/>
      <c r="E114" s="20"/>
      <c r="F114" s="20"/>
      <c r="G114" s="20"/>
      <c r="H114" s="20"/>
      <c r="I114" s="22"/>
      <c r="J114" s="20"/>
      <c r="K114" s="20"/>
      <c r="L114" s="20"/>
      <c r="M114" s="20"/>
      <c r="N114" s="21"/>
      <c r="O114" s="29">
        <f t="shared" si="1"/>
        <v>0</v>
      </c>
      <c r="P114" s="20"/>
      <c r="Q114" s="29">
        <f t="shared" si="2"/>
        <v>0</v>
      </c>
      <c r="R114" s="20"/>
      <c r="S114" s="20"/>
      <c r="T114" s="20"/>
      <c r="U114" s="20"/>
      <c r="V114" s="20"/>
      <c r="W114" s="20"/>
      <c r="X114" s="20"/>
      <c r="Y114" s="20"/>
      <c r="Z114" s="20"/>
    </row>
    <row r="115" spans="1:26" ht="9.75" customHeight="1" x14ac:dyDescent="0.25">
      <c r="A115" s="20"/>
      <c r="B115" s="21"/>
      <c r="C115" s="20"/>
      <c r="D115" s="22"/>
      <c r="E115" s="20"/>
      <c r="F115" s="20"/>
      <c r="G115" s="20"/>
      <c r="H115" s="20"/>
      <c r="I115" s="22"/>
      <c r="J115" s="20"/>
      <c r="K115" s="20"/>
      <c r="L115" s="20"/>
      <c r="M115" s="20"/>
      <c r="N115" s="21"/>
      <c r="O115" s="29">
        <f t="shared" si="1"/>
        <v>0</v>
      </c>
      <c r="P115" s="20"/>
      <c r="Q115" s="29">
        <f t="shared" si="2"/>
        <v>0</v>
      </c>
      <c r="R115" s="20"/>
      <c r="S115" s="20"/>
      <c r="T115" s="20"/>
      <c r="U115" s="20"/>
      <c r="V115" s="20"/>
      <c r="W115" s="20"/>
      <c r="X115" s="20"/>
      <c r="Y115" s="20"/>
      <c r="Z115" s="20"/>
    </row>
    <row r="116" spans="1:26" ht="9.75" customHeight="1" x14ac:dyDescent="0.25">
      <c r="A116" s="20"/>
      <c r="B116" s="21"/>
      <c r="C116" s="20"/>
      <c r="D116" s="22"/>
      <c r="E116" s="20"/>
      <c r="F116" s="20"/>
      <c r="G116" s="20"/>
      <c r="H116" s="20"/>
      <c r="I116" s="22"/>
      <c r="J116" s="20"/>
      <c r="K116" s="20"/>
      <c r="L116" s="20"/>
      <c r="M116" s="20"/>
      <c r="N116" s="21"/>
      <c r="O116" s="29">
        <f t="shared" si="1"/>
        <v>0</v>
      </c>
      <c r="P116" s="20"/>
      <c r="Q116" s="29">
        <f t="shared" si="2"/>
        <v>0</v>
      </c>
      <c r="R116" s="20"/>
      <c r="S116" s="20"/>
      <c r="T116" s="20"/>
      <c r="U116" s="20"/>
      <c r="V116" s="20"/>
      <c r="W116" s="20"/>
      <c r="X116" s="20"/>
      <c r="Y116" s="20"/>
      <c r="Z116" s="20"/>
    </row>
    <row r="117" spans="1:26" ht="9.75" customHeight="1" x14ac:dyDescent="0.25">
      <c r="A117" s="20"/>
      <c r="B117" s="21"/>
      <c r="C117" s="20"/>
      <c r="D117" s="22"/>
      <c r="E117" s="20"/>
      <c r="F117" s="20"/>
      <c r="G117" s="20"/>
      <c r="H117" s="20"/>
      <c r="I117" s="22"/>
      <c r="J117" s="20"/>
      <c r="K117" s="20"/>
      <c r="L117" s="20"/>
      <c r="M117" s="20"/>
      <c r="N117" s="21"/>
      <c r="O117" s="29">
        <f t="shared" si="1"/>
        <v>0</v>
      </c>
      <c r="P117" s="20"/>
      <c r="Q117" s="29">
        <f t="shared" si="2"/>
        <v>0</v>
      </c>
      <c r="R117" s="20"/>
      <c r="S117" s="20"/>
      <c r="T117" s="20"/>
      <c r="U117" s="20"/>
      <c r="V117" s="20"/>
      <c r="W117" s="20"/>
      <c r="X117" s="20"/>
      <c r="Y117" s="20"/>
      <c r="Z117" s="20"/>
    </row>
    <row r="118" spans="1:26" ht="9.75" customHeight="1" x14ac:dyDescent="0.25">
      <c r="A118" s="20"/>
      <c r="B118" s="21"/>
      <c r="C118" s="20"/>
      <c r="D118" s="22"/>
      <c r="E118" s="20"/>
      <c r="F118" s="20"/>
      <c r="G118" s="20"/>
      <c r="H118" s="20"/>
      <c r="I118" s="22"/>
      <c r="J118" s="20"/>
      <c r="K118" s="20"/>
      <c r="L118" s="20"/>
      <c r="M118" s="20"/>
      <c r="N118" s="21"/>
      <c r="O118" s="29">
        <f t="shared" si="1"/>
        <v>0</v>
      </c>
      <c r="P118" s="20"/>
      <c r="Q118" s="29">
        <f t="shared" si="2"/>
        <v>0</v>
      </c>
      <c r="R118" s="20"/>
      <c r="S118" s="20"/>
      <c r="T118" s="20"/>
      <c r="U118" s="20"/>
      <c r="V118" s="20"/>
      <c r="W118" s="20"/>
      <c r="X118" s="20"/>
      <c r="Y118" s="20"/>
      <c r="Z118" s="20"/>
    </row>
    <row r="119" spans="1:26" ht="9.75" customHeight="1" x14ac:dyDescent="0.25">
      <c r="A119" s="20"/>
      <c r="B119" s="21"/>
      <c r="C119" s="20"/>
      <c r="D119" s="22"/>
      <c r="E119" s="20"/>
      <c r="F119" s="20"/>
      <c r="G119" s="20"/>
      <c r="H119" s="20"/>
      <c r="I119" s="22"/>
      <c r="J119" s="20"/>
      <c r="K119" s="20"/>
      <c r="L119" s="20"/>
      <c r="M119" s="20"/>
      <c r="N119" s="21"/>
      <c r="O119" s="29">
        <f t="shared" si="1"/>
        <v>0</v>
      </c>
      <c r="P119" s="20"/>
      <c r="Q119" s="29">
        <f t="shared" si="2"/>
        <v>0</v>
      </c>
      <c r="R119" s="20"/>
      <c r="S119" s="20"/>
      <c r="T119" s="20"/>
      <c r="U119" s="20"/>
      <c r="V119" s="20"/>
      <c r="W119" s="20"/>
      <c r="X119" s="20"/>
      <c r="Y119" s="20"/>
      <c r="Z119" s="20"/>
    </row>
    <row r="120" spans="1:26" ht="9.75" customHeight="1" x14ac:dyDescent="0.25">
      <c r="A120" s="20"/>
      <c r="B120" s="21"/>
      <c r="C120" s="20"/>
      <c r="D120" s="22"/>
      <c r="E120" s="20"/>
      <c r="F120" s="20"/>
      <c r="G120" s="20"/>
      <c r="H120" s="20"/>
      <c r="I120" s="22"/>
      <c r="J120" s="20"/>
      <c r="K120" s="20"/>
      <c r="L120" s="20"/>
      <c r="M120" s="20"/>
      <c r="N120" s="21"/>
      <c r="O120" s="29">
        <f t="shared" si="1"/>
        <v>0</v>
      </c>
      <c r="P120" s="20"/>
      <c r="Q120" s="29">
        <f t="shared" si="2"/>
        <v>0</v>
      </c>
      <c r="R120" s="20"/>
      <c r="S120" s="20"/>
      <c r="T120" s="20"/>
      <c r="U120" s="20"/>
      <c r="V120" s="20"/>
      <c r="W120" s="20"/>
      <c r="X120" s="20"/>
      <c r="Y120" s="20"/>
      <c r="Z120" s="20"/>
    </row>
    <row r="121" spans="1:26" ht="9.75" customHeight="1" x14ac:dyDescent="0.25">
      <c r="A121" s="20"/>
      <c r="B121" s="21"/>
      <c r="C121" s="20"/>
      <c r="D121" s="22"/>
      <c r="E121" s="20"/>
      <c r="F121" s="20"/>
      <c r="G121" s="20"/>
      <c r="H121" s="20"/>
      <c r="I121" s="22"/>
      <c r="J121" s="20"/>
      <c r="K121" s="20"/>
      <c r="L121" s="20"/>
      <c r="M121" s="20"/>
      <c r="N121" s="21"/>
      <c r="O121" s="29">
        <f t="shared" si="1"/>
        <v>0</v>
      </c>
      <c r="P121" s="20"/>
      <c r="Q121" s="29">
        <f t="shared" si="2"/>
        <v>0</v>
      </c>
      <c r="R121" s="20"/>
      <c r="S121" s="20"/>
      <c r="T121" s="20"/>
      <c r="U121" s="20"/>
      <c r="V121" s="20"/>
      <c r="W121" s="20"/>
      <c r="X121" s="20"/>
      <c r="Y121" s="20"/>
      <c r="Z121" s="20"/>
    </row>
    <row r="122" spans="1:26" ht="9.75" customHeight="1" x14ac:dyDescent="0.25">
      <c r="A122" s="20"/>
      <c r="B122" s="21"/>
      <c r="C122" s="20"/>
      <c r="D122" s="22"/>
      <c r="E122" s="20"/>
      <c r="F122" s="20"/>
      <c r="G122" s="20"/>
      <c r="H122" s="20"/>
      <c r="I122" s="22"/>
      <c r="J122" s="20"/>
      <c r="K122" s="20"/>
      <c r="L122" s="20"/>
      <c r="M122" s="20"/>
      <c r="N122" s="21"/>
      <c r="O122" s="29">
        <f t="shared" si="1"/>
        <v>0</v>
      </c>
      <c r="P122" s="20"/>
      <c r="Q122" s="29">
        <f t="shared" si="2"/>
        <v>0</v>
      </c>
      <c r="R122" s="20"/>
      <c r="S122" s="20"/>
      <c r="T122" s="20"/>
      <c r="U122" s="20"/>
      <c r="V122" s="20"/>
      <c r="W122" s="20"/>
      <c r="X122" s="20"/>
      <c r="Y122" s="20"/>
      <c r="Z122" s="20"/>
    </row>
    <row r="123" spans="1:26" ht="9.75" customHeight="1" x14ac:dyDescent="0.25">
      <c r="A123" s="20"/>
      <c r="B123" s="21"/>
      <c r="C123" s="20"/>
      <c r="D123" s="22"/>
      <c r="E123" s="20"/>
      <c r="F123" s="20"/>
      <c r="G123" s="20"/>
      <c r="H123" s="20"/>
      <c r="I123" s="22"/>
      <c r="J123" s="20"/>
      <c r="K123" s="20"/>
      <c r="L123" s="20"/>
      <c r="M123" s="20"/>
      <c r="N123" s="21"/>
      <c r="O123" s="29">
        <f t="shared" si="1"/>
        <v>0</v>
      </c>
      <c r="P123" s="20"/>
      <c r="Q123" s="29">
        <f t="shared" si="2"/>
        <v>0</v>
      </c>
      <c r="R123" s="20"/>
      <c r="S123" s="20"/>
      <c r="T123" s="20"/>
      <c r="U123" s="20"/>
      <c r="V123" s="20"/>
      <c r="W123" s="20"/>
      <c r="X123" s="20"/>
      <c r="Y123" s="20"/>
      <c r="Z123" s="20"/>
    </row>
    <row r="124" spans="1:26" ht="9.75" customHeight="1" x14ac:dyDescent="0.25">
      <c r="A124" s="20"/>
      <c r="B124" s="21"/>
      <c r="C124" s="20"/>
      <c r="D124" s="22"/>
      <c r="E124" s="20"/>
      <c r="F124" s="20"/>
      <c r="G124" s="20"/>
      <c r="H124" s="20"/>
      <c r="I124" s="22"/>
      <c r="J124" s="20"/>
      <c r="K124" s="20"/>
      <c r="L124" s="20"/>
      <c r="M124" s="20"/>
      <c r="N124" s="21"/>
      <c r="O124" s="29">
        <f t="shared" si="1"/>
        <v>0</v>
      </c>
      <c r="P124" s="20"/>
      <c r="Q124" s="29">
        <f t="shared" si="2"/>
        <v>0</v>
      </c>
      <c r="R124" s="20"/>
      <c r="S124" s="20"/>
      <c r="T124" s="20"/>
      <c r="U124" s="20"/>
      <c r="V124" s="20"/>
      <c r="W124" s="20"/>
      <c r="X124" s="20"/>
      <c r="Y124" s="20"/>
      <c r="Z124" s="20"/>
    </row>
    <row r="125" spans="1:26" ht="9.75" customHeight="1" x14ac:dyDescent="0.25">
      <c r="A125" s="20"/>
      <c r="B125" s="21"/>
      <c r="C125" s="20"/>
      <c r="D125" s="22"/>
      <c r="E125" s="20"/>
      <c r="F125" s="20"/>
      <c r="G125" s="20"/>
      <c r="H125" s="20"/>
      <c r="I125" s="22"/>
      <c r="J125" s="20"/>
      <c r="K125" s="20"/>
      <c r="L125" s="20"/>
      <c r="M125" s="20"/>
      <c r="N125" s="21"/>
      <c r="O125" s="29">
        <f t="shared" si="1"/>
        <v>0</v>
      </c>
      <c r="P125" s="20"/>
      <c r="Q125" s="29">
        <f t="shared" si="2"/>
        <v>0</v>
      </c>
      <c r="R125" s="20"/>
      <c r="S125" s="20"/>
      <c r="T125" s="20"/>
      <c r="U125" s="20"/>
      <c r="V125" s="20"/>
      <c r="W125" s="20"/>
      <c r="X125" s="20"/>
      <c r="Y125" s="20"/>
      <c r="Z125" s="20"/>
    </row>
    <row r="126" spans="1:26" ht="9.75" customHeight="1" x14ac:dyDescent="0.25">
      <c r="A126" s="20"/>
      <c r="B126" s="21"/>
      <c r="C126" s="20"/>
      <c r="D126" s="22"/>
      <c r="E126" s="20"/>
      <c r="F126" s="20"/>
      <c r="G126" s="20"/>
      <c r="H126" s="20"/>
      <c r="I126" s="22"/>
      <c r="J126" s="20"/>
      <c r="K126" s="20"/>
      <c r="L126" s="20"/>
      <c r="M126" s="20"/>
      <c r="N126" s="21"/>
      <c r="O126" s="29">
        <f t="shared" si="1"/>
        <v>0</v>
      </c>
      <c r="P126" s="20"/>
      <c r="Q126" s="29">
        <f t="shared" si="2"/>
        <v>0</v>
      </c>
      <c r="R126" s="20"/>
      <c r="S126" s="20"/>
      <c r="T126" s="20"/>
      <c r="U126" s="20"/>
      <c r="V126" s="20"/>
      <c r="W126" s="20"/>
      <c r="X126" s="20"/>
      <c r="Y126" s="20"/>
      <c r="Z126" s="20"/>
    </row>
    <row r="127" spans="1:26" ht="9.75" customHeight="1" x14ac:dyDescent="0.25">
      <c r="A127" s="20"/>
      <c r="B127" s="21"/>
      <c r="C127" s="20"/>
      <c r="D127" s="22"/>
      <c r="E127" s="20"/>
      <c r="F127" s="20"/>
      <c r="G127" s="20"/>
      <c r="H127" s="20"/>
      <c r="I127" s="22"/>
      <c r="J127" s="20"/>
      <c r="K127" s="20"/>
      <c r="L127" s="20"/>
      <c r="M127" s="20"/>
      <c r="N127" s="21"/>
      <c r="O127" s="29">
        <f t="shared" si="1"/>
        <v>0</v>
      </c>
      <c r="P127" s="20"/>
      <c r="Q127" s="29">
        <f t="shared" si="2"/>
        <v>0</v>
      </c>
      <c r="R127" s="20"/>
      <c r="S127" s="20"/>
      <c r="T127" s="20"/>
      <c r="U127" s="20"/>
      <c r="V127" s="20"/>
      <c r="W127" s="20"/>
      <c r="X127" s="20"/>
      <c r="Y127" s="20"/>
      <c r="Z127" s="20"/>
    </row>
    <row r="128" spans="1:26" ht="9.75" customHeight="1" x14ac:dyDescent="0.25">
      <c r="A128" s="20"/>
      <c r="B128" s="21"/>
      <c r="C128" s="20"/>
      <c r="D128" s="22"/>
      <c r="E128" s="20"/>
      <c r="F128" s="20"/>
      <c r="G128" s="20"/>
      <c r="H128" s="20"/>
      <c r="I128" s="22"/>
      <c r="J128" s="20"/>
      <c r="K128" s="20"/>
      <c r="L128" s="20"/>
      <c r="M128" s="20"/>
      <c r="N128" s="21"/>
      <c r="O128" s="29">
        <f t="shared" si="1"/>
        <v>0</v>
      </c>
      <c r="P128" s="20"/>
      <c r="Q128" s="29">
        <f t="shared" si="2"/>
        <v>0</v>
      </c>
      <c r="R128" s="20"/>
      <c r="S128" s="20"/>
      <c r="T128" s="20"/>
      <c r="U128" s="20"/>
      <c r="V128" s="20"/>
      <c r="W128" s="20"/>
      <c r="X128" s="20"/>
      <c r="Y128" s="20"/>
      <c r="Z128" s="20"/>
    </row>
    <row r="129" spans="1:26" ht="9.75" customHeight="1" x14ac:dyDescent="0.25">
      <c r="A129" s="20"/>
      <c r="B129" s="21"/>
      <c r="C129" s="20"/>
      <c r="D129" s="22"/>
      <c r="E129" s="20"/>
      <c r="F129" s="20"/>
      <c r="G129" s="20"/>
      <c r="H129" s="20"/>
      <c r="I129" s="22"/>
      <c r="J129" s="20"/>
      <c r="K129" s="20"/>
      <c r="L129" s="20"/>
      <c r="M129" s="20"/>
      <c r="N129" s="21"/>
      <c r="O129" s="29">
        <f t="shared" si="1"/>
        <v>0</v>
      </c>
      <c r="P129" s="20"/>
      <c r="Q129" s="29">
        <f t="shared" si="2"/>
        <v>0</v>
      </c>
      <c r="R129" s="20"/>
      <c r="S129" s="20"/>
      <c r="T129" s="20"/>
      <c r="U129" s="20"/>
      <c r="V129" s="20"/>
      <c r="W129" s="20"/>
      <c r="X129" s="20"/>
      <c r="Y129" s="20"/>
      <c r="Z129" s="20"/>
    </row>
    <row r="130" spans="1:26" ht="9.75" customHeight="1" x14ac:dyDescent="0.25">
      <c r="A130" s="20"/>
      <c r="B130" s="21"/>
      <c r="C130" s="20"/>
      <c r="D130" s="22"/>
      <c r="E130" s="20"/>
      <c r="F130" s="20"/>
      <c r="G130" s="20"/>
      <c r="H130" s="20"/>
      <c r="I130" s="22"/>
      <c r="J130" s="20"/>
      <c r="K130" s="20"/>
      <c r="L130" s="20"/>
      <c r="M130" s="20"/>
      <c r="N130" s="21"/>
      <c r="O130" s="29">
        <f t="shared" si="1"/>
        <v>0</v>
      </c>
      <c r="P130" s="20"/>
      <c r="Q130" s="29">
        <f t="shared" si="2"/>
        <v>0</v>
      </c>
      <c r="R130" s="20"/>
      <c r="S130" s="20"/>
      <c r="T130" s="20"/>
      <c r="U130" s="20"/>
      <c r="V130" s="20"/>
      <c r="W130" s="20"/>
      <c r="X130" s="20"/>
      <c r="Y130" s="20"/>
      <c r="Z130" s="20"/>
    </row>
    <row r="131" spans="1:26" ht="9.75" customHeight="1" x14ac:dyDescent="0.25">
      <c r="A131" s="20"/>
      <c r="B131" s="21"/>
      <c r="C131" s="20"/>
      <c r="D131" s="22"/>
      <c r="E131" s="20"/>
      <c r="F131" s="20"/>
      <c r="G131" s="20"/>
      <c r="H131" s="20"/>
      <c r="I131" s="22"/>
      <c r="J131" s="20"/>
      <c r="K131" s="20"/>
      <c r="L131" s="20"/>
      <c r="M131" s="20"/>
      <c r="N131" s="21"/>
      <c r="O131" s="29">
        <f t="shared" si="1"/>
        <v>0</v>
      </c>
      <c r="P131" s="20"/>
      <c r="Q131" s="29">
        <f t="shared" si="2"/>
        <v>0</v>
      </c>
      <c r="R131" s="20"/>
      <c r="S131" s="20"/>
      <c r="T131" s="20"/>
      <c r="U131" s="20"/>
      <c r="V131" s="20"/>
      <c r="W131" s="20"/>
      <c r="X131" s="20"/>
      <c r="Y131" s="20"/>
      <c r="Z131" s="20"/>
    </row>
    <row r="132" spans="1:26" ht="9.75" customHeight="1" x14ac:dyDescent="0.25">
      <c r="A132" s="20"/>
      <c r="B132" s="21"/>
      <c r="C132" s="20"/>
      <c r="D132" s="22"/>
      <c r="E132" s="20"/>
      <c r="F132" s="20"/>
      <c r="G132" s="20"/>
      <c r="H132" s="20"/>
      <c r="I132" s="22"/>
      <c r="J132" s="20"/>
      <c r="K132" s="20"/>
      <c r="L132" s="20"/>
      <c r="M132" s="20"/>
      <c r="N132" s="21"/>
      <c r="O132" s="29">
        <f t="shared" si="1"/>
        <v>0</v>
      </c>
      <c r="P132" s="20"/>
      <c r="Q132" s="29">
        <f t="shared" si="2"/>
        <v>0</v>
      </c>
      <c r="R132" s="20"/>
      <c r="S132" s="20"/>
      <c r="T132" s="20"/>
      <c r="U132" s="20"/>
      <c r="V132" s="20"/>
      <c r="W132" s="20"/>
      <c r="X132" s="20"/>
      <c r="Y132" s="20"/>
      <c r="Z132" s="20"/>
    </row>
    <row r="133" spans="1:26" ht="9.75" customHeight="1" x14ac:dyDescent="0.25">
      <c r="A133" s="20"/>
      <c r="B133" s="21"/>
      <c r="C133" s="20"/>
      <c r="D133" s="22"/>
      <c r="E133" s="20"/>
      <c r="F133" s="20"/>
      <c r="G133" s="20"/>
      <c r="H133" s="20"/>
      <c r="I133" s="22"/>
      <c r="J133" s="20"/>
      <c r="K133" s="20"/>
      <c r="L133" s="20"/>
      <c r="M133" s="20"/>
      <c r="N133" s="21"/>
      <c r="O133" s="29">
        <f t="shared" si="1"/>
        <v>0</v>
      </c>
      <c r="P133" s="20"/>
      <c r="Q133" s="29">
        <f t="shared" si="2"/>
        <v>0</v>
      </c>
      <c r="R133" s="20"/>
      <c r="S133" s="20"/>
      <c r="T133" s="20"/>
      <c r="U133" s="20"/>
      <c r="V133" s="20"/>
      <c r="W133" s="20"/>
      <c r="X133" s="20"/>
      <c r="Y133" s="20"/>
      <c r="Z133" s="20"/>
    </row>
    <row r="134" spans="1:26" ht="9.75" customHeight="1" x14ac:dyDescent="0.25">
      <c r="A134" s="20"/>
      <c r="B134" s="21"/>
      <c r="C134" s="20"/>
      <c r="D134" s="22"/>
      <c r="E134" s="20"/>
      <c r="F134" s="20"/>
      <c r="G134" s="20"/>
      <c r="H134" s="20"/>
      <c r="I134" s="22"/>
      <c r="J134" s="20"/>
      <c r="K134" s="20"/>
      <c r="L134" s="20"/>
      <c r="M134" s="20"/>
      <c r="N134" s="21"/>
      <c r="O134" s="29">
        <f t="shared" si="1"/>
        <v>0</v>
      </c>
      <c r="P134" s="20"/>
      <c r="Q134" s="29">
        <f t="shared" si="2"/>
        <v>0</v>
      </c>
      <c r="R134" s="20"/>
      <c r="S134" s="20"/>
      <c r="T134" s="20"/>
      <c r="U134" s="20"/>
      <c r="V134" s="20"/>
      <c r="W134" s="20"/>
      <c r="X134" s="20"/>
      <c r="Y134" s="20"/>
      <c r="Z134" s="20"/>
    </row>
    <row r="135" spans="1:26" ht="9.75" customHeight="1" x14ac:dyDescent="0.25">
      <c r="A135" s="20"/>
      <c r="B135" s="21"/>
      <c r="C135" s="20"/>
      <c r="D135" s="22"/>
      <c r="E135" s="20"/>
      <c r="F135" s="20"/>
      <c r="G135" s="20"/>
      <c r="H135" s="20"/>
      <c r="I135" s="22"/>
      <c r="J135" s="20"/>
      <c r="K135" s="20"/>
      <c r="L135" s="20"/>
      <c r="M135" s="20"/>
      <c r="N135" s="21"/>
      <c r="O135" s="29">
        <f t="shared" si="1"/>
        <v>0</v>
      </c>
      <c r="P135" s="20"/>
      <c r="Q135" s="29">
        <f t="shared" si="2"/>
        <v>0</v>
      </c>
      <c r="R135" s="20"/>
      <c r="S135" s="20"/>
      <c r="T135" s="20"/>
      <c r="U135" s="20"/>
      <c r="V135" s="20"/>
      <c r="W135" s="20"/>
      <c r="X135" s="20"/>
      <c r="Y135" s="20"/>
      <c r="Z135" s="20"/>
    </row>
    <row r="136" spans="1:26" ht="9.75" customHeight="1" x14ac:dyDescent="0.25">
      <c r="A136" s="20"/>
      <c r="B136" s="21"/>
      <c r="C136" s="20"/>
      <c r="D136" s="22"/>
      <c r="E136" s="20"/>
      <c r="F136" s="20"/>
      <c r="G136" s="20"/>
      <c r="H136" s="20"/>
      <c r="I136" s="22"/>
      <c r="J136" s="20"/>
      <c r="K136" s="20"/>
      <c r="L136" s="20"/>
      <c r="M136" s="20"/>
      <c r="N136" s="21"/>
      <c r="O136" s="29">
        <f t="shared" si="1"/>
        <v>0</v>
      </c>
      <c r="P136" s="20"/>
      <c r="Q136" s="29">
        <f t="shared" si="2"/>
        <v>0</v>
      </c>
      <c r="R136" s="20"/>
      <c r="S136" s="20"/>
      <c r="T136" s="20"/>
      <c r="U136" s="20"/>
      <c r="V136" s="20"/>
      <c r="W136" s="20"/>
      <c r="X136" s="20"/>
      <c r="Y136" s="20"/>
      <c r="Z136" s="20"/>
    </row>
    <row r="137" spans="1:26" ht="9.75" customHeight="1" x14ac:dyDescent="0.25">
      <c r="A137" s="20"/>
      <c r="B137" s="21"/>
      <c r="C137" s="20"/>
      <c r="D137" s="22"/>
      <c r="E137" s="20"/>
      <c r="F137" s="20"/>
      <c r="G137" s="20"/>
      <c r="H137" s="20"/>
      <c r="I137" s="22"/>
      <c r="J137" s="20"/>
      <c r="K137" s="20"/>
      <c r="L137" s="20"/>
      <c r="M137" s="20"/>
      <c r="N137" s="21"/>
      <c r="O137" s="29">
        <f t="shared" si="1"/>
        <v>0</v>
      </c>
      <c r="P137" s="20"/>
      <c r="Q137" s="29">
        <f t="shared" si="2"/>
        <v>0</v>
      </c>
      <c r="R137" s="20"/>
      <c r="S137" s="20"/>
      <c r="T137" s="20"/>
      <c r="U137" s="20"/>
      <c r="V137" s="20"/>
      <c r="W137" s="20"/>
      <c r="X137" s="20"/>
      <c r="Y137" s="20"/>
      <c r="Z137" s="20"/>
    </row>
    <row r="138" spans="1:26" ht="9.75" customHeight="1" x14ac:dyDescent="0.25">
      <c r="A138" s="20"/>
      <c r="B138" s="21"/>
      <c r="C138" s="20"/>
      <c r="D138" s="22"/>
      <c r="E138" s="20"/>
      <c r="F138" s="20"/>
      <c r="G138" s="20"/>
      <c r="H138" s="20"/>
      <c r="I138" s="22"/>
      <c r="J138" s="20"/>
      <c r="K138" s="20"/>
      <c r="L138" s="20"/>
      <c r="M138" s="20"/>
      <c r="N138" s="21"/>
      <c r="O138" s="29">
        <f t="shared" si="1"/>
        <v>0</v>
      </c>
      <c r="P138" s="20"/>
      <c r="Q138" s="29">
        <f t="shared" si="2"/>
        <v>0</v>
      </c>
      <c r="R138" s="20"/>
      <c r="S138" s="20"/>
      <c r="T138" s="20"/>
      <c r="U138" s="20"/>
      <c r="V138" s="20"/>
      <c r="W138" s="20"/>
      <c r="X138" s="20"/>
      <c r="Y138" s="20"/>
      <c r="Z138" s="20"/>
    </row>
    <row r="139" spans="1:26" ht="9.75" customHeight="1" x14ac:dyDescent="0.25">
      <c r="A139" s="20"/>
      <c r="B139" s="21"/>
      <c r="C139" s="20"/>
      <c r="D139" s="22"/>
      <c r="E139" s="20"/>
      <c r="F139" s="20"/>
      <c r="G139" s="20"/>
      <c r="H139" s="20"/>
      <c r="I139" s="22"/>
      <c r="J139" s="20"/>
      <c r="K139" s="20"/>
      <c r="L139" s="20"/>
      <c r="M139" s="20"/>
      <c r="N139" s="21"/>
      <c r="O139" s="29">
        <f t="shared" si="1"/>
        <v>0</v>
      </c>
      <c r="P139" s="20"/>
      <c r="Q139" s="29">
        <f t="shared" si="2"/>
        <v>0</v>
      </c>
      <c r="R139" s="20"/>
      <c r="S139" s="20"/>
      <c r="T139" s="20"/>
      <c r="U139" s="20"/>
      <c r="V139" s="20"/>
      <c r="W139" s="20"/>
      <c r="X139" s="20"/>
      <c r="Y139" s="20"/>
      <c r="Z139" s="20"/>
    </row>
    <row r="140" spans="1:26" ht="9.75" customHeight="1" x14ac:dyDescent="0.25">
      <c r="A140" s="20"/>
      <c r="B140" s="21"/>
      <c r="C140" s="20"/>
      <c r="D140" s="22"/>
      <c r="E140" s="20"/>
      <c r="F140" s="20"/>
      <c r="G140" s="20"/>
      <c r="H140" s="20"/>
      <c r="I140" s="22"/>
      <c r="J140" s="20"/>
      <c r="K140" s="20"/>
      <c r="L140" s="20"/>
      <c r="M140" s="20"/>
      <c r="N140" s="21"/>
      <c r="O140" s="29">
        <f t="shared" si="1"/>
        <v>0</v>
      </c>
      <c r="P140" s="20"/>
      <c r="Q140" s="29">
        <f t="shared" si="2"/>
        <v>0</v>
      </c>
      <c r="R140" s="20"/>
      <c r="S140" s="20"/>
      <c r="T140" s="20"/>
      <c r="U140" s="20"/>
      <c r="V140" s="20"/>
      <c r="W140" s="20"/>
      <c r="X140" s="20"/>
      <c r="Y140" s="20"/>
      <c r="Z140" s="20"/>
    </row>
    <row r="141" spans="1:26" ht="9.75" customHeight="1" x14ac:dyDescent="0.25">
      <c r="A141" s="20"/>
      <c r="B141" s="21"/>
      <c r="C141" s="20"/>
      <c r="D141" s="22"/>
      <c r="E141" s="20"/>
      <c r="F141" s="20"/>
      <c r="G141" s="20"/>
      <c r="H141" s="20"/>
      <c r="I141" s="22"/>
      <c r="J141" s="20"/>
      <c r="K141" s="20"/>
      <c r="L141" s="20"/>
      <c r="M141" s="20"/>
      <c r="N141" s="21"/>
      <c r="O141" s="29">
        <f t="shared" si="1"/>
        <v>0</v>
      </c>
      <c r="P141" s="20"/>
      <c r="Q141" s="29">
        <f t="shared" si="2"/>
        <v>0</v>
      </c>
      <c r="R141" s="20"/>
      <c r="S141" s="20"/>
      <c r="T141" s="20"/>
      <c r="U141" s="20"/>
      <c r="V141" s="20"/>
      <c r="W141" s="20"/>
      <c r="X141" s="20"/>
      <c r="Y141" s="20"/>
      <c r="Z141" s="20"/>
    </row>
    <row r="142" spans="1:26" ht="9.75" customHeight="1" x14ac:dyDescent="0.25">
      <c r="A142" s="20"/>
      <c r="B142" s="21"/>
      <c r="C142" s="20"/>
      <c r="D142" s="22"/>
      <c r="E142" s="20"/>
      <c r="F142" s="20"/>
      <c r="G142" s="20"/>
      <c r="H142" s="20"/>
      <c r="I142" s="22"/>
      <c r="J142" s="20"/>
      <c r="K142" s="20"/>
      <c r="L142" s="20"/>
      <c r="M142" s="20"/>
      <c r="N142" s="21"/>
      <c r="O142" s="29">
        <f t="shared" si="1"/>
        <v>0</v>
      </c>
      <c r="P142" s="20"/>
      <c r="Q142" s="29">
        <f t="shared" si="2"/>
        <v>0</v>
      </c>
      <c r="R142" s="20"/>
      <c r="S142" s="20"/>
      <c r="T142" s="20"/>
      <c r="U142" s="20"/>
      <c r="V142" s="20"/>
      <c r="W142" s="20"/>
      <c r="X142" s="20"/>
      <c r="Y142" s="20"/>
      <c r="Z142" s="20"/>
    </row>
    <row r="143" spans="1:26" ht="9.75" customHeight="1" x14ac:dyDescent="0.25">
      <c r="A143" s="20"/>
      <c r="B143" s="21"/>
      <c r="C143" s="20"/>
      <c r="D143" s="22"/>
      <c r="E143" s="20"/>
      <c r="F143" s="20"/>
      <c r="G143" s="20"/>
      <c r="H143" s="20"/>
      <c r="I143" s="22"/>
      <c r="J143" s="20"/>
      <c r="K143" s="20"/>
      <c r="L143" s="20"/>
      <c r="M143" s="20"/>
      <c r="N143" s="21"/>
      <c r="O143" s="29">
        <f t="shared" si="1"/>
        <v>0</v>
      </c>
      <c r="P143" s="20"/>
      <c r="Q143" s="29">
        <f t="shared" si="2"/>
        <v>0</v>
      </c>
      <c r="R143" s="20"/>
      <c r="S143" s="20"/>
      <c r="T143" s="20"/>
      <c r="U143" s="20"/>
      <c r="V143" s="20"/>
      <c r="W143" s="20"/>
      <c r="X143" s="20"/>
      <c r="Y143" s="20"/>
      <c r="Z143" s="20"/>
    </row>
    <row r="144" spans="1:26" ht="9.75" customHeight="1" x14ac:dyDescent="0.25">
      <c r="A144" s="20"/>
      <c r="B144" s="21"/>
      <c r="C144" s="20"/>
      <c r="D144" s="22"/>
      <c r="E144" s="20"/>
      <c r="F144" s="20"/>
      <c r="G144" s="20"/>
      <c r="H144" s="20"/>
      <c r="I144" s="22"/>
      <c r="J144" s="20"/>
      <c r="K144" s="20"/>
      <c r="L144" s="20"/>
      <c r="M144" s="20"/>
      <c r="N144" s="21"/>
      <c r="O144" s="29">
        <f t="shared" si="1"/>
        <v>0</v>
      </c>
      <c r="P144" s="20"/>
      <c r="Q144" s="29">
        <f t="shared" si="2"/>
        <v>0</v>
      </c>
      <c r="R144" s="20"/>
      <c r="S144" s="20"/>
      <c r="T144" s="20"/>
      <c r="U144" s="20"/>
      <c r="V144" s="20"/>
      <c r="W144" s="20"/>
      <c r="X144" s="20"/>
      <c r="Y144" s="20"/>
      <c r="Z144" s="20"/>
    </row>
    <row r="145" spans="1:26" ht="9.75" customHeight="1" x14ac:dyDescent="0.25">
      <c r="A145" s="20"/>
      <c r="B145" s="21"/>
      <c r="C145" s="20"/>
      <c r="D145" s="22"/>
      <c r="E145" s="20"/>
      <c r="F145" s="20"/>
      <c r="G145" s="20"/>
      <c r="H145" s="20"/>
      <c r="I145" s="22"/>
      <c r="J145" s="20"/>
      <c r="K145" s="20"/>
      <c r="L145" s="20"/>
      <c r="M145" s="20"/>
      <c r="N145" s="21"/>
      <c r="O145" s="31"/>
      <c r="P145" s="20"/>
      <c r="Q145" s="31"/>
      <c r="R145" s="20"/>
      <c r="S145" s="20"/>
      <c r="T145" s="20"/>
      <c r="U145" s="20"/>
      <c r="V145" s="20"/>
      <c r="W145" s="20"/>
      <c r="X145" s="20"/>
      <c r="Y145" s="20"/>
      <c r="Z145" s="20"/>
    </row>
    <row r="146" spans="1:26" ht="9.75" customHeight="1" x14ac:dyDescent="0.25">
      <c r="A146" s="20"/>
      <c r="B146" s="21"/>
      <c r="C146" s="20"/>
      <c r="D146" s="22"/>
      <c r="E146" s="20"/>
      <c r="F146" s="20"/>
      <c r="G146" s="20"/>
      <c r="H146" s="20"/>
      <c r="I146" s="22"/>
      <c r="J146" s="20"/>
      <c r="K146" s="20"/>
      <c r="L146" s="20"/>
      <c r="M146" s="20"/>
      <c r="N146" s="21"/>
      <c r="O146" s="31"/>
      <c r="P146" s="20"/>
      <c r="Q146" s="31"/>
      <c r="R146" s="20"/>
      <c r="S146" s="20"/>
      <c r="T146" s="20"/>
      <c r="U146" s="20"/>
      <c r="V146" s="20"/>
      <c r="W146" s="20"/>
      <c r="X146" s="20"/>
      <c r="Y146" s="20"/>
      <c r="Z146" s="20"/>
    </row>
    <row r="147" spans="1:26" ht="9.75" customHeight="1" x14ac:dyDescent="0.25">
      <c r="A147" s="20"/>
      <c r="B147" s="21"/>
      <c r="C147" s="20"/>
      <c r="D147" s="22"/>
      <c r="E147" s="20"/>
      <c r="F147" s="20"/>
      <c r="G147" s="20"/>
      <c r="H147" s="20"/>
      <c r="I147" s="22"/>
      <c r="J147" s="20"/>
      <c r="K147" s="20"/>
      <c r="L147" s="20"/>
      <c r="M147" s="20"/>
      <c r="N147" s="21"/>
      <c r="O147" s="31"/>
      <c r="P147" s="20"/>
      <c r="Q147" s="31"/>
      <c r="R147" s="20"/>
      <c r="S147" s="20"/>
      <c r="T147" s="20"/>
      <c r="U147" s="20"/>
      <c r="V147" s="20"/>
      <c r="W147" s="20"/>
      <c r="X147" s="20"/>
      <c r="Y147" s="20"/>
      <c r="Z147" s="20"/>
    </row>
    <row r="148" spans="1:26" ht="9.75" customHeight="1" x14ac:dyDescent="0.25">
      <c r="A148" s="20"/>
      <c r="B148" s="21"/>
      <c r="C148" s="20"/>
      <c r="D148" s="22"/>
      <c r="E148" s="20"/>
      <c r="F148" s="20"/>
      <c r="G148" s="20"/>
      <c r="H148" s="20"/>
      <c r="I148" s="22"/>
      <c r="J148" s="20"/>
      <c r="K148" s="20"/>
      <c r="L148" s="20"/>
      <c r="M148" s="20"/>
      <c r="N148" s="21"/>
      <c r="O148" s="31"/>
      <c r="P148" s="20"/>
      <c r="Q148" s="31"/>
      <c r="R148" s="20"/>
      <c r="S148" s="20"/>
      <c r="T148" s="20"/>
      <c r="U148" s="20"/>
      <c r="V148" s="20"/>
      <c r="W148" s="20"/>
      <c r="X148" s="20"/>
      <c r="Y148" s="20"/>
      <c r="Z148" s="20"/>
    </row>
    <row r="149" spans="1:26" ht="9.75" customHeight="1" x14ac:dyDescent="0.25">
      <c r="A149" s="20"/>
      <c r="B149" s="21"/>
      <c r="C149" s="20"/>
      <c r="D149" s="22"/>
      <c r="E149" s="20"/>
      <c r="F149" s="20"/>
      <c r="G149" s="20"/>
      <c r="H149" s="20"/>
      <c r="I149" s="22"/>
      <c r="J149" s="20"/>
      <c r="K149" s="20"/>
      <c r="L149" s="20"/>
      <c r="M149" s="20"/>
      <c r="N149" s="21"/>
      <c r="O149" s="31"/>
      <c r="P149" s="20"/>
      <c r="Q149" s="31"/>
      <c r="R149" s="20"/>
      <c r="S149" s="20"/>
      <c r="T149" s="20"/>
      <c r="U149" s="20"/>
      <c r="V149" s="20"/>
      <c r="W149" s="20"/>
      <c r="X149" s="20"/>
      <c r="Y149" s="20"/>
      <c r="Z149" s="20"/>
    </row>
    <row r="150" spans="1:26" ht="9.75" customHeight="1" x14ac:dyDescent="0.25">
      <c r="A150" s="20"/>
      <c r="B150" s="21"/>
      <c r="C150" s="20"/>
      <c r="D150" s="22"/>
      <c r="E150" s="20"/>
      <c r="F150" s="20"/>
      <c r="G150" s="20"/>
      <c r="H150" s="20"/>
      <c r="I150" s="22"/>
      <c r="J150" s="20"/>
      <c r="K150" s="20"/>
      <c r="L150" s="20"/>
      <c r="M150" s="20"/>
      <c r="N150" s="21"/>
      <c r="O150" s="31"/>
      <c r="P150" s="20"/>
      <c r="Q150" s="31"/>
      <c r="R150" s="20"/>
      <c r="S150" s="20"/>
      <c r="T150" s="20"/>
      <c r="U150" s="20"/>
      <c r="V150" s="20"/>
      <c r="W150" s="20"/>
      <c r="X150" s="20"/>
      <c r="Y150" s="20"/>
      <c r="Z150" s="20"/>
    </row>
    <row r="151" spans="1:26" ht="9.75" customHeight="1" x14ac:dyDescent="0.25">
      <c r="A151" s="20"/>
      <c r="B151" s="21"/>
      <c r="C151" s="20"/>
      <c r="D151" s="22"/>
      <c r="E151" s="20"/>
      <c r="F151" s="20"/>
      <c r="G151" s="20"/>
      <c r="H151" s="20"/>
      <c r="I151" s="22"/>
      <c r="J151" s="20"/>
      <c r="K151" s="20"/>
      <c r="L151" s="20"/>
      <c r="M151" s="20"/>
      <c r="N151" s="21"/>
      <c r="O151" s="31"/>
      <c r="P151" s="20"/>
      <c r="Q151" s="31"/>
      <c r="R151" s="20"/>
      <c r="S151" s="20"/>
      <c r="T151" s="20"/>
      <c r="U151" s="20"/>
      <c r="V151" s="20"/>
      <c r="W151" s="20"/>
      <c r="X151" s="20"/>
      <c r="Y151" s="20"/>
      <c r="Z151" s="20"/>
    </row>
    <row r="152" spans="1:26" ht="9.75" customHeight="1" x14ac:dyDescent="0.25">
      <c r="A152" s="20"/>
      <c r="B152" s="21"/>
      <c r="C152" s="20"/>
      <c r="D152" s="22"/>
      <c r="E152" s="20"/>
      <c r="F152" s="20"/>
      <c r="G152" s="20"/>
      <c r="H152" s="20"/>
      <c r="I152" s="22"/>
      <c r="J152" s="20"/>
      <c r="K152" s="20"/>
      <c r="L152" s="20"/>
      <c r="M152" s="20"/>
      <c r="N152" s="21"/>
      <c r="O152" s="31"/>
      <c r="P152" s="20"/>
      <c r="Q152" s="31"/>
      <c r="R152" s="20"/>
      <c r="S152" s="20"/>
      <c r="T152" s="20"/>
      <c r="U152" s="20"/>
      <c r="V152" s="20"/>
      <c r="W152" s="20"/>
      <c r="X152" s="20"/>
      <c r="Y152" s="20"/>
      <c r="Z152" s="20"/>
    </row>
    <row r="153" spans="1:26" ht="9.75" customHeight="1" x14ac:dyDescent="0.25">
      <c r="A153" s="20"/>
      <c r="B153" s="21"/>
      <c r="C153" s="20"/>
      <c r="D153" s="22"/>
      <c r="E153" s="20"/>
      <c r="F153" s="20"/>
      <c r="G153" s="20"/>
      <c r="H153" s="20"/>
      <c r="I153" s="22"/>
      <c r="J153" s="20"/>
      <c r="K153" s="20"/>
      <c r="L153" s="20"/>
      <c r="M153" s="20"/>
      <c r="N153" s="21"/>
      <c r="O153" s="31"/>
      <c r="P153" s="20"/>
      <c r="Q153" s="31"/>
      <c r="R153" s="20"/>
      <c r="S153" s="20"/>
      <c r="T153" s="20"/>
      <c r="U153" s="20"/>
      <c r="V153" s="20"/>
      <c r="W153" s="20"/>
      <c r="X153" s="20"/>
      <c r="Y153" s="20"/>
      <c r="Z153" s="20"/>
    </row>
    <row r="154" spans="1:26" ht="9.75" customHeight="1" x14ac:dyDescent="0.25">
      <c r="A154" s="20"/>
      <c r="B154" s="21"/>
      <c r="C154" s="20"/>
      <c r="D154" s="22"/>
      <c r="E154" s="20"/>
      <c r="F154" s="20"/>
      <c r="G154" s="20"/>
      <c r="H154" s="20"/>
      <c r="I154" s="22"/>
      <c r="J154" s="20"/>
      <c r="K154" s="20"/>
      <c r="L154" s="20"/>
      <c r="M154" s="20"/>
      <c r="N154" s="21"/>
      <c r="O154" s="31"/>
      <c r="P154" s="20"/>
      <c r="Q154" s="31"/>
      <c r="R154" s="20"/>
      <c r="S154" s="20"/>
      <c r="T154" s="20"/>
      <c r="U154" s="20"/>
      <c r="V154" s="20"/>
      <c r="W154" s="20"/>
      <c r="X154" s="20"/>
      <c r="Y154" s="20"/>
      <c r="Z154" s="20"/>
    </row>
    <row r="155" spans="1:26" ht="9.75" customHeight="1" x14ac:dyDescent="0.25">
      <c r="A155" s="20"/>
      <c r="B155" s="21"/>
      <c r="C155" s="20"/>
      <c r="D155" s="22"/>
      <c r="E155" s="20"/>
      <c r="F155" s="20"/>
      <c r="G155" s="20"/>
      <c r="H155" s="20"/>
      <c r="I155" s="22"/>
      <c r="J155" s="20"/>
      <c r="K155" s="20"/>
      <c r="L155" s="20"/>
      <c r="M155" s="20"/>
      <c r="N155" s="21"/>
      <c r="O155" s="31"/>
      <c r="P155" s="20"/>
      <c r="Q155" s="31"/>
      <c r="R155" s="20"/>
      <c r="S155" s="20"/>
      <c r="T155" s="20"/>
      <c r="U155" s="20"/>
      <c r="V155" s="20"/>
      <c r="W155" s="20"/>
      <c r="X155" s="20"/>
      <c r="Y155" s="20"/>
      <c r="Z155" s="20"/>
    </row>
    <row r="156" spans="1:26" ht="9.75" customHeight="1" x14ac:dyDescent="0.25">
      <c r="A156" s="20"/>
      <c r="B156" s="21"/>
      <c r="C156" s="20"/>
      <c r="D156" s="22"/>
      <c r="E156" s="20"/>
      <c r="F156" s="20"/>
      <c r="G156" s="20"/>
      <c r="H156" s="20"/>
      <c r="I156" s="22"/>
      <c r="J156" s="20"/>
      <c r="K156" s="20"/>
      <c r="L156" s="20"/>
      <c r="M156" s="20"/>
      <c r="N156" s="21"/>
      <c r="O156" s="31"/>
      <c r="P156" s="20"/>
      <c r="Q156" s="31"/>
      <c r="R156" s="20"/>
      <c r="S156" s="20"/>
      <c r="T156" s="20"/>
      <c r="U156" s="20"/>
      <c r="V156" s="20"/>
      <c r="W156" s="20"/>
      <c r="X156" s="20"/>
      <c r="Y156" s="20"/>
      <c r="Z156" s="20"/>
    </row>
    <row r="157" spans="1:26" ht="9.75" customHeight="1" x14ac:dyDescent="0.25">
      <c r="A157" s="20"/>
      <c r="B157" s="21"/>
      <c r="C157" s="20"/>
      <c r="D157" s="22"/>
      <c r="E157" s="20"/>
      <c r="F157" s="20"/>
      <c r="G157" s="20"/>
      <c r="H157" s="20"/>
      <c r="I157" s="22"/>
      <c r="J157" s="20"/>
      <c r="K157" s="20"/>
      <c r="L157" s="20"/>
      <c r="M157" s="20"/>
      <c r="N157" s="21"/>
      <c r="O157" s="31"/>
      <c r="P157" s="20"/>
      <c r="Q157" s="31"/>
      <c r="R157" s="20"/>
      <c r="S157" s="20"/>
      <c r="T157" s="20"/>
      <c r="U157" s="20"/>
      <c r="V157" s="20"/>
      <c r="W157" s="20"/>
      <c r="X157" s="20"/>
      <c r="Y157" s="20"/>
      <c r="Z157" s="20"/>
    </row>
    <row r="158" spans="1:26" ht="9.75" customHeight="1" x14ac:dyDescent="0.25">
      <c r="A158" s="20"/>
      <c r="B158" s="21"/>
      <c r="C158" s="20"/>
      <c r="D158" s="22"/>
      <c r="E158" s="20"/>
      <c r="F158" s="20"/>
      <c r="G158" s="20"/>
      <c r="H158" s="20"/>
      <c r="I158" s="22"/>
      <c r="J158" s="20"/>
      <c r="K158" s="20"/>
      <c r="L158" s="20"/>
      <c r="M158" s="20"/>
      <c r="N158" s="21"/>
      <c r="O158" s="31"/>
      <c r="P158" s="20"/>
      <c r="Q158" s="31"/>
      <c r="R158" s="20"/>
      <c r="S158" s="20"/>
      <c r="T158" s="20"/>
      <c r="U158" s="20"/>
      <c r="V158" s="20"/>
      <c r="W158" s="20"/>
      <c r="X158" s="20"/>
      <c r="Y158" s="20"/>
      <c r="Z158" s="20"/>
    </row>
    <row r="159" spans="1:26" ht="9.75" customHeight="1" x14ac:dyDescent="0.25">
      <c r="A159" s="20"/>
      <c r="B159" s="21"/>
      <c r="C159" s="20"/>
      <c r="D159" s="22"/>
      <c r="E159" s="20"/>
      <c r="F159" s="20"/>
      <c r="G159" s="20"/>
      <c r="H159" s="20"/>
      <c r="I159" s="22"/>
      <c r="J159" s="20"/>
      <c r="K159" s="20"/>
      <c r="L159" s="20"/>
      <c r="M159" s="20"/>
      <c r="N159" s="21"/>
      <c r="O159" s="31"/>
      <c r="P159" s="20"/>
      <c r="Q159" s="31"/>
      <c r="R159" s="20"/>
      <c r="S159" s="20"/>
      <c r="T159" s="20"/>
      <c r="U159" s="20"/>
      <c r="V159" s="20"/>
      <c r="W159" s="20"/>
      <c r="X159" s="20"/>
      <c r="Y159" s="20"/>
      <c r="Z159" s="20"/>
    </row>
    <row r="160" spans="1:26" ht="9.75" customHeight="1" x14ac:dyDescent="0.25">
      <c r="A160" s="20"/>
      <c r="B160" s="21"/>
      <c r="C160" s="20"/>
      <c r="D160" s="22"/>
      <c r="E160" s="20"/>
      <c r="F160" s="20"/>
      <c r="G160" s="20"/>
      <c r="H160" s="20"/>
      <c r="I160" s="22"/>
      <c r="J160" s="20"/>
      <c r="K160" s="20"/>
      <c r="L160" s="20"/>
      <c r="M160" s="20"/>
      <c r="N160" s="21"/>
      <c r="O160" s="31"/>
      <c r="P160" s="20"/>
      <c r="Q160" s="31"/>
      <c r="R160" s="20"/>
      <c r="S160" s="20"/>
      <c r="T160" s="20"/>
      <c r="U160" s="20"/>
      <c r="V160" s="20"/>
      <c r="W160" s="20"/>
      <c r="X160" s="20"/>
      <c r="Y160" s="20"/>
      <c r="Z160" s="20"/>
    </row>
    <row r="161" spans="1:26" ht="9.75" customHeight="1" x14ac:dyDescent="0.25">
      <c r="A161" s="20"/>
      <c r="B161" s="21"/>
      <c r="C161" s="20"/>
      <c r="D161" s="22"/>
      <c r="E161" s="20"/>
      <c r="F161" s="20"/>
      <c r="G161" s="20"/>
      <c r="H161" s="20"/>
      <c r="I161" s="22"/>
      <c r="J161" s="20"/>
      <c r="K161" s="20"/>
      <c r="L161" s="20"/>
      <c r="M161" s="20"/>
      <c r="N161" s="21"/>
      <c r="O161" s="31"/>
      <c r="P161" s="20"/>
      <c r="Q161" s="31"/>
      <c r="R161" s="20"/>
      <c r="S161" s="20"/>
      <c r="T161" s="20"/>
      <c r="U161" s="20"/>
      <c r="V161" s="20"/>
      <c r="W161" s="20"/>
      <c r="X161" s="20"/>
      <c r="Y161" s="20"/>
      <c r="Z161" s="20"/>
    </row>
    <row r="162" spans="1:26" ht="9.75" customHeight="1" x14ac:dyDescent="0.25">
      <c r="A162" s="20"/>
      <c r="B162" s="21"/>
      <c r="C162" s="20"/>
      <c r="D162" s="22"/>
      <c r="E162" s="20"/>
      <c r="F162" s="20"/>
      <c r="G162" s="20"/>
      <c r="H162" s="20"/>
      <c r="I162" s="22"/>
      <c r="J162" s="20"/>
      <c r="K162" s="20"/>
      <c r="L162" s="20"/>
      <c r="M162" s="20"/>
      <c r="N162" s="21"/>
      <c r="O162" s="31"/>
      <c r="P162" s="20"/>
      <c r="Q162" s="31"/>
      <c r="R162" s="20"/>
      <c r="S162" s="20"/>
      <c r="T162" s="20"/>
      <c r="U162" s="20"/>
      <c r="V162" s="20"/>
      <c r="W162" s="20"/>
      <c r="X162" s="20"/>
      <c r="Y162" s="20"/>
      <c r="Z162" s="20"/>
    </row>
    <row r="163" spans="1:26" ht="9.75" customHeight="1" x14ac:dyDescent="0.25">
      <c r="A163" s="20"/>
      <c r="B163" s="21"/>
      <c r="C163" s="20"/>
      <c r="D163" s="22"/>
      <c r="E163" s="20"/>
      <c r="F163" s="20"/>
      <c r="G163" s="20"/>
      <c r="H163" s="20"/>
      <c r="I163" s="22"/>
      <c r="J163" s="20"/>
      <c r="K163" s="20"/>
      <c r="L163" s="20"/>
      <c r="M163" s="20"/>
      <c r="N163" s="21"/>
      <c r="O163" s="31"/>
      <c r="P163" s="20"/>
      <c r="Q163" s="31"/>
      <c r="R163" s="20"/>
      <c r="S163" s="20"/>
      <c r="T163" s="20"/>
      <c r="U163" s="20"/>
      <c r="V163" s="20"/>
      <c r="W163" s="20"/>
      <c r="X163" s="20"/>
      <c r="Y163" s="20"/>
      <c r="Z163" s="20"/>
    </row>
    <row r="164" spans="1:26" ht="9.75" customHeight="1" x14ac:dyDescent="0.25">
      <c r="A164" s="20"/>
      <c r="B164" s="21"/>
      <c r="C164" s="20"/>
      <c r="D164" s="22"/>
      <c r="E164" s="20"/>
      <c r="F164" s="20"/>
      <c r="G164" s="20"/>
      <c r="H164" s="20"/>
      <c r="I164" s="22"/>
      <c r="J164" s="20"/>
      <c r="K164" s="20"/>
      <c r="L164" s="20"/>
      <c r="M164" s="20"/>
      <c r="N164" s="21"/>
      <c r="O164" s="31"/>
      <c r="P164" s="20"/>
      <c r="Q164" s="31"/>
      <c r="R164" s="20"/>
      <c r="S164" s="20"/>
      <c r="T164" s="20"/>
      <c r="U164" s="20"/>
      <c r="V164" s="20"/>
      <c r="W164" s="20"/>
      <c r="X164" s="20"/>
      <c r="Y164" s="20"/>
      <c r="Z164" s="20"/>
    </row>
    <row r="165" spans="1:26" ht="9.75" customHeight="1" x14ac:dyDescent="0.25">
      <c r="A165" s="20"/>
      <c r="B165" s="21"/>
      <c r="C165" s="20"/>
      <c r="D165" s="22"/>
      <c r="E165" s="20"/>
      <c r="F165" s="20"/>
      <c r="G165" s="20"/>
      <c r="H165" s="20"/>
      <c r="I165" s="22"/>
      <c r="J165" s="20"/>
      <c r="K165" s="20"/>
      <c r="L165" s="20"/>
      <c r="M165" s="20"/>
      <c r="N165" s="21"/>
      <c r="O165" s="31"/>
      <c r="P165" s="20"/>
      <c r="Q165" s="31"/>
      <c r="R165" s="20"/>
      <c r="S165" s="20"/>
      <c r="T165" s="20"/>
      <c r="U165" s="20"/>
      <c r="V165" s="20"/>
      <c r="W165" s="20"/>
      <c r="X165" s="20"/>
      <c r="Y165" s="20"/>
      <c r="Z165" s="20"/>
    </row>
    <row r="166" spans="1:26" ht="9.75" customHeight="1" x14ac:dyDescent="0.25">
      <c r="A166" s="20"/>
      <c r="B166" s="21"/>
      <c r="C166" s="20"/>
      <c r="D166" s="22"/>
      <c r="E166" s="20"/>
      <c r="F166" s="20"/>
      <c r="G166" s="20"/>
      <c r="H166" s="20"/>
      <c r="I166" s="22"/>
      <c r="J166" s="20"/>
      <c r="K166" s="20"/>
      <c r="L166" s="20"/>
      <c r="M166" s="20"/>
      <c r="N166" s="21"/>
      <c r="O166" s="31"/>
      <c r="P166" s="20"/>
      <c r="Q166" s="31"/>
      <c r="R166" s="20"/>
      <c r="S166" s="20"/>
      <c r="T166" s="20"/>
      <c r="U166" s="20"/>
      <c r="V166" s="20"/>
      <c r="W166" s="20"/>
      <c r="X166" s="20"/>
      <c r="Y166" s="20"/>
      <c r="Z166" s="20"/>
    </row>
    <row r="167" spans="1:26" ht="9.75" customHeight="1" x14ac:dyDescent="0.25">
      <c r="A167" s="20"/>
      <c r="B167" s="21"/>
      <c r="C167" s="20"/>
      <c r="D167" s="22"/>
      <c r="E167" s="20"/>
      <c r="F167" s="20"/>
      <c r="G167" s="20"/>
      <c r="H167" s="20"/>
      <c r="I167" s="22"/>
      <c r="J167" s="20"/>
      <c r="K167" s="20"/>
      <c r="L167" s="20"/>
      <c r="M167" s="20"/>
      <c r="N167" s="21"/>
      <c r="O167" s="31"/>
      <c r="P167" s="20"/>
      <c r="Q167" s="31"/>
      <c r="R167" s="20"/>
      <c r="S167" s="20"/>
      <c r="T167" s="20"/>
      <c r="U167" s="20"/>
      <c r="V167" s="20"/>
      <c r="W167" s="20"/>
      <c r="X167" s="20"/>
      <c r="Y167" s="20"/>
      <c r="Z167" s="20"/>
    </row>
    <row r="168" spans="1:26" ht="9.75" customHeight="1" x14ac:dyDescent="0.25">
      <c r="A168" s="20"/>
      <c r="B168" s="21"/>
      <c r="C168" s="20"/>
      <c r="D168" s="22"/>
      <c r="E168" s="20"/>
      <c r="F168" s="20"/>
      <c r="G168" s="20"/>
      <c r="H168" s="20"/>
      <c r="I168" s="22"/>
      <c r="J168" s="20"/>
      <c r="K168" s="20"/>
      <c r="L168" s="20"/>
      <c r="M168" s="20"/>
      <c r="N168" s="21"/>
      <c r="O168" s="31"/>
      <c r="P168" s="20"/>
      <c r="Q168" s="31"/>
      <c r="R168" s="20"/>
      <c r="S168" s="20"/>
      <c r="T168" s="20"/>
      <c r="U168" s="20"/>
      <c r="V168" s="20"/>
      <c r="W168" s="20"/>
      <c r="X168" s="20"/>
      <c r="Y168" s="20"/>
      <c r="Z168" s="20"/>
    </row>
    <row r="169" spans="1:26" ht="9.75" customHeight="1" x14ac:dyDescent="0.25">
      <c r="A169" s="20"/>
      <c r="B169" s="21"/>
      <c r="C169" s="20"/>
      <c r="D169" s="22"/>
      <c r="E169" s="20"/>
      <c r="F169" s="20"/>
      <c r="G169" s="20"/>
      <c r="H169" s="20"/>
      <c r="I169" s="22"/>
      <c r="J169" s="20"/>
      <c r="K169" s="20"/>
      <c r="L169" s="20"/>
      <c r="M169" s="20"/>
      <c r="N169" s="21"/>
      <c r="O169" s="31"/>
      <c r="P169" s="20"/>
      <c r="Q169" s="31"/>
      <c r="R169" s="20"/>
      <c r="S169" s="20"/>
      <c r="T169" s="20"/>
      <c r="U169" s="20"/>
      <c r="V169" s="20"/>
      <c r="W169" s="20"/>
      <c r="X169" s="20"/>
      <c r="Y169" s="20"/>
      <c r="Z169" s="20"/>
    </row>
    <row r="170" spans="1:26" ht="9.75" customHeight="1" x14ac:dyDescent="0.25">
      <c r="A170" s="20"/>
      <c r="B170" s="21"/>
      <c r="C170" s="20"/>
      <c r="D170" s="22"/>
      <c r="E170" s="20"/>
      <c r="F170" s="20"/>
      <c r="G170" s="20"/>
      <c r="H170" s="20"/>
      <c r="I170" s="22"/>
      <c r="J170" s="20"/>
      <c r="K170" s="20"/>
      <c r="L170" s="20"/>
      <c r="M170" s="20"/>
      <c r="N170" s="21"/>
      <c r="O170" s="31"/>
      <c r="P170" s="20"/>
      <c r="Q170" s="31"/>
      <c r="R170" s="20"/>
      <c r="S170" s="20"/>
      <c r="T170" s="20"/>
      <c r="U170" s="20"/>
      <c r="V170" s="20"/>
      <c r="W170" s="20"/>
      <c r="X170" s="20"/>
      <c r="Y170" s="20"/>
      <c r="Z170" s="20"/>
    </row>
    <row r="171" spans="1:26" ht="9.75" customHeight="1" x14ac:dyDescent="0.25">
      <c r="A171" s="20"/>
      <c r="B171" s="21"/>
      <c r="C171" s="20"/>
      <c r="D171" s="22"/>
      <c r="E171" s="20"/>
      <c r="F171" s="20"/>
      <c r="G171" s="20"/>
      <c r="H171" s="20"/>
      <c r="I171" s="22"/>
      <c r="J171" s="20"/>
      <c r="K171" s="20"/>
      <c r="L171" s="20"/>
      <c r="M171" s="20"/>
      <c r="N171" s="21"/>
      <c r="O171" s="31"/>
      <c r="P171" s="20"/>
      <c r="Q171" s="31"/>
      <c r="R171" s="20"/>
      <c r="S171" s="20"/>
      <c r="T171" s="20"/>
      <c r="U171" s="20"/>
      <c r="V171" s="20"/>
      <c r="W171" s="20"/>
      <c r="X171" s="20"/>
      <c r="Y171" s="20"/>
      <c r="Z171" s="20"/>
    </row>
    <row r="172" spans="1:26" ht="9.75" customHeight="1" x14ac:dyDescent="0.25">
      <c r="A172" s="20"/>
      <c r="B172" s="21"/>
      <c r="C172" s="20"/>
      <c r="D172" s="22"/>
      <c r="E172" s="20"/>
      <c r="F172" s="20"/>
      <c r="G172" s="20"/>
      <c r="H172" s="20"/>
      <c r="I172" s="22"/>
      <c r="J172" s="20"/>
      <c r="K172" s="20"/>
      <c r="L172" s="20"/>
      <c r="M172" s="20"/>
      <c r="N172" s="21"/>
      <c r="O172" s="31"/>
      <c r="P172" s="20"/>
      <c r="Q172" s="31"/>
      <c r="R172" s="20"/>
      <c r="S172" s="20"/>
      <c r="T172" s="20"/>
      <c r="U172" s="20"/>
      <c r="V172" s="20"/>
      <c r="W172" s="20"/>
      <c r="X172" s="20"/>
      <c r="Y172" s="20"/>
      <c r="Z172" s="20"/>
    </row>
    <row r="173" spans="1:26" ht="9.75" customHeight="1" x14ac:dyDescent="0.25">
      <c r="A173" s="20"/>
      <c r="B173" s="21"/>
      <c r="C173" s="20"/>
      <c r="D173" s="22"/>
      <c r="E173" s="20"/>
      <c r="F173" s="20"/>
      <c r="G173" s="20"/>
      <c r="H173" s="20"/>
      <c r="I173" s="22"/>
      <c r="J173" s="20"/>
      <c r="K173" s="20"/>
      <c r="L173" s="20"/>
      <c r="M173" s="20"/>
      <c r="N173" s="21"/>
      <c r="O173" s="31"/>
      <c r="P173" s="20"/>
      <c r="Q173" s="31"/>
      <c r="R173" s="20"/>
      <c r="S173" s="20"/>
      <c r="T173" s="20"/>
      <c r="U173" s="20"/>
      <c r="V173" s="20"/>
      <c r="W173" s="20"/>
      <c r="X173" s="20"/>
      <c r="Y173" s="20"/>
      <c r="Z173" s="20"/>
    </row>
    <row r="174" spans="1:26" ht="9.75" customHeight="1" x14ac:dyDescent="0.25">
      <c r="A174" s="20"/>
      <c r="B174" s="21"/>
      <c r="C174" s="20"/>
      <c r="D174" s="22"/>
      <c r="E174" s="20"/>
      <c r="F174" s="20"/>
      <c r="G174" s="20"/>
      <c r="H174" s="20"/>
      <c r="I174" s="22"/>
      <c r="J174" s="20"/>
      <c r="K174" s="20"/>
      <c r="L174" s="20"/>
      <c r="M174" s="20"/>
      <c r="N174" s="21"/>
      <c r="O174" s="31"/>
      <c r="P174" s="20"/>
      <c r="Q174" s="31"/>
      <c r="R174" s="20"/>
      <c r="S174" s="20"/>
      <c r="T174" s="20"/>
      <c r="U174" s="20"/>
      <c r="V174" s="20"/>
      <c r="W174" s="20"/>
      <c r="X174" s="20"/>
      <c r="Y174" s="20"/>
      <c r="Z174" s="20"/>
    </row>
    <row r="175" spans="1:26" ht="9.75" customHeight="1" x14ac:dyDescent="0.25">
      <c r="A175" s="20"/>
      <c r="B175" s="21"/>
      <c r="C175" s="20"/>
      <c r="D175" s="22"/>
      <c r="E175" s="20"/>
      <c r="F175" s="20"/>
      <c r="G175" s="20"/>
      <c r="H175" s="20"/>
      <c r="I175" s="22"/>
      <c r="J175" s="20"/>
      <c r="K175" s="20"/>
      <c r="L175" s="20"/>
      <c r="M175" s="20"/>
      <c r="N175" s="21"/>
      <c r="O175" s="31"/>
      <c r="P175" s="20"/>
      <c r="Q175" s="31"/>
      <c r="R175" s="20"/>
      <c r="S175" s="20"/>
      <c r="T175" s="20"/>
      <c r="U175" s="20"/>
      <c r="V175" s="20"/>
      <c r="W175" s="20"/>
      <c r="X175" s="20"/>
      <c r="Y175" s="20"/>
      <c r="Z175" s="20"/>
    </row>
    <row r="176" spans="1:26" ht="9.75" customHeight="1" x14ac:dyDescent="0.25">
      <c r="A176" s="20"/>
      <c r="B176" s="21"/>
      <c r="C176" s="20"/>
      <c r="D176" s="22"/>
      <c r="E176" s="20"/>
      <c r="F176" s="20"/>
      <c r="G176" s="20"/>
      <c r="H176" s="20"/>
      <c r="I176" s="22"/>
      <c r="J176" s="20"/>
      <c r="K176" s="20"/>
      <c r="L176" s="20"/>
      <c r="M176" s="20"/>
      <c r="N176" s="21"/>
      <c r="O176" s="31"/>
      <c r="P176" s="20"/>
      <c r="Q176" s="31"/>
      <c r="R176" s="20"/>
      <c r="S176" s="20"/>
      <c r="T176" s="20"/>
      <c r="U176" s="20"/>
      <c r="V176" s="20"/>
      <c r="W176" s="20"/>
      <c r="X176" s="20"/>
      <c r="Y176" s="20"/>
      <c r="Z176" s="20"/>
    </row>
    <row r="177" spans="1:26" ht="9.75" customHeight="1" x14ac:dyDescent="0.25">
      <c r="A177" s="20"/>
      <c r="B177" s="21"/>
      <c r="C177" s="20"/>
      <c r="D177" s="22"/>
      <c r="E177" s="20"/>
      <c r="F177" s="20"/>
      <c r="G177" s="20"/>
      <c r="H177" s="20"/>
      <c r="I177" s="22"/>
      <c r="J177" s="20"/>
      <c r="K177" s="20"/>
      <c r="L177" s="20"/>
      <c r="M177" s="20"/>
      <c r="N177" s="21"/>
      <c r="O177" s="31"/>
      <c r="P177" s="20"/>
      <c r="Q177" s="31"/>
      <c r="R177" s="20"/>
      <c r="S177" s="20"/>
      <c r="T177" s="20"/>
      <c r="U177" s="20"/>
      <c r="V177" s="20"/>
      <c r="W177" s="20"/>
      <c r="X177" s="20"/>
      <c r="Y177" s="20"/>
      <c r="Z177" s="20"/>
    </row>
    <row r="178" spans="1:26" ht="9.75" customHeight="1" x14ac:dyDescent="0.25">
      <c r="A178" s="20"/>
      <c r="B178" s="21"/>
      <c r="C178" s="20"/>
      <c r="D178" s="22"/>
      <c r="E178" s="20"/>
      <c r="F178" s="20"/>
      <c r="G178" s="20"/>
      <c r="H178" s="20"/>
      <c r="I178" s="22"/>
      <c r="J178" s="20"/>
      <c r="K178" s="20"/>
      <c r="L178" s="20"/>
      <c r="M178" s="20"/>
      <c r="N178" s="21"/>
      <c r="O178" s="31"/>
      <c r="P178" s="20"/>
      <c r="Q178" s="31"/>
      <c r="R178" s="20"/>
      <c r="S178" s="20"/>
      <c r="T178" s="20"/>
      <c r="U178" s="20"/>
      <c r="V178" s="20"/>
      <c r="W178" s="20"/>
      <c r="X178" s="20"/>
      <c r="Y178" s="20"/>
      <c r="Z178" s="20"/>
    </row>
    <row r="179" spans="1:26" ht="9.75" customHeight="1" x14ac:dyDescent="0.25">
      <c r="A179" s="20"/>
      <c r="B179" s="21"/>
      <c r="C179" s="20"/>
      <c r="D179" s="22"/>
      <c r="E179" s="20"/>
      <c r="F179" s="20"/>
      <c r="G179" s="20"/>
      <c r="H179" s="20"/>
      <c r="I179" s="22"/>
      <c r="J179" s="20"/>
      <c r="K179" s="20"/>
      <c r="L179" s="20"/>
      <c r="M179" s="20"/>
      <c r="N179" s="21"/>
      <c r="O179" s="31"/>
      <c r="P179" s="20"/>
      <c r="Q179" s="31"/>
      <c r="R179" s="20"/>
      <c r="S179" s="20"/>
      <c r="T179" s="20"/>
      <c r="U179" s="20"/>
      <c r="V179" s="20"/>
      <c r="W179" s="20"/>
      <c r="X179" s="20"/>
      <c r="Y179" s="20"/>
      <c r="Z179" s="20"/>
    </row>
    <row r="180" spans="1:26" ht="9.75" customHeight="1" x14ac:dyDescent="0.25">
      <c r="A180" s="20"/>
      <c r="B180" s="21"/>
      <c r="C180" s="20"/>
      <c r="D180" s="22"/>
      <c r="E180" s="20"/>
      <c r="F180" s="20"/>
      <c r="G180" s="20"/>
      <c r="H180" s="20"/>
      <c r="I180" s="22"/>
      <c r="J180" s="20"/>
      <c r="K180" s="20"/>
      <c r="L180" s="20"/>
      <c r="M180" s="20"/>
      <c r="N180" s="21"/>
      <c r="O180" s="31"/>
      <c r="P180" s="20"/>
      <c r="Q180" s="31"/>
      <c r="R180" s="20"/>
      <c r="S180" s="20"/>
      <c r="T180" s="20"/>
      <c r="U180" s="20"/>
      <c r="V180" s="20"/>
      <c r="W180" s="20"/>
      <c r="X180" s="20"/>
      <c r="Y180" s="20"/>
      <c r="Z180" s="20"/>
    </row>
    <row r="181" spans="1:26" ht="9.75" customHeight="1" x14ac:dyDescent="0.25">
      <c r="A181" s="20"/>
      <c r="B181" s="21"/>
      <c r="C181" s="20"/>
      <c r="D181" s="22"/>
      <c r="E181" s="20"/>
      <c r="F181" s="20"/>
      <c r="G181" s="20"/>
      <c r="H181" s="20"/>
      <c r="I181" s="22"/>
      <c r="J181" s="20"/>
      <c r="K181" s="20"/>
      <c r="L181" s="20"/>
      <c r="M181" s="20"/>
      <c r="N181" s="21"/>
      <c r="O181" s="31"/>
      <c r="P181" s="20"/>
      <c r="Q181" s="31"/>
      <c r="R181" s="20"/>
      <c r="S181" s="20"/>
      <c r="T181" s="20"/>
      <c r="U181" s="20"/>
      <c r="V181" s="20"/>
      <c r="W181" s="20"/>
      <c r="X181" s="20"/>
      <c r="Y181" s="20"/>
      <c r="Z181" s="20"/>
    </row>
    <row r="182" spans="1:26" ht="9.75" customHeight="1" x14ac:dyDescent="0.25">
      <c r="A182" s="20"/>
      <c r="B182" s="21"/>
      <c r="C182" s="20"/>
      <c r="D182" s="22"/>
      <c r="E182" s="20"/>
      <c r="F182" s="20"/>
      <c r="G182" s="20"/>
      <c r="H182" s="20"/>
      <c r="I182" s="22"/>
      <c r="J182" s="20"/>
      <c r="K182" s="20"/>
      <c r="L182" s="20"/>
      <c r="M182" s="20"/>
      <c r="N182" s="21"/>
      <c r="O182" s="31"/>
      <c r="P182" s="20"/>
      <c r="Q182" s="31"/>
      <c r="R182" s="20"/>
      <c r="S182" s="20"/>
      <c r="T182" s="20"/>
      <c r="U182" s="20"/>
      <c r="V182" s="20"/>
      <c r="W182" s="20"/>
      <c r="X182" s="20"/>
      <c r="Y182" s="20"/>
      <c r="Z182" s="20"/>
    </row>
    <row r="183" spans="1:26" ht="9.75" customHeight="1" x14ac:dyDescent="0.25">
      <c r="A183" s="20"/>
      <c r="B183" s="21"/>
      <c r="C183" s="20"/>
      <c r="D183" s="22"/>
      <c r="E183" s="20"/>
      <c r="F183" s="20"/>
      <c r="G183" s="20"/>
      <c r="H183" s="20"/>
      <c r="I183" s="22"/>
      <c r="J183" s="20"/>
      <c r="K183" s="20"/>
      <c r="L183" s="20"/>
      <c r="M183" s="20"/>
      <c r="N183" s="21"/>
      <c r="O183" s="31"/>
      <c r="P183" s="20"/>
      <c r="Q183" s="31"/>
      <c r="R183" s="20"/>
      <c r="S183" s="20"/>
      <c r="T183" s="20"/>
      <c r="U183" s="20"/>
      <c r="V183" s="20"/>
      <c r="W183" s="20"/>
      <c r="X183" s="20"/>
      <c r="Y183" s="20"/>
      <c r="Z183" s="20"/>
    </row>
    <row r="184" spans="1:26" ht="9.75" customHeight="1" x14ac:dyDescent="0.25">
      <c r="A184" s="20"/>
      <c r="B184" s="21"/>
      <c r="C184" s="20"/>
      <c r="D184" s="22"/>
      <c r="E184" s="20"/>
      <c r="F184" s="20"/>
      <c r="G184" s="20"/>
      <c r="H184" s="20"/>
      <c r="I184" s="22"/>
      <c r="J184" s="20"/>
      <c r="K184" s="20"/>
      <c r="L184" s="20"/>
      <c r="M184" s="20"/>
      <c r="N184" s="21"/>
      <c r="O184" s="31"/>
      <c r="P184" s="20"/>
      <c r="Q184" s="31"/>
      <c r="R184" s="20"/>
      <c r="S184" s="20"/>
      <c r="T184" s="20"/>
      <c r="U184" s="20"/>
      <c r="V184" s="20"/>
      <c r="W184" s="20"/>
      <c r="X184" s="20"/>
      <c r="Y184" s="20"/>
      <c r="Z184" s="20"/>
    </row>
    <row r="185" spans="1:26" ht="9.75" customHeight="1" x14ac:dyDescent="0.25">
      <c r="A185" s="20"/>
      <c r="B185" s="21"/>
      <c r="C185" s="20"/>
      <c r="D185" s="22"/>
      <c r="E185" s="20"/>
      <c r="F185" s="20"/>
      <c r="G185" s="20"/>
      <c r="H185" s="20"/>
      <c r="I185" s="22"/>
      <c r="J185" s="20"/>
      <c r="K185" s="20"/>
      <c r="L185" s="20"/>
      <c r="M185" s="20"/>
      <c r="N185" s="21"/>
      <c r="O185" s="31"/>
      <c r="P185" s="20"/>
      <c r="Q185" s="31"/>
      <c r="R185" s="20"/>
      <c r="S185" s="20"/>
      <c r="T185" s="20"/>
      <c r="U185" s="20"/>
      <c r="V185" s="20"/>
      <c r="W185" s="20"/>
      <c r="X185" s="20"/>
      <c r="Y185" s="20"/>
      <c r="Z185" s="20"/>
    </row>
    <row r="186" spans="1:26" ht="9.75" customHeight="1" x14ac:dyDescent="0.25">
      <c r="A186" s="20"/>
      <c r="B186" s="21"/>
      <c r="C186" s="20"/>
      <c r="D186" s="22"/>
      <c r="E186" s="20"/>
      <c r="F186" s="20"/>
      <c r="G186" s="20"/>
      <c r="H186" s="20"/>
      <c r="I186" s="22"/>
      <c r="J186" s="20"/>
      <c r="K186" s="20"/>
      <c r="L186" s="20"/>
      <c r="M186" s="20"/>
      <c r="N186" s="21"/>
      <c r="O186" s="31"/>
      <c r="P186" s="20"/>
      <c r="Q186" s="31"/>
      <c r="R186" s="20"/>
      <c r="S186" s="20"/>
      <c r="T186" s="20"/>
      <c r="U186" s="20"/>
      <c r="V186" s="20"/>
      <c r="W186" s="20"/>
      <c r="X186" s="20"/>
      <c r="Y186" s="20"/>
      <c r="Z186" s="20"/>
    </row>
    <row r="187" spans="1:26" ht="9.75" customHeight="1" x14ac:dyDescent="0.25">
      <c r="A187" s="20"/>
      <c r="B187" s="21"/>
      <c r="C187" s="20"/>
      <c r="D187" s="22"/>
      <c r="E187" s="20"/>
      <c r="F187" s="20"/>
      <c r="G187" s="20"/>
      <c r="H187" s="20"/>
      <c r="I187" s="22"/>
      <c r="J187" s="20"/>
      <c r="K187" s="20"/>
      <c r="L187" s="20"/>
      <c r="M187" s="20"/>
      <c r="N187" s="21"/>
      <c r="O187" s="31"/>
      <c r="P187" s="20"/>
      <c r="Q187" s="31"/>
      <c r="R187" s="20"/>
      <c r="S187" s="20"/>
      <c r="T187" s="20"/>
      <c r="U187" s="20"/>
      <c r="V187" s="20"/>
      <c r="W187" s="20"/>
      <c r="X187" s="20"/>
      <c r="Y187" s="20"/>
      <c r="Z187" s="20"/>
    </row>
    <row r="188" spans="1:26" ht="9.75" customHeight="1" x14ac:dyDescent="0.25">
      <c r="A188" s="20"/>
      <c r="B188" s="21"/>
      <c r="C188" s="20"/>
      <c r="D188" s="22"/>
      <c r="E188" s="20"/>
      <c r="F188" s="20"/>
      <c r="G188" s="20"/>
      <c r="H188" s="20"/>
      <c r="I188" s="22"/>
      <c r="J188" s="20"/>
      <c r="K188" s="20"/>
      <c r="L188" s="20"/>
      <c r="M188" s="20"/>
      <c r="N188" s="21"/>
      <c r="O188" s="31"/>
      <c r="P188" s="20"/>
      <c r="Q188" s="31"/>
      <c r="R188" s="20"/>
      <c r="S188" s="20"/>
      <c r="T188" s="20"/>
      <c r="U188" s="20"/>
      <c r="V188" s="20"/>
      <c r="W188" s="20"/>
      <c r="X188" s="20"/>
      <c r="Y188" s="20"/>
      <c r="Z188" s="20"/>
    </row>
    <row r="189" spans="1:26" ht="9.75" customHeight="1" x14ac:dyDescent="0.25">
      <c r="A189" s="20"/>
      <c r="B189" s="21"/>
      <c r="C189" s="20"/>
      <c r="D189" s="22"/>
      <c r="E189" s="20"/>
      <c r="F189" s="20"/>
      <c r="G189" s="20"/>
      <c r="H189" s="20"/>
      <c r="I189" s="22"/>
      <c r="J189" s="20"/>
      <c r="K189" s="20"/>
      <c r="L189" s="20"/>
      <c r="M189" s="20"/>
      <c r="N189" s="21"/>
      <c r="O189" s="31"/>
      <c r="P189" s="20"/>
      <c r="Q189" s="31"/>
      <c r="R189" s="20"/>
      <c r="S189" s="20"/>
      <c r="T189" s="20"/>
      <c r="U189" s="20"/>
      <c r="V189" s="20"/>
      <c r="W189" s="20"/>
      <c r="X189" s="20"/>
      <c r="Y189" s="20"/>
      <c r="Z189" s="20"/>
    </row>
    <row r="190" spans="1:26" ht="9.75" customHeight="1" x14ac:dyDescent="0.25">
      <c r="A190" s="20"/>
      <c r="B190" s="21"/>
      <c r="C190" s="20"/>
      <c r="D190" s="22"/>
      <c r="E190" s="20"/>
      <c r="F190" s="20"/>
      <c r="G190" s="20"/>
      <c r="H190" s="20"/>
      <c r="I190" s="22"/>
      <c r="J190" s="20"/>
      <c r="K190" s="20"/>
      <c r="L190" s="20"/>
      <c r="M190" s="20"/>
      <c r="N190" s="21"/>
      <c r="O190" s="31"/>
      <c r="P190" s="20"/>
      <c r="Q190" s="31"/>
      <c r="R190" s="20"/>
      <c r="S190" s="20"/>
      <c r="T190" s="20"/>
      <c r="U190" s="20"/>
      <c r="V190" s="20"/>
      <c r="W190" s="20"/>
      <c r="X190" s="20"/>
      <c r="Y190" s="20"/>
      <c r="Z190" s="20"/>
    </row>
    <row r="191" spans="1:26" ht="9.75" customHeight="1" x14ac:dyDescent="0.25">
      <c r="A191" s="20"/>
      <c r="B191" s="21"/>
      <c r="C191" s="20"/>
      <c r="D191" s="22"/>
      <c r="E191" s="20"/>
      <c r="F191" s="20"/>
      <c r="G191" s="20"/>
      <c r="H191" s="20"/>
      <c r="I191" s="22"/>
      <c r="J191" s="20"/>
      <c r="K191" s="20"/>
      <c r="L191" s="20"/>
      <c r="M191" s="20"/>
      <c r="N191" s="21"/>
      <c r="O191" s="31"/>
      <c r="P191" s="20"/>
      <c r="Q191" s="31"/>
      <c r="R191" s="20"/>
      <c r="S191" s="20"/>
      <c r="T191" s="20"/>
      <c r="U191" s="20"/>
      <c r="V191" s="20"/>
      <c r="W191" s="20"/>
      <c r="X191" s="20"/>
      <c r="Y191" s="20"/>
      <c r="Z191" s="20"/>
    </row>
    <row r="192" spans="1:26" ht="9.75" customHeight="1" x14ac:dyDescent="0.25">
      <c r="A192" s="20"/>
      <c r="B192" s="21"/>
      <c r="C192" s="20"/>
      <c r="D192" s="22"/>
      <c r="E192" s="20"/>
      <c r="F192" s="20"/>
      <c r="G192" s="20"/>
      <c r="H192" s="20"/>
      <c r="I192" s="22"/>
      <c r="J192" s="20"/>
      <c r="K192" s="20"/>
      <c r="L192" s="20"/>
      <c r="M192" s="20"/>
      <c r="N192" s="21"/>
      <c r="O192" s="31"/>
      <c r="P192" s="20"/>
      <c r="Q192" s="31"/>
      <c r="R192" s="20"/>
      <c r="S192" s="20"/>
      <c r="T192" s="20"/>
      <c r="U192" s="20"/>
      <c r="V192" s="20"/>
      <c r="W192" s="20"/>
      <c r="X192" s="20"/>
      <c r="Y192" s="20"/>
      <c r="Z192" s="20"/>
    </row>
    <row r="193" spans="1:26" ht="9.75" customHeight="1" x14ac:dyDescent="0.25">
      <c r="A193" s="20"/>
      <c r="B193" s="21"/>
      <c r="C193" s="20"/>
      <c r="D193" s="22"/>
      <c r="E193" s="20"/>
      <c r="F193" s="20"/>
      <c r="G193" s="20"/>
      <c r="H193" s="20"/>
      <c r="I193" s="22"/>
      <c r="J193" s="20"/>
      <c r="K193" s="20"/>
      <c r="L193" s="20"/>
      <c r="M193" s="20"/>
      <c r="N193" s="21"/>
      <c r="O193" s="31"/>
      <c r="P193" s="20"/>
      <c r="Q193" s="31"/>
      <c r="R193" s="20"/>
      <c r="S193" s="20"/>
      <c r="T193" s="20"/>
      <c r="U193" s="20"/>
      <c r="V193" s="20"/>
      <c r="W193" s="20"/>
      <c r="X193" s="20"/>
      <c r="Y193" s="20"/>
      <c r="Z193" s="20"/>
    </row>
    <row r="194" spans="1:26" ht="9.75" customHeight="1" x14ac:dyDescent="0.25">
      <c r="A194" s="20"/>
      <c r="B194" s="21"/>
      <c r="C194" s="20"/>
      <c r="D194" s="22"/>
      <c r="E194" s="20"/>
      <c r="F194" s="20"/>
      <c r="G194" s="20"/>
      <c r="H194" s="20"/>
      <c r="I194" s="22"/>
      <c r="J194" s="20"/>
      <c r="K194" s="20"/>
      <c r="L194" s="20"/>
      <c r="M194" s="20"/>
      <c r="N194" s="21"/>
      <c r="O194" s="31"/>
      <c r="P194" s="20"/>
      <c r="Q194" s="31"/>
      <c r="R194" s="20"/>
      <c r="S194" s="20"/>
      <c r="T194" s="20"/>
      <c r="U194" s="20"/>
      <c r="V194" s="20"/>
      <c r="W194" s="20"/>
      <c r="X194" s="20"/>
      <c r="Y194" s="20"/>
      <c r="Z194" s="20"/>
    </row>
    <row r="195" spans="1:26" ht="9.75" customHeight="1" x14ac:dyDescent="0.25">
      <c r="A195" s="20"/>
      <c r="B195" s="21"/>
      <c r="C195" s="20"/>
      <c r="D195" s="22"/>
      <c r="E195" s="20"/>
      <c r="F195" s="20"/>
      <c r="G195" s="20"/>
      <c r="H195" s="20"/>
      <c r="I195" s="22"/>
      <c r="J195" s="20"/>
      <c r="K195" s="20"/>
      <c r="L195" s="20"/>
      <c r="M195" s="20"/>
      <c r="N195" s="21"/>
      <c r="O195" s="31"/>
      <c r="P195" s="20"/>
      <c r="Q195" s="31"/>
      <c r="R195" s="20"/>
      <c r="S195" s="20"/>
      <c r="T195" s="20"/>
      <c r="U195" s="20"/>
      <c r="V195" s="20"/>
      <c r="W195" s="20"/>
      <c r="X195" s="20"/>
      <c r="Y195" s="20"/>
      <c r="Z195" s="20"/>
    </row>
    <row r="196" spans="1:26" ht="9.75" customHeight="1" x14ac:dyDescent="0.25">
      <c r="A196" s="20"/>
      <c r="B196" s="21"/>
      <c r="C196" s="20"/>
      <c r="D196" s="22"/>
      <c r="E196" s="20"/>
      <c r="F196" s="20"/>
      <c r="G196" s="20"/>
      <c r="H196" s="20"/>
      <c r="I196" s="22"/>
      <c r="J196" s="20"/>
      <c r="K196" s="20"/>
      <c r="L196" s="20"/>
      <c r="M196" s="20"/>
      <c r="N196" s="21"/>
      <c r="O196" s="31"/>
      <c r="P196" s="20"/>
      <c r="Q196" s="31"/>
      <c r="R196" s="20"/>
      <c r="S196" s="20"/>
      <c r="T196" s="20"/>
      <c r="U196" s="20"/>
      <c r="V196" s="20"/>
      <c r="W196" s="20"/>
      <c r="X196" s="20"/>
      <c r="Y196" s="20"/>
      <c r="Z196" s="20"/>
    </row>
    <row r="197" spans="1:26" ht="9.75" customHeight="1" x14ac:dyDescent="0.25">
      <c r="A197" s="20"/>
      <c r="B197" s="21"/>
      <c r="C197" s="20"/>
      <c r="D197" s="22"/>
      <c r="E197" s="20"/>
      <c r="F197" s="20"/>
      <c r="G197" s="20"/>
      <c r="H197" s="20"/>
      <c r="I197" s="22"/>
      <c r="J197" s="20"/>
      <c r="K197" s="20"/>
      <c r="L197" s="20"/>
      <c r="M197" s="20"/>
      <c r="N197" s="21"/>
      <c r="O197" s="31"/>
      <c r="P197" s="20"/>
      <c r="Q197" s="31"/>
      <c r="R197" s="20"/>
      <c r="S197" s="20"/>
      <c r="T197" s="20"/>
      <c r="U197" s="20"/>
      <c r="V197" s="20"/>
      <c r="W197" s="20"/>
      <c r="X197" s="20"/>
      <c r="Y197" s="20"/>
      <c r="Z197" s="20"/>
    </row>
    <row r="198" spans="1:26" ht="9.75" customHeight="1" x14ac:dyDescent="0.25">
      <c r="A198" s="20"/>
      <c r="B198" s="21"/>
      <c r="C198" s="20"/>
      <c r="D198" s="22"/>
      <c r="E198" s="20"/>
      <c r="F198" s="20"/>
      <c r="G198" s="20"/>
      <c r="H198" s="20"/>
      <c r="I198" s="22"/>
      <c r="J198" s="20"/>
      <c r="K198" s="20"/>
      <c r="L198" s="20"/>
      <c r="M198" s="20"/>
      <c r="N198" s="21"/>
      <c r="O198" s="31"/>
      <c r="P198" s="20"/>
      <c r="Q198" s="31"/>
      <c r="R198" s="20"/>
      <c r="S198" s="20"/>
      <c r="T198" s="20"/>
      <c r="U198" s="20"/>
      <c r="V198" s="20"/>
      <c r="W198" s="20"/>
      <c r="X198" s="20"/>
      <c r="Y198" s="20"/>
      <c r="Z198" s="20"/>
    </row>
    <row r="199" spans="1:26" ht="9.75" customHeight="1" x14ac:dyDescent="0.25">
      <c r="A199" s="20"/>
      <c r="B199" s="21"/>
      <c r="C199" s="20"/>
      <c r="D199" s="22"/>
      <c r="E199" s="20"/>
      <c r="F199" s="20"/>
      <c r="G199" s="20"/>
      <c r="H199" s="20"/>
      <c r="I199" s="22"/>
      <c r="J199" s="20"/>
      <c r="K199" s="20"/>
      <c r="L199" s="20"/>
      <c r="M199" s="20"/>
      <c r="N199" s="21"/>
      <c r="O199" s="31"/>
      <c r="P199" s="20"/>
      <c r="Q199" s="31"/>
      <c r="R199" s="20"/>
      <c r="S199" s="20"/>
      <c r="T199" s="20"/>
      <c r="U199" s="20"/>
      <c r="V199" s="20"/>
      <c r="W199" s="20"/>
      <c r="X199" s="20"/>
      <c r="Y199" s="20"/>
      <c r="Z199" s="20"/>
    </row>
    <row r="200" spans="1:26" ht="9.75" customHeight="1" x14ac:dyDescent="0.25">
      <c r="A200" s="20"/>
      <c r="B200" s="21"/>
      <c r="C200" s="20"/>
      <c r="D200" s="22"/>
      <c r="E200" s="20"/>
      <c r="F200" s="20"/>
      <c r="G200" s="20"/>
      <c r="H200" s="20"/>
      <c r="I200" s="22"/>
      <c r="J200" s="20"/>
      <c r="K200" s="20"/>
      <c r="L200" s="20"/>
      <c r="M200" s="20"/>
      <c r="N200" s="21"/>
      <c r="O200" s="31"/>
      <c r="P200" s="20"/>
      <c r="Q200" s="31"/>
      <c r="R200" s="20"/>
      <c r="S200" s="20"/>
      <c r="T200" s="20"/>
      <c r="U200" s="20"/>
      <c r="V200" s="20"/>
      <c r="W200" s="20"/>
      <c r="X200" s="20"/>
      <c r="Y200" s="20"/>
      <c r="Z200" s="20"/>
    </row>
    <row r="201" spans="1:26" ht="9.75" customHeight="1" x14ac:dyDescent="0.25">
      <c r="A201" s="20"/>
      <c r="B201" s="21"/>
      <c r="C201" s="20"/>
      <c r="D201" s="22"/>
      <c r="E201" s="20"/>
      <c r="F201" s="20"/>
      <c r="G201" s="20"/>
      <c r="H201" s="20"/>
      <c r="I201" s="22"/>
      <c r="J201" s="20"/>
      <c r="K201" s="20"/>
      <c r="L201" s="20"/>
      <c r="M201" s="20"/>
      <c r="N201" s="21"/>
      <c r="O201" s="31"/>
      <c r="P201" s="20"/>
      <c r="Q201" s="31"/>
      <c r="R201" s="20"/>
      <c r="S201" s="20"/>
      <c r="T201" s="20"/>
      <c r="U201" s="20"/>
      <c r="V201" s="20"/>
      <c r="W201" s="20"/>
      <c r="X201" s="20"/>
      <c r="Y201" s="20"/>
      <c r="Z201" s="20"/>
    </row>
    <row r="202" spans="1:26" ht="9.75" customHeight="1" x14ac:dyDescent="0.25">
      <c r="A202" s="20"/>
      <c r="B202" s="21"/>
      <c r="C202" s="20"/>
      <c r="D202" s="22"/>
      <c r="E202" s="20"/>
      <c r="F202" s="20"/>
      <c r="G202" s="20"/>
      <c r="H202" s="20"/>
      <c r="I202" s="22"/>
      <c r="J202" s="20"/>
      <c r="K202" s="20"/>
      <c r="L202" s="20"/>
      <c r="M202" s="20"/>
      <c r="N202" s="21"/>
      <c r="O202" s="31"/>
      <c r="P202" s="20"/>
      <c r="Q202" s="31"/>
      <c r="R202" s="20"/>
      <c r="S202" s="20"/>
      <c r="T202" s="20"/>
      <c r="U202" s="20"/>
      <c r="V202" s="20"/>
      <c r="W202" s="20"/>
      <c r="X202" s="20"/>
      <c r="Y202" s="20"/>
      <c r="Z202" s="20"/>
    </row>
    <row r="203" spans="1:26" ht="9.75" customHeight="1" x14ac:dyDescent="0.25">
      <c r="A203" s="20"/>
      <c r="B203" s="21"/>
      <c r="C203" s="20"/>
      <c r="D203" s="22"/>
      <c r="E203" s="20"/>
      <c r="F203" s="20"/>
      <c r="G203" s="20"/>
      <c r="H203" s="20"/>
      <c r="I203" s="22"/>
      <c r="J203" s="20"/>
      <c r="K203" s="20"/>
      <c r="L203" s="20"/>
      <c r="M203" s="20"/>
      <c r="N203" s="21"/>
      <c r="O203" s="31"/>
      <c r="P203" s="20"/>
      <c r="Q203" s="31"/>
      <c r="R203" s="20"/>
      <c r="S203" s="20"/>
      <c r="T203" s="20"/>
      <c r="U203" s="20"/>
      <c r="V203" s="20"/>
      <c r="W203" s="20"/>
      <c r="X203" s="20"/>
      <c r="Y203" s="20"/>
      <c r="Z203" s="20"/>
    </row>
    <row r="204" spans="1:26" ht="9.75" customHeight="1" x14ac:dyDescent="0.25">
      <c r="A204" s="20"/>
      <c r="B204" s="21"/>
      <c r="C204" s="20"/>
      <c r="D204" s="22"/>
      <c r="E204" s="20"/>
      <c r="F204" s="20"/>
      <c r="G204" s="20"/>
      <c r="H204" s="20"/>
      <c r="I204" s="22"/>
      <c r="J204" s="20"/>
      <c r="K204" s="20"/>
      <c r="L204" s="20"/>
      <c r="M204" s="20"/>
      <c r="N204" s="21"/>
      <c r="O204" s="31"/>
      <c r="P204" s="20"/>
      <c r="Q204" s="31"/>
      <c r="R204" s="20"/>
      <c r="S204" s="20"/>
      <c r="T204" s="20"/>
      <c r="U204" s="20"/>
      <c r="V204" s="20"/>
      <c r="W204" s="20"/>
      <c r="X204" s="20"/>
      <c r="Y204" s="20"/>
      <c r="Z204" s="20"/>
    </row>
    <row r="205" spans="1:26" ht="9.75" customHeight="1" x14ac:dyDescent="0.25">
      <c r="A205" s="20"/>
      <c r="B205" s="21"/>
      <c r="C205" s="20"/>
      <c r="D205" s="22"/>
      <c r="E205" s="20"/>
      <c r="F205" s="20"/>
      <c r="G205" s="20"/>
      <c r="H205" s="20"/>
      <c r="I205" s="22"/>
      <c r="J205" s="20"/>
      <c r="K205" s="20"/>
      <c r="L205" s="20"/>
      <c r="M205" s="20"/>
      <c r="N205" s="21"/>
      <c r="O205" s="31"/>
      <c r="P205" s="20"/>
      <c r="Q205" s="31"/>
      <c r="R205" s="20"/>
      <c r="S205" s="20"/>
      <c r="T205" s="20"/>
      <c r="U205" s="20"/>
      <c r="V205" s="20"/>
      <c r="W205" s="20"/>
      <c r="X205" s="20"/>
      <c r="Y205" s="20"/>
      <c r="Z205" s="20"/>
    </row>
    <row r="206" spans="1:26" ht="9.75" customHeight="1" x14ac:dyDescent="0.25">
      <c r="A206" s="20"/>
      <c r="B206" s="21"/>
      <c r="C206" s="20"/>
      <c r="D206" s="22"/>
      <c r="E206" s="20"/>
      <c r="F206" s="20"/>
      <c r="G206" s="20"/>
      <c r="H206" s="20"/>
      <c r="I206" s="22"/>
      <c r="J206" s="20"/>
      <c r="K206" s="20"/>
      <c r="L206" s="20"/>
      <c r="M206" s="20"/>
      <c r="N206" s="21"/>
      <c r="O206" s="31"/>
      <c r="P206" s="20"/>
      <c r="Q206" s="31"/>
      <c r="R206" s="20"/>
      <c r="S206" s="20"/>
      <c r="T206" s="20"/>
      <c r="U206" s="20"/>
      <c r="V206" s="20"/>
      <c r="W206" s="20"/>
      <c r="X206" s="20"/>
      <c r="Y206" s="20"/>
      <c r="Z206" s="20"/>
    </row>
    <row r="207" spans="1:26" ht="9.75" customHeight="1" x14ac:dyDescent="0.25">
      <c r="A207" s="20"/>
      <c r="B207" s="21"/>
      <c r="C207" s="20"/>
      <c r="D207" s="22"/>
      <c r="E207" s="20"/>
      <c r="F207" s="20"/>
      <c r="G207" s="20"/>
      <c r="H207" s="20"/>
      <c r="I207" s="22"/>
      <c r="J207" s="20"/>
      <c r="K207" s="20"/>
      <c r="L207" s="20"/>
      <c r="M207" s="20"/>
      <c r="N207" s="21"/>
      <c r="O207" s="31"/>
      <c r="P207" s="20"/>
      <c r="Q207" s="31"/>
      <c r="R207" s="20"/>
      <c r="S207" s="20"/>
      <c r="T207" s="20"/>
      <c r="U207" s="20"/>
      <c r="V207" s="20"/>
      <c r="W207" s="20"/>
      <c r="X207" s="20"/>
      <c r="Y207" s="20"/>
      <c r="Z207" s="20"/>
    </row>
    <row r="208" spans="1:26" ht="9.75" customHeight="1" x14ac:dyDescent="0.25">
      <c r="A208" s="20"/>
      <c r="B208" s="21"/>
      <c r="C208" s="20"/>
      <c r="D208" s="22"/>
      <c r="E208" s="20"/>
      <c r="F208" s="20"/>
      <c r="G208" s="20"/>
      <c r="H208" s="20"/>
      <c r="I208" s="22"/>
      <c r="J208" s="20"/>
      <c r="K208" s="20"/>
      <c r="L208" s="20"/>
      <c r="M208" s="20"/>
      <c r="N208" s="21"/>
      <c r="O208" s="31"/>
      <c r="P208" s="20"/>
      <c r="Q208" s="31"/>
      <c r="R208" s="20"/>
      <c r="S208" s="20"/>
      <c r="T208" s="20"/>
      <c r="U208" s="20"/>
      <c r="V208" s="20"/>
      <c r="W208" s="20"/>
      <c r="X208" s="20"/>
      <c r="Y208" s="20"/>
      <c r="Z208" s="20"/>
    </row>
    <row r="209" spans="1:26" ht="9.75" customHeight="1" x14ac:dyDescent="0.25">
      <c r="A209" s="20"/>
      <c r="B209" s="21"/>
      <c r="C209" s="20"/>
      <c r="D209" s="22"/>
      <c r="E209" s="20"/>
      <c r="F209" s="20"/>
      <c r="G209" s="20"/>
      <c r="H209" s="20"/>
      <c r="I209" s="22"/>
      <c r="J209" s="20"/>
      <c r="K209" s="20"/>
      <c r="L209" s="20"/>
      <c r="M209" s="20"/>
      <c r="N209" s="21"/>
      <c r="O209" s="31"/>
      <c r="P209" s="20"/>
      <c r="Q209" s="31"/>
      <c r="R209" s="20"/>
      <c r="S209" s="20"/>
      <c r="T209" s="20"/>
      <c r="U209" s="20"/>
      <c r="V209" s="20"/>
      <c r="W209" s="20"/>
      <c r="X209" s="20"/>
      <c r="Y209" s="20"/>
      <c r="Z209" s="20"/>
    </row>
    <row r="210" spans="1:26" ht="9.75" customHeight="1" x14ac:dyDescent="0.25">
      <c r="A210" s="20"/>
      <c r="B210" s="21"/>
      <c r="C210" s="20"/>
      <c r="D210" s="22"/>
      <c r="E210" s="20"/>
      <c r="F210" s="20"/>
      <c r="G210" s="20"/>
      <c r="H210" s="20"/>
      <c r="I210" s="22"/>
      <c r="J210" s="20"/>
      <c r="K210" s="20"/>
      <c r="L210" s="20"/>
      <c r="M210" s="20"/>
      <c r="N210" s="21"/>
      <c r="O210" s="31"/>
      <c r="P210" s="20"/>
      <c r="Q210" s="31"/>
      <c r="R210" s="20"/>
      <c r="S210" s="20"/>
      <c r="T210" s="20"/>
      <c r="U210" s="20"/>
      <c r="V210" s="20"/>
      <c r="W210" s="20"/>
      <c r="X210" s="20"/>
      <c r="Y210" s="20"/>
      <c r="Z210" s="20"/>
    </row>
    <row r="211" spans="1:26" ht="9.75" customHeight="1" x14ac:dyDescent="0.25">
      <c r="A211" s="20"/>
      <c r="B211" s="21"/>
      <c r="C211" s="20"/>
      <c r="D211" s="22"/>
      <c r="E211" s="20"/>
      <c r="F211" s="20"/>
      <c r="G211" s="20"/>
      <c r="H211" s="20"/>
      <c r="I211" s="22"/>
      <c r="J211" s="20"/>
      <c r="K211" s="20"/>
      <c r="L211" s="20"/>
      <c r="M211" s="20"/>
      <c r="N211" s="21"/>
      <c r="O211" s="31"/>
      <c r="P211" s="20"/>
      <c r="Q211" s="31"/>
      <c r="R211" s="20"/>
      <c r="S211" s="20"/>
      <c r="T211" s="20"/>
      <c r="U211" s="20"/>
      <c r="V211" s="20"/>
      <c r="W211" s="20"/>
      <c r="X211" s="20"/>
      <c r="Y211" s="20"/>
      <c r="Z211" s="20"/>
    </row>
    <row r="212" spans="1:26" ht="9.75" customHeight="1" x14ac:dyDescent="0.25">
      <c r="A212" s="20"/>
      <c r="B212" s="21"/>
      <c r="C212" s="20"/>
      <c r="D212" s="22"/>
      <c r="E212" s="20"/>
      <c r="F212" s="20"/>
      <c r="G212" s="20"/>
      <c r="H212" s="20"/>
      <c r="I212" s="22"/>
      <c r="J212" s="20"/>
      <c r="K212" s="20"/>
      <c r="L212" s="20"/>
      <c r="M212" s="20"/>
      <c r="N212" s="21"/>
      <c r="O212" s="31"/>
      <c r="P212" s="20"/>
      <c r="Q212" s="31"/>
      <c r="R212" s="20"/>
      <c r="S212" s="20"/>
      <c r="T212" s="20"/>
      <c r="U212" s="20"/>
      <c r="V212" s="20"/>
      <c r="W212" s="20"/>
      <c r="X212" s="20"/>
      <c r="Y212" s="20"/>
      <c r="Z212" s="20"/>
    </row>
    <row r="213" spans="1:26" ht="9.75" customHeight="1" x14ac:dyDescent="0.25">
      <c r="A213" s="20"/>
      <c r="B213" s="21"/>
      <c r="C213" s="20"/>
      <c r="D213" s="22"/>
      <c r="E213" s="20"/>
      <c r="F213" s="20"/>
      <c r="G213" s="20"/>
      <c r="H213" s="20"/>
      <c r="I213" s="22"/>
      <c r="J213" s="20"/>
      <c r="K213" s="20"/>
      <c r="L213" s="20"/>
      <c r="M213" s="20"/>
      <c r="N213" s="21"/>
      <c r="O213" s="31"/>
      <c r="P213" s="20"/>
      <c r="Q213" s="31"/>
      <c r="R213" s="20"/>
      <c r="S213" s="20"/>
      <c r="T213" s="20"/>
      <c r="U213" s="20"/>
      <c r="V213" s="20"/>
      <c r="W213" s="20"/>
      <c r="X213" s="20"/>
      <c r="Y213" s="20"/>
      <c r="Z213" s="20"/>
    </row>
    <row r="214" spans="1:26" ht="9.75" customHeight="1" x14ac:dyDescent="0.25">
      <c r="A214" s="20"/>
      <c r="B214" s="21"/>
      <c r="C214" s="20"/>
      <c r="D214" s="22"/>
      <c r="E214" s="20"/>
      <c r="F214" s="20"/>
      <c r="G214" s="20"/>
      <c r="H214" s="20"/>
      <c r="I214" s="22"/>
      <c r="J214" s="20"/>
      <c r="K214" s="20"/>
      <c r="L214" s="20"/>
      <c r="M214" s="20"/>
      <c r="N214" s="21"/>
      <c r="O214" s="31"/>
      <c r="P214" s="20"/>
      <c r="Q214" s="31"/>
      <c r="R214" s="20"/>
      <c r="S214" s="20"/>
      <c r="T214" s="20"/>
      <c r="U214" s="20"/>
      <c r="V214" s="20"/>
      <c r="W214" s="20"/>
      <c r="X214" s="20"/>
      <c r="Y214" s="20"/>
      <c r="Z214" s="20"/>
    </row>
    <row r="215" spans="1:26" ht="9.75" customHeight="1" x14ac:dyDescent="0.25">
      <c r="A215" s="20"/>
      <c r="B215" s="21"/>
      <c r="C215" s="20"/>
      <c r="D215" s="22"/>
      <c r="E215" s="20"/>
      <c r="F215" s="20"/>
      <c r="G215" s="20"/>
      <c r="H215" s="20"/>
      <c r="I215" s="22"/>
      <c r="J215" s="20"/>
      <c r="K215" s="20"/>
      <c r="L215" s="20"/>
      <c r="M215" s="20"/>
      <c r="N215" s="21"/>
      <c r="O215" s="31"/>
      <c r="P215" s="20"/>
      <c r="Q215" s="31"/>
      <c r="R215" s="20"/>
      <c r="S215" s="20"/>
      <c r="T215" s="20"/>
      <c r="U215" s="20"/>
      <c r="V215" s="20"/>
      <c r="W215" s="20"/>
      <c r="X215" s="20"/>
      <c r="Y215" s="20"/>
      <c r="Z215" s="20"/>
    </row>
    <row r="216" spans="1:26" ht="9.75" customHeight="1" x14ac:dyDescent="0.25">
      <c r="A216" s="20"/>
      <c r="B216" s="21"/>
      <c r="C216" s="20"/>
      <c r="D216" s="22"/>
      <c r="E216" s="20"/>
      <c r="F216" s="20"/>
      <c r="G216" s="20"/>
      <c r="H216" s="20"/>
      <c r="I216" s="22"/>
      <c r="J216" s="20"/>
      <c r="K216" s="20"/>
      <c r="L216" s="20"/>
      <c r="M216" s="20"/>
      <c r="N216" s="21"/>
      <c r="O216" s="31"/>
      <c r="P216" s="20"/>
      <c r="Q216" s="31"/>
      <c r="R216" s="20"/>
      <c r="S216" s="20"/>
      <c r="T216" s="20"/>
      <c r="U216" s="20"/>
      <c r="V216" s="20"/>
      <c r="W216" s="20"/>
      <c r="X216" s="20"/>
      <c r="Y216" s="20"/>
      <c r="Z216" s="20"/>
    </row>
    <row r="217" spans="1:26" ht="9.75" customHeight="1" x14ac:dyDescent="0.25">
      <c r="A217" s="20"/>
      <c r="B217" s="21"/>
      <c r="C217" s="20"/>
      <c r="D217" s="22"/>
      <c r="E217" s="20"/>
      <c r="F217" s="20"/>
      <c r="G217" s="20"/>
      <c r="H217" s="20"/>
      <c r="I217" s="22"/>
      <c r="J217" s="20"/>
      <c r="K217" s="20"/>
      <c r="L217" s="20"/>
      <c r="M217" s="20"/>
      <c r="N217" s="21"/>
      <c r="O217" s="31"/>
      <c r="P217" s="20"/>
      <c r="Q217" s="31"/>
      <c r="R217" s="20"/>
      <c r="S217" s="20"/>
      <c r="T217" s="20"/>
      <c r="U217" s="20"/>
      <c r="V217" s="20"/>
      <c r="W217" s="20"/>
      <c r="X217" s="20"/>
      <c r="Y217" s="20"/>
      <c r="Z217" s="20"/>
    </row>
    <row r="218" spans="1:26" ht="9.75" customHeight="1" x14ac:dyDescent="0.25">
      <c r="A218" s="20"/>
      <c r="B218" s="21"/>
      <c r="C218" s="20"/>
      <c r="D218" s="22"/>
      <c r="E218" s="20"/>
      <c r="F218" s="20"/>
      <c r="G218" s="20"/>
      <c r="H218" s="20"/>
      <c r="I218" s="22"/>
      <c r="J218" s="20"/>
      <c r="K218" s="20"/>
      <c r="L218" s="20"/>
      <c r="M218" s="20"/>
      <c r="N218" s="21"/>
      <c r="O218" s="31"/>
      <c r="P218" s="20"/>
      <c r="Q218" s="31"/>
      <c r="R218" s="20"/>
      <c r="S218" s="20"/>
      <c r="T218" s="20"/>
      <c r="U218" s="20"/>
      <c r="V218" s="20"/>
      <c r="W218" s="20"/>
      <c r="X218" s="20"/>
      <c r="Y218" s="20"/>
      <c r="Z218" s="20"/>
    </row>
    <row r="219" spans="1:26" ht="9.75" customHeight="1" x14ac:dyDescent="0.25">
      <c r="A219" s="20"/>
      <c r="B219" s="21"/>
      <c r="C219" s="20"/>
      <c r="D219" s="22"/>
      <c r="E219" s="20"/>
      <c r="F219" s="20"/>
      <c r="G219" s="20"/>
      <c r="H219" s="20"/>
      <c r="I219" s="22"/>
      <c r="J219" s="20"/>
      <c r="K219" s="20"/>
      <c r="L219" s="20"/>
      <c r="M219" s="20"/>
      <c r="N219" s="21"/>
      <c r="O219" s="31"/>
      <c r="P219" s="20"/>
      <c r="Q219" s="31"/>
      <c r="R219" s="20"/>
      <c r="S219" s="20"/>
      <c r="T219" s="20"/>
      <c r="U219" s="20"/>
      <c r="V219" s="20"/>
      <c r="W219" s="20"/>
      <c r="X219" s="20"/>
      <c r="Y219" s="20"/>
      <c r="Z219" s="20"/>
    </row>
    <row r="220" spans="1:26" ht="9.75" customHeight="1" x14ac:dyDescent="0.25">
      <c r="A220" s="20"/>
      <c r="B220" s="21"/>
      <c r="C220" s="20"/>
      <c r="D220" s="22"/>
      <c r="E220" s="20"/>
      <c r="F220" s="20"/>
      <c r="G220" s="20"/>
      <c r="H220" s="20"/>
      <c r="I220" s="22"/>
      <c r="J220" s="20"/>
      <c r="K220" s="20"/>
      <c r="L220" s="20"/>
      <c r="M220" s="20"/>
      <c r="N220" s="21"/>
      <c r="O220" s="31"/>
      <c r="P220" s="20"/>
      <c r="Q220" s="31"/>
      <c r="R220" s="20"/>
      <c r="S220" s="20"/>
      <c r="T220" s="20"/>
      <c r="U220" s="20"/>
      <c r="V220" s="20"/>
      <c r="W220" s="20"/>
      <c r="X220" s="20"/>
      <c r="Y220" s="20"/>
      <c r="Z220" s="20"/>
    </row>
    <row r="221" spans="1:26" ht="9.75" customHeight="1" x14ac:dyDescent="0.25">
      <c r="A221" s="20"/>
      <c r="B221" s="21"/>
      <c r="C221" s="20"/>
      <c r="D221" s="22"/>
      <c r="E221" s="20"/>
      <c r="F221" s="20"/>
      <c r="G221" s="20"/>
      <c r="H221" s="20"/>
      <c r="I221" s="22"/>
      <c r="J221" s="20"/>
      <c r="K221" s="20"/>
      <c r="L221" s="20"/>
      <c r="M221" s="20"/>
      <c r="N221" s="21"/>
      <c r="O221" s="31"/>
      <c r="P221" s="20"/>
      <c r="Q221" s="31"/>
      <c r="R221" s="20"/>
      <c r="S221" s="20"/>
      <c r="T221" s="20"/>
      <c r="U221" s="20"/>
      <c r="V221" s="20"/>
      <c r="W221" s="20"/>
      <c r="X221" s="20"/>
      <c r="Y221" s="20"/>
      <c r="Z221" s="20"/>
    </row>
    <row r="222" spans="1:26" ht="9.75" customHeight="1" x14ac:dyDescent="0.25">
      <c r="A222" s="20"/>
      <c r="B222" s="21"/>
      <c r="C222" s="20"/>
      <c r="D222" s="22"/>
      <c r="E222" s="20"/>
      <c r="F222" s="20"/>
      <c r="G222" s="20"/>
      <c r="H222" s="20"/>
      <c r="I222" s="22"/>
      <c r="J222" s="20"/>
      <c r="K222" s="20"/>
      <c r="L222" s="20"/>
      <c r="M222" s="20"/>
      <c r="N222" s="21"/>
      <c r="O222" s="31"/>
      <c r="P222" s="20"/>
      <c r="Q222" s="31"/>
      <c r="R222" s="20"/>
      <c r="S222" s="20"/>
      <c r="T222" s="20"/>
      <c r="U222" s="20"/>
      <c r="V222" s="20"/>
      <c r="W222" s="20"/>
      <c r="X222" s="20"/>
      <c r="Y222" s="20"/>
      <c r="Z222" s="20"/>
    </row>
    <row r="223" spans="1:26" ht="9.75" customHeight="1" x14ac:dyDescent="0.25">
      <c r="A223" s="20"/>
      <c r="B223" s="21"/>
      <c r="C223" s="20"/>
      <c r="D223" s="22"/>
      <c r="E223" s="20"/>
      <c r="F223" s="20"/>
      <c r="G223" s="20"/>
      <c r="H223" s="20"/>
      <c r="I223" s="22"/>
      <c r="J223" s="20"/>
      <c r="K223" s="20"/>
      <c r="L223" s="20"/>
      <c r="M223" s="20"/>
      <c r="N223" s="21"/>
      <c r="O223" s="31"/>
      <c r="P223" s="20"/>
      <c r="Q223" s="31"/>
      <c r="R223" s="20"/>
      <c r="S223" s="20"/>
      <c r="T223" s="20"/>
      <c r="U223" s="20"/>
      <c r="V223" s="20"/>
      <c r="W223" s="20"/>
      <c r="X223" s="20"/>
      <c r="Y223" s="20"/>
      <c r="Z223" s="20"/>
    </row>
    <row r="224" spans="1:26" ht="9.75" customHeight="1" x14ac:dyDescent="0.25">
      <c r="A224" s="20"/>
      <c r="B224" s="21"/>
      <c r="C224" s="20"/>
      <c r="D224" s="22"/>
      <c r="E224" s="20"/>
      <c r="F224" s="20"/>
      <c r="G224" s="20"/>
      <c r="H224" s="20"/>
      <c r="I224" s="22"/>
      <c r="J224" s="20"/>
      <c r="K224" s="20"/>
      <c r="L224" s="20"/>
      <c r="M224" s="20"/>
      <c r="N224" s="21"/>
      <c r="O224" s="31"/>
      <c r="P224" s="20"/>
      <c r="Q224" s="31"/>
      <c r="R224" s="20"/>
      <c r="S224" s="20"/>
      <c r="T224" s="20"/>
      <c r="U224" s="20"/>
      <c r="V224" s="20"/>
      <c r="W224" s="20"/>
      <c r="X224" s="20"/>
      <c r="Y224" s="20"/>
      <c r="Z224" s="20"/>
    </row>
    <row r="225" spans="1:26" ht="9.75" customHeight="1" x14ac:dyDescent="0.25">
      <c r="A225" s="20"/>
      <c r="B225" s="21"/>
      <c r="C225" s="20"/>
      <c r="D225" s="22"/>
      <c r="E225" s="20"/>
      <c r="F225" s="20"/>
      <c r="G225" s="20"/>
      <c r="H225" s="20"/>
      <c r="I225" s="22"/>
      <c r="J225" s="20"/>
      <c r="K225" s="20"/>
      <c r="L225" s="20"/>
      <c r="M225" s="20"/>
      <c r="N225" s="21"/>
      <c r="O225" s="31"/>
      <c r="P225" s="20"/>
      <c r="Q225" s="31"/>
      <c r="R225" s="20"/>
      <c r="S225" s="20"/>
      <c r="T225" s="20"/>
      <c r="U225" s="20"/>
      <c r="V225" s="20"/>
      <c r="W225" s="20"/>
      <c r="X225" s="20"/>
      <c r="Y225" s="20"/>
      <c r="Z225" s="20"/>
    </row>
    <row r="226" spans="1:26" ht="9.75" customHeight="1" x14ac:dyDescent="0.25">
      <c r="A226" s="20"/>
      <c r="B226" s="21"/>
      <c r="C226" s="20"/>
      <c r="D226" s="22"/>
      <c r="E226" s="20"/>
      <c r="F226" s="20"/>
      <c r="G226" s="20"/>
      <c r="H226" s="20"/>
      <c r="I226" s="22"/>
      <c r="J226" s="20"/>
      <c r="K226" s="20"/>
      <c r="L226" s="20"/>
      <c r="M226" s="20"/>
      <c r="N226" s="21"/>
      <c r="O226" s="31"/>
      <c r="P226" s="20"/>
      <c r="Q226" s="31"/>
      <c r="R226" s="20"/>
      <c r="S226" s="20"/>
      <c r="T226" s="20"/>
      <c r="U226" s="20"/>
      <c r="V226" s="20"/>
      <c r="W226" s="20"/>
      <c r="X226" s="20"/>
      <c r="Y226" s="20"/>
      <c r="Z226" s="20"/>
    </row>
    <row r="227" spans="1:26" ht="9.75" customHeight="1" x14ac:dyDescent="0.25">
      <c r="A227" s="20"/>
      <c r="B227" s="21"/>
      <c r="C227" s="20"/>
      <c r="D227" s="22"/>
      <c r="E227" s="20"/>
      <c r="F227" s="20"/>
      <c r="G227" s="20"/>
      <c r="H227" s="20"/>
      <c r="I227" s="22"/>
      <c r="J227" s="20"/>
      <c r="K227" s="20"/>
      <c r="L227" s="20"/>
      <c r="M227" s="20"/>
      <c r="N227" s="21"/>
      <c r="O227" s="31"/>
      <c r="P227" s="20"/>
      <c r="Q227" s="31"/>
      <c r="R227" s="20"/>
      <c r="S227" s="20"/>
      <c r="T227" s="20"/>
      <c r="U227" s="20"/>
      <c r="V227" s="20"/>
      <c r="W227" s="20"/>
      <c r="X227" s="20"/>
      <c r="Y227" s="20"/>
      <c r="Z227" s="20"/>
    </row>
    <row r="228" spans="1:26" ht="9.75" customHeight="1" x14ac:dyDescent="0.25">
      <c r="A228" s="20"/>
      <c r="B228" s="21"/>
      <c r="C228" s="20"/>
      <c r="D228" s="22"/>
      <c r="E228" s="20"/>
      <c r="F228" s="20"/>
      <c r="G228" s="20"/>
      <c r="H228" s="20"/>
      <c r="I228" s="22"/>
      <c r="J228" s="20"/>
      <c r="K228" s="20"/>
      <c r="L228" s="20"/>
      <c r="M228" s="20"/>
      <c r="N228" s="21"/>
      <c r="O228" s="31"/>
      <c r="P228" s="20"/>
      <c r="Q228" s="31"/>
      <c r="R228" s="20"/>
      <c r="S228" s="20"/>
      <c r="T228" s="20"/>
      <c r="U228" s="20"/>
      <c r="V228" s="20"/>
      <c r="W228" s="20"/>
      <c r="X228" s="20"/>
      <c r="Y228" s="20"/>
      <c r="Z228" s="20"/>
    </row>
    <row r="229" spans="1:26" ht="9.75" customHeight="1" x14ac:dyDescent="0.25">
      <c r="A229" s="20"/>
      <c r="B229" s="21"/>
      <c r="C229" s="20"/>
      <c r="D229" s="22"/>
      <c r="E229" s="20"/>
      <c r="F229" s="20"/>
      <c r="G229" s="20"/>
      <c r="H229" s="20"/>
      <c r="I229" s="22"/>
      <c r="J229" s="20"/>
      <c r="K229" s="20"/>
      <c r="L229" s="20"/>
      <c r="M229" s="20"/>
      <c r="N229" s="21"/>
      <c r="O229" s="31"/>
      <c r="P229" s="20"/>
      <c r="Q229" s="31"/>
      <c r="R229" s="20"/>
      <c r="S229" s="20"/>
      <c r="T229" s="20"/>
      <c r="U229" s="20"/>
      <c r="V229" s="20"/>
      <c r="W229" s="20"/>
      <c r="X229" s="20"/>
      <c r="Y229" s="20"/>
      <c r="Z229" s="20"/>
    </row>
    <row r="230" spans="1:26" ht="9.75" customHeight="1" x14ac:dyDescent="0.25">
      <c r="A230" s="20"/>
      <c r="B230" s="21"/>
      <c r="C230" s="20"/>
      <c r="D230" s="22"/>
      <c r="E230" s="20"/>
      <c r="F230" s="20"/>
      <c r="G230" s="20"/>
      <c r="H230" s="20"/>
      <c r="I230" s="22"/>
      <c r="J230" s="20"/>
      <c r="K230" s="20"/>
      <c r="L230" s="20"/>
      <c r="M230" s="20"/>
      <c r="N230" s="21"/>
      <c r="O230" s="31"/>
      <c r="P230" s="20"/>
      <c r="Q230" s="31"/>
      <c r="R230" s="20"/>
      <c r="S230" s="20"/>
      <c r="T230" s="20"/>
      <c r="U230" s="20"/>
      <c r="V230" s="20"/>
      <c r="W230" s="20"/>
      <c r="X230" s="20"/>
      <c r="Y230" s="20"/>
      <c r="Z230" s="20"/>
    </row>
    <row r="231" spans="1:26" ht="9.75" customHeight="1" x14ac:dyDescent="0.25">
      <c r="A231" s="20"/>
      <c r="B231" s="21"/>
      <c r="C231" s="20"/>
      <c r="D231" s="22"/>
      <c r="E231" s="20"/>
      <c r="F231" s="20"/>
      <c r="G231" s="20"/>
      <c r="H231" s="20"/>
      <c r="I231" s="22"/>
      <c r="J231" s="20"/>
      <c r="K231" s="20"/>
      <c r="L231" s="20"/>
      <c r="M231" s="20"/>
      <c r="N231" s="21"/>
      <c r="O231" s="31"/>
      <c r="P231" s="20"/>
      <c r="Q231" s="31"/>
      <c r="R231" s="20"/>
      <c r="S231" s="20"/>
      <c r="T231" s="20"/>
      <c r="U231" s="20"/>
      <c r="V231" s="20"/>
      <c r="W231" s="20"/>
      <c r="X231" s="20"/>
      <c r="Y231" s="20"/>
      <c r="Z231" s="20"/>
    </row>
    <row r="232" spans="1:26" ht="9.75" customHeight="1" x14ac:dyDescent="0.25">
      <c r="A232" s="20"/>
      <c r="B232" s="21"/>
      <c r="C232" s="20"/>
      <c r="D232" s="22"/>
      <c r="E232" s="20"/>
      <c r="F232" s="20"/>
      <c r="G232" s="20"/>
      <c r="H232" s="20"/>
      <c r="I232" s="22"/>
      <c r="J232" s="20"/>
      <c r="K232" s="20"/>
      <c r="L232" s="20"/>
      <c r="M232" s="20"/>
      <c r="N232" s="21"/>
      <c r="O232" s="31"/>
      <c r="P232" s="20"/>
      <c r="Q232" s="31"/>
      <c r="R232" s="20"/>
      <c r="S232" s="20"/>
      <c r="T232" s="20"/>
      <c r="U232" s="20"/>
      <c r="V232" s="20"/>
      <c r="W232" s="20"/>
      <c r="X232" s="20"/>
      <c r="Y232" s="20"/>
      <c r="Z232" s="20"/>
    </row>
    <row r="233" spans="1:26" ht="9.75" customHeight="1" x14ac:dyDescent="0.25">
      <c r="A233" s="20"/>
      <c r="B233" s="21"/>
      <c r="C233" s="20"/>
      <c r="D233" s="22"/>
      <c r="E233" s="20"/>
      <c r="F233" s="20"/>
      <c r="G233" s="20"/>
      <c r="H233" s="20"/>
      <c r="I233" s="22"/>
      <c r="J233" s="20"/>
      <c r="K233" s="20"/>
      <c r="L233" s="20"/>
      <c r="M233" s="20"/>
      <c r="N233" s="21"/>
      <c r="O233" s="31"/>
      <c r="P233" s="20"/>
      <c r="Q233" s="31"/>
      <c r="R233" s="20"/>
      <c r="S233" s="20"/>
      <c r="T233" s="20"/>
      <c r="U233" s="20"/>
      <c r="V233" s="20"/>
      <c r="W233" s="20"/>
      <c r="X233" s="20"/>
      <c r="Y233" s="20"/>
      <c r="Z233" s="20"/>
    </row>
    <row r="234" spans="1:26" ht="9.75" customHeight="1" x14ac:dyDescent="0.25">
      <c r="A234" s="20"/>
      <c r="B234" s="21"/>
      <c r="C234" s="20"/>
      <c r="D234" s="22"/>
      <c r="E234" s="20"/>
      <c r="F234" s="20"/>
      <c r="G234" s="20"/>
      <c r="H234" s="20"/>
      <c r="I234" s="22"/>
      <c r="J234" s="20"/>
      <c r="K234" s="20"/>
      <c r="L234" s="20"/>
      <c r="M234" s="20"/>
      <c r="N234" s="21"/>
      <c r="O234" s="31"/>
      <c r="P234" s="20"/>
      <c r="Q234" s="31"/>
      <c r="R234" s="20"/>
      <c r="S234" s="20"/>
      <c r="T234" s="20"/>
      <c r="U234" s="20"/>
      <c r="V234" s="20"/>
      <c r="W234" s="20"/>
      <c r="X234" s="20"/>
      <c r="Y234" s="20"/>
      <c r="Z234" s="20"/>
    </row>
    <row r="235" spans="1:26" ht="9.75" customHeight="1" x14ac:dyDescent="0.25">
      <c r="A235" s="20"/>
      <c r="B235" s="21"/>
      <c r="C235" s="20"/>
      <c r="D235" s="22"/>
      <c r="E235" s="20"/>
      <c r="F235" s="20"/>
      <c r="G235" s="20"/>
      <c r="H235" s="20"/>
      <c r="I235" s="22"/>
      <c r="J235" s="20"/>
      <c r="K235" s="20"/>
      <c r="L235" s="20"/>
      <c r="M235" s="20"/>
      <c r="N235" s="21"/>
      <c r="O235" s="31"/>
      <c r="P235" s="20"/>
      <c r="Q235" s="31"/>
      <c r="R235" s="20"/>
      <c r="S235" s="20"/>
      <c r="T235" s="20"/>
      <c r="U235" s="20"/>
      <c r="V235" s="20"/>
      <c r="W235" s="20"/>
      <c r="X235" s="20"/>
      <c r="Y235" s="20"/>
      <c r="Z235" s="20"/>
    </row>
    <row r="236" spans="1:26" ht="9.75" customHeight="1" x14ac:dyDescent="0.25">
      <c r="A236" s="20"/>
      <c r="B236" s="21"/>
      <c r="C236" s="20"/>
      <c r="D236" s="22"/>
      <c r="E236" s="20"/>
      <c r="F236" s="20"/>
      <c r="G236" s="20"/>
      <c r="H236" s="20"/>
      <c r="I236" s="22"/>
      <c r="J236" s="20"/>
      <c r="K236" s="20"/>
      <c r="L236" s="20"/>
      <c r="M236" s="20"/>
      <c r="N236" s="21"/>
      <c r="O236" s="31"/>
      <c r="P236" s="20"/>
      <c r="Q236" s="31"/>
      <c r="R236" s="20"/>
      <c r="S236" s="20"/>
      <c r="T236" s="20"/>
      <c r="U236" s="20"/>
      <c r="V236" s="20"/>
      <c r="W236" s="20"/>
      <c r="X236" s="20"/>
      <c r="Y236" s="20"/>
      <c r="Z236" s="20"/>
    </row>
    <row r="237" spans="1:26" ht="9.75" customHeight="1" x14ac:dyDescent="0.25">
      <c r="A237" s="20"/>
      <c r="B237" s="21"/>
      <c r="C237" s="20"/>
      <c r="D237" s="22"/>
      <c r="E237" s="20"/>
      <c r="F237" s="20"/>
      <c r="G237" s="20"/>
      <c r="H237" s="20"/>
      <c r="I237" s="22"/>
      <c r="J237" s="20"/>
      <c r="K237" s="20"/>
      <c r="L237" s="20"/>
      <c r="M237" s="20"/>
      <c r="N237" s="21"/>
      <c r="O237" s="31"/>
      <c r="P237" s="20"/>
      <c r="Q237" s="31"/>
      <c r="R237" s="20"/>
      <c r="S237" s="20"/>
      <c r="T237" s="20"/>
      <c r="U237" s="20"/>
      <c r="V237" s="20"/>
      <c r="W237" s="20"/>
      <c r="X237" s="20"/>
      <c r="Y237" s="20"/>
      <c r="Z237" s="20"/>
    </row>
    <row r="238" spans="1:26" ht="9.75" customHeight="1" x14ac:dyDescent="0.25">
      <c r="A238" s="20"/>
      <c r="B238" s="21"/>
      <c r="C238" s="20"/>
      <c r="D238" s="22"/>
      <c r="E238" s="20"/>
      <c r="F238" s="20"/>
      <c r="G238" s="20"/>
      <c r="H238" s="20"/>
      <c r="I238" s="22"/>
      <c r="J238" s="20"/>
      <c r="K238" s="20"/>
      <c r="L238" s="20"/>
      <c r="M238" s="20"/>
      <c r="N238" s="21"/>
      <c r="O238" s="31"/>
      <c r="P238" s="20"/>
      <c r="Q238" s="31"/>
      <c r="R238" s="20"/>
      <c r="S238" s="20"/>
      <c r="T238" s="20"/>
      <c r="U238" s="20"/>
      <c r="V238" s="20"/>
      <c r="W238" s="20"/>
      <c r="X238" s="20"/>
      <c r="Y238" s="20"/>
      <c r="Z238" s="20"/>
    </row>
    <row r="239" spans="1:26" ht="9.75" customHeight="1" x14ac:dyDescent="0.25">
      <c r="A239" s="20"/>
      <c r="B239" s="21"/>
      <c r="C239" s="20"/>
      <c r="D239" s="22"/>
      <c r="E239" s="20"/>
      <c r="F239" s="20"/>
      <c r="G239" s="20"/>
      <c r="H239" s="20"/>
      <c r="I239" s="22"/>
      <c r="J239" s="20"/>
      <c r="K239" s="20"/>
      <c r="L239" s="20"/>
      <c r="M239" s="20"/>
      <c r="N239" s="21"/>
      <c r="O239" s="31"/>
      <c r="P239" s="20"/>
      <c r="Q239" s="31"/>
      <c r="R239" s="20"/>
      <c r="S239" s="20"/>
      <c r="T239" s="20"/>
      <c r="U239" s="20"/>
      <c r="V239" s="20"/>
      <c r="W239" s="20"/>
      <c r="X239" s="20"/>
      <c r="Y239" s="20"/>
      <c r="Z239" s="20"/>
    </row>
    <row r="240" spans="1:26" ht="9.75" customHeight="1" x14ac:dyDescent="0.25">
      <c r="A240" s="20"/>
      <c r="B240" s="21"/>
      <c r="C240" s="20"/>
      <c r="D240" s="22"/>
      <c r="E240" s="20"/>
      <c r="F240" s="20"/>
      <c r="G240" s="20"/>
      <c r="H240" s="20"/>
      <c r="I240" s="22"/>
      <c r="J240" s="20"/>
      <c r="K240" s="20"/>
      <c r="L240" s="20"/>
      <c r="M240" s="20"/>
      <c r="N240" s="21"/>
      <c r="O240" s="31"/>
      <c r="P240" s="20"/>
      <c r="Q240" s="31"/>
      <c r="R240" s="20"/>
      <c r="S240" s="20"/>
      <c r="T240" s="20"/>
      <c r="U240" s="20"/>
      <c r="V240" s="20"/>
      <c r="W240" s="20"/>
      <c r="X240" s="20"/>
      <c r="Y240" s="20"/>
      <c r="Z240" s="20"/>
    </row>
    <row r="241" spans="1:26" ht="9.75" customHeight="1" x14ac:dyDescent="0.25">
      <c r="A241" s="20"/>
      <c r="B241" s="21"/>
      <c r="C241" s="20"/>
      <c r="D241" s="22"/>
      <c r="E241" s="20"/>
      <c r="F241" s="20"/>
      <c r="G241" s="20"/>
      <c r="H241" s="20"/>
      <c r="I241" s="22"/>
      <c r="J241" s="20"/>
      <c r="K241" s="20"/>
      <c r="L241" s="20"/>
      <c r="M241" s="20"/>
      <c r="N241" s="21"/>
      <c r="O241" s="31"/>
      <c r="P241" s="20"/>
      <c r="Q241" s="31"/>
      <c r="R241" s="20"/>
      <c r="S241" s="20"/>
      <c r="T241" s="20"/>
      <c r="U241" s="20"/>
      <c r="V241" s="20"/>
      <c r="W241" s="20"/>
      <c r="X241" s="20"/>
      <c r="Y241" s="20"/>
      <c r="Z241" s="20"/>
    </row>
    <row r="242" spans="1:26" ht="9.75" customHeight="1" x14ac:dyDescent="0.25">
      <c r="A242" s="20"/>
      <c r="B242" s="21"/>
      <c r="C242" s="20"/>
      <c r="D242" s="22"/>
      <c r="E242" s="20"/>
      <c r="F242" s="20"/>
      <c r="G242" s="20"/>
      <c r="H242" s="20"/>
      <c r="I242" s="22"/>
      <c r="J242" s="20"/>
      <c r="K242" s="20"/>
      <c r="L242" s="20"/>
      <c r="M242" s="20"/>
      <c r="N242" s="21"/>
      <c r="O242" s="31"/>
      <c r="P242" s="20"/>
      <c r="Q242" s="31"/>
      <c r="R242" s="20"/>
      <c r="S242" s="20"/>
      <c r="T242" s="20"/>
      <c r="U242" s="20"/>
      <c r="V242" s="20"/>
      <c r="W242" s="20"/>
      <c r="X242" s="20"/>
      <c r="Y242" s="20"/>
      <c r="Z242" s="20"/>
    </row>
    <row r="243" spans="1:26" ht="9.75" customHeight="1" x14ac:dyDescent="0.25">
      <c r="A243" s="20"/>
      <c r="B243" s="21"/>
      <c r="C243" s="20"/>
      <c r="D243" s="22"/>
      <c r="E243" s="20"/>
      <c r="F243" s="20"/>
      <c r="G243" s="20"/>
      <c r="H243" s="20"/>
      <c r="I243" s="22"/>
      <c r="J243" s="20"/>
      <c r="K243" s="20"/>
      <c r="L243" s="20"/>
      <c r="M243" s="20"/>
      <c r="N243" s="21"/>
      <c r="O243" s="31"/>
      <c r="P243" s="20"/>
      <c r="Q243" s="31"/>
      <c r="R243" s="20"/>
      <c r="S243" s="20"/>
      <c r="T243" s="20"/>
      <c r="U243" s="20"/>
      <c r="V243" s="20"/>
      <c r="W243" s="20"/>
      <c r="X243" s="20"/>
      <c r="Y243" s="20"/>
      <c r="Z243" s="20"/>
    </row>
    <row r="244" spans="1:26" ht="9.75" customHeight="1" x14ac:dyDescent="0.25">
      <c r="A244" s="20"/>
      <c r="B244" s="21"/>
      <c r="C244" s="20"/>
      <c r="D244" s="22"/>
      <c r="E244" s="20"/>
      <c r="F244" s="20"/>
      <c r="G244" s="20"/>
      <c r="H244" s="20"/>
      <c r="I244" s="22"/>
      <c r="J244" s="20"/>
      <c r="K244" s="20"/>
      <c r="L244" s="20"/>
      <c r="M244" s="20"/>
      <c r="N244" s="21"/>
      <c r="O244" s="31"/>
      <c r="P244" s="20"/>
      <c r="Q244" s="31"/>
      <c r="R244" s="20"/>
      <c r="S244" s="20"/>
      <c r="T244" s="20"/>
      <c r="U244" s="20"/>
      <c r="V244" s="20"/>
      <c r="W244" s="20"/>
      <c r="X244" s="20"/>
      <c r="Y244" s="20"/>
      <c r="Z244" s="20"/>
    </row>
    <row r="245" spans="1:26" ht="9.75" customHeight="1" x14ac:dyDescent="0.25">
      <c r="A245" s="20"/>
      <c r="B245" s="21"/>
      <c r="C245" s="20"/>
      <c r="D245" s="22"/>
      <c r="E245" s="20"/>
      <c r="F245" s="20"/>
      <c r="G245" s="20"/>
      <c r="H245" s="20"/>
      <c r="I245" s="22"/>
      <c r="J245" s="20"/>
      <c r="K245" s="20"/>
      <c r="L245" s="20"/>
      <c r="M245" s="20"/>
      <c r="N245" s="21"/>
      <c r="O245" s="31"/>
      <c r="P245" s="20"/>
      <c r="Q245" s="31"/>
      <c r="R245" s="20"/>
      <c r="S245" s="20"/>
      <c r="T245" s="20"/>
      <c r="U245" s="20"/>
      <c r="V245" s="20"/>
      <c r="W245" s="20"/>
      <c r="X245" s="20"/>
      <c r="Y245" s="20"/>
      <c r="Z245" s="20"/>
    </row>
    <row r="246" spans="1:26" ht="9.75" customHeight="1" x14ac:dyDescent="0.25">
      <c r="A246" s="20"/>
      <c r="B246" s="21"/>
      <c r="C246" s="20"/>
      <c r="D246" s="22"/>
      <c r="E246" s="20"/>
      <c r="F246" s="20"/>
      <c r="G246" s="20"/>
      <c r="H246" s="20"/>
      <c r="I246" s="22"/>
      <c r="J246" s="20"/>
      <c r="K246" s="20"/>
      <c r="L246" s="20"/>
      <c r="M246" s="20"/>
      <c r="N246" s="21"/>
      <c r="O246" s="31"/>
      <c r="P246" s="20"/>
      <c r="Q246" s="31"/>
      <c r="R246" s="20"/>
      <c r="S246" s="20"/>
      <c r="T246" s="20"/>
      <c r="U246" s="20"/>
      <c r="V246" s="20"/>
      <c r="W246" s="20"/>
      <c r="X246" s="20"/>
      <c r="Y246" s="20"/>
      <c r="Z246" s="20"/>
    </row>
    <row r="247" spans="1:26" ht="9.75" customHeight="1" x14ac:dyDescent="0.25">
      <c r="A247" s="20"/>
      <c r="B247" s="21"/>
      <c r="C247" s="20"/>
      <c r="D247" s="22"/>
      <c r="E247" s="20"/>
      <c r="F247" s="20"/>
      <c r="G247" s="20"/>
      <c r="H247" s="20"/>
      <c r="I247" s="22"/>
      <c r="J247" s="20"/>
      <c r="K247" s="20"/>
      <c r="L247" s="20"/>
      <c r="M247" s="20"/>
      <c r="N247" s="21"/>
      <c r="O247" s="31"/>
      <c r="P247" s="20"/>
      <c r="Q247" s="31"/>
      <c r="R247" s="20"/>
      <c r="S247" s="20"/>
      <c r="T247" s="20"/>
      <c r="U247" s="20"/>
      <c r="V247" s="20"/>
      <c r="W247" s="20"/>
      <c r="X247" s="20"/>
      <c r="Y247" s="20"/>
      <c r="Z247" s="20"/>
    </row>
    <row r="248" spans="1:26" ht="9.75" customHeight="1" x14ac:dyDescent="0.25">
      <c r="A248" s="20"/>
      <c r="B248" s="21"/>
      <c r="C248" s="20"/>
      <c r="D248" s="22"/>
      <c r="E248" s="20"/>
      <c r="F248" s="20"/>
      <c r="G248" s="20"/>
      <c r="H248" s="20"/>
      <c r="I248" s="22"/>
      <c r="J248" s="20"/>
      <c r="K248" s="20"/>
      <c r="L248" s="20"/>
      <c r="M248" s="20"/>
      <c r="N248" s="21"/>
      <c r="O248" s="31"/>
      <c r="P248" s="20"/>
      <c r="Q248" s="31"/>
      <c r="R248" s="20"/>
      <c r="S248" s="20"/>
      <c r="T248" s="20"/>
      <c r="U248" s="20"/>
      <c r="V248" s="20"/>
      <c r="W248" s="20"/>
      <c r="X248" s="20"/>
      <c r="Y248" s="20"/>
      <c r="Z248" s="20"/>
    </row>
    <row r="249" spans="1:26" ht="9.75" customHeight="1" x14ac:dyDescent="0.25">
      <c r="A249" s="20"/>
      <c r="B249" s="21"/>
      <c r="C249" s="20"/>
      <c r="D249" s="22"/>
      <c r="E249" s="20"/>
      <c r="F249" s="20"/>
      <c r="G249" s="20"/>
      <c r="H249" s="20"/>
      <c r="I249" s="22"/>
      <c r="J249" s="20"/>
      <c r="K249" s="20"/>
      <c r="L249" s="20"/>
      <c r="M249" s="20"/>
      <c r="N249" s="21"/>
      <c r="O249" s="31"/>
      <c r="P249" s="20"/>
      <c r="Q249" s="31"/>
      <c r="R249" s="20"/>
      <c r="S249" s="20"/>
      <c r="T249" s="20"/>
      <c r="U249" s="20"/>
      <c r="V249" s="20"/>
      <c r="W249" s="20"/>
      <c r="X249" s="20"/>
      <c r="Y249" s="20"/>
      <c r="Z249" s="20"/>
    </row>
    <row r="250" spans="1:26" ht="9.75" customHeight="1" x14ac:dyDescent="0.25">
      <c r="A250" s="20"/>
      <c r="B250" s="21"/>
      <c r="C250" s="20"/>
      <c r="D250" s="22"/>
      <c r="E250" s="20"/>
      <c r="F250" s="20"/>
      <c r="G250" s="20"/>
      <c r="H250" s="20"/>
      <c r="I250" s="22"/>
      <c r="J250" s="20"/>
      <c r="K250" s="20"/>
      <c r="L250" s="20"/>
      <c r="M250" s="20"/>
      <c r="N250" s="21"/>
      <c r="O250" s="31"/>
      <c r="P250" s="20"/>
      <c r="Q250" s="31"/>
      <c r="R250" s="20"/>
      <c r="S250" s="20"/>
      <c r="T250" s="20"/>
      <c r="U250" s="20"/>
      <c r="V250" s="20"/>
      <c r="W250" s="20"/>
      <c r="X250" s="20"/>
      <c r="Y250" s="20"/>
      <c r="Z250" s="20"/>
    </row>
    <row r="251" spans="1:26" ht="9.75" customHeight="1" x14ac:dyDescent="0.25">
      <c r="A251" s="20"/>
      <c r="B251" s="21"/>
      <c r="C251" s="20"/>
      <c r="D251" s="22"/>
      <c r="E251" s="20"/>
      <c r="F251" s="20"/>
      <c r="G251" s="20"/>
      <c r="H251" s="20"/>
      <c r="I251" s="22"/>
      <c r="J251" s="20"/>
      <c r="K251" s="20"/>
      <c r="L251" s="20"/>
      <c r="M251" s="20"/>
      <c r="N251" s="21"/>
      <c r="O251" s="31"/>
      <c r="P251" s="20"/>
      <c r="Q251" s="31"/>
      <c r="R251" s="20"/>
      <c r="S251" s="20"/>
      <c r="T251" s="20"/>
      <c r="U251" s="20"/>
      <c r="V251" s="20"/>
      <c r="W251" s="20"/>
      <c r="X251" s="20"/>
      <c r="Y251" s="20"/>
      <c r="Z251" s="20"/>
    </row>
    <row r="252" spans="1:26" ht="9.75" customHeight="1" x14ac:dyDescent="0.25">
      <c r="A252" s="20"/>
      <c r="B252" s="21"/>
      <c r="C252" s="20"/>
      <c r="D252" s="22"/>
      <c r="E252" s="20"/>
      <c r="F252" s="20"/>
      <c r="G252" s="20"/>
      <c r="H252" s="20"/>
      <c r="I252" s="22"/>
      <c r="J252" s="20"/>
      <c r="K252" s="20"/>
      <c r="L252" s="20"/>
      <c r="M252" s="20"/>
      <c r="N252" s="21"/>
      <c r="O252" s="31"/>
      <c r="P252" s="20"/>
      <c r="Q252" s="31"/>
      <c r="R252" s="20"/>
      <c r="S252" s="20"/>
      <c r="T252" s="20"/>
      <c r="U252" s="20"/>
      <c r="V252" s="20"/>
      <c r="W252" s="20"/>
      <c r="X252" s="20"/>
      <c r="Y252" s="20"/>
      <c r="Z252" s="20"/>
    </row>
    <row r="253" spans="1:26" ht="9.75" customHeight="1" x14ac:dyDescent="0.25">
      <c r="A253" s="20"/>
      <c r="B253" s="21"/>
      <c r="C253" s="20"/>
      <c r="D253" s="22"/>
      <c r="E253" s="20"/>
      <c r="F253" s="20"/>
      <c r="G253" s="20"/>
      <c r="H253" s="20"/>
      <c r="I253" s="22"/>
      <c r="J253" s="20"/>
      <c r="K253" s="20"/>
      <c r="L253" s="20"/>
      <c r="M253" s="20"/>
      <c r="N253" s="21"/>
      <c r="O253" s="31"/>
      <c r="P253" s="20"/>
      <c r="Q253" s="31"/>
      <c r="R253" s="20"/>
      <c r="S253" s="20"/>
      <c r="T253" s="20"/>
      <c r="U253" s="20"/>
      <c r="V253" s="20"/>
      <c r="W253" s="20"/>
      <c r="X253" s="20"/>
      <c r="Y253" s="20"/>
      <c r="Z253" s="20"/>
    </row>
    <row r="254" spans="1:26" ht="9.75" customHeight="1" x14ac:dyDescent="0.25">
      <c r="A254" s="20"/>
      <c r="B254" s="21"/>
      <c r="C254" s="20"/>
      <c r="D254" s="22"/>
      <c r="E254" s="20"/>
      <c r="F254" s="20"/>
      <c r="G254" s="20"/>
      <c r="H254" s="20"/>
      <c r="I254" s="22"/>
      <c r="J254" s="20"/>
      <c r="K254" s="20"/>
      <c r="L254" s="20"/>
      <c r="M254" s="20"/>
      <c r="N254" s="21"/>
      <c r="O254" s="31"/>
      <c r="P254" s="20"/>
      <c r="Q254" s="31"/>
      <c r="R254" s="20"/>
      <c r="S254" s="20"/>
      <c r="T254" s="20"/>
      <c r="U254" s="20"/>
      <c r="V254" s="20"/>
      <c r="W254" s="20"/>
      <c r="X254" s="20"/>
      <c r="Y254" s="20"/>
      <c r="Z254" s="20"/>
    </row>
    <row r="255" spans="1:26" ht="9.75" customHeight="1" x14ac:dyDescent="0.25">
      <c r="A255" s="20"/>
      <c r="B255" s="21"/>
      <c r="C255" s="20"/>
      <c r="D255" s="22"/>
      <c r="E255" s="20"/>
      <c r="F255" s="20"/>
      <c r="G255" s="20"/>
      <c r="H255" s="20"/>
      <c r="I255" s="22"/>
      <c r="J255" s="20"/>
      <c r="K255" s="20"/>
      <c r="L255" s="20"/>
      <c r="M255" s="20"/>
      <c r="N255" s="21"/>
      <c r="O255" s="31"/>
      <c r="P255" s="20"/>
      <c r="Q255" s="31"/>
      <c r="R255" s="20"/>
      <c r="S255" s="20"/>
      <c r="T255" s="20"/>
      <c r="U255" s="20"/>
      <c r="V255" s="20"/>
      <c r="W255" s="20"/>
      <c r="X255" s="20"/>
      <c r="Y255" s="20"/>
      <c r="Z255" s="20"/>
    </row>
    <row r="256" spans="1:26" ht="9.75" customHeight="1" x14ac:dyDescent="0.25">
      <c r="A256" s="20"/>
      <c r="B256" s="21"/>
      <c r="C256" s="20"/>
      <c r="D256" s="22"/>
      <c r="E256" s="20"/>
      <c r="F256" s="20"/>
      <c r="G256" s="20"/>
      <c r="H256" s="20"/>
      <c r="I256" s="22"/>
      <c r="J256" s="20"/>
      <c r="K256" s="20"/>
      <c r="L256" s="20"/>
      <c r="M256" s="20"/>
      <c r="N256" s="21"/>
      <c r="O256" s="31"/>
      <c r="P256" s="20"/>
      <c r="Q256" s="31"/>
      <c r="R256" s="20"/>
      <c r="S256" s="20"/>
      <c r="T256" s="20"/>
      <c r="U256" s="20"/>
      <c r="V256" s="20"/>
      <c r="W256" s="20"/>
      <c r="X256" s="20"/>
      <c r="Y256" s="20"/>
      <c r="Z256" s="20"/>
    </row>
    <row r="257" spans="1:26" ht="9.75" customHeight="1" x14ac:dyDescent="0.25">
      <c r="A257" s="20"/>
      <c r="B257" s="21"/>
      <c r="C257" s="20"/>
      <c r="D257" s="22"/>
      <c r="E257" s="20"/>
      <c r="F257" s="20"/>
      <c r="G257" s="20"/>
      <c r="H257" s="20"/>
      <c r="I257" s="22"/>
      <c r="J257" s="20"/>
      <c r="K257" s="20"/>
      <c r="L257" s="20"/>
      <c r="M257" s="20"/>
      <c r="N257" s="21"/>
      <c r="O257" s="31"/>
      <c r="P257" s="20"/>
      <c r="Q257" s="31"/>
      <c r="R257" s="20"/>
      <c r="S257" s="20"/>
      <c r="T257" s="20"/>
      <c r="U257" s="20"/>
      <c r="V257" s="20"/>
      <c r="W257" s="20"/>
      <c r="X257" s="20"/>
      <c r="Y257" s="20"/>
      <c r="Z257" s="20"/>
    </row>
    <row r="258" spans="1:26" ht="9.75" customHeight="1" x14ac:dyDescent="0.25">
      <c r="A258" s="20"/>
      <c r="B258" s="21"/>
      <c r="C258" s="20"/>
      <c r="D258" s="22"/>
      <c r="E258" s="20"/>
      <c r="F258" s="20"/>
      <c r="G258" s="20"/>
      <c r="H258" s="20"/>
      <c r="I258" s="22"/>
      <c r="J258" s="20"/>
      <c r="K258" s="20"/>
      <c r="L258" s="20"/>
      <c r="M258" s="20"/>
      <c r="N258" s="21"/>
      <c r="O258" s="31"/>
      <c r="P258" s="20"/>
      <c r="Q258" s="31"/>
      <c r="R258" s="20"/>
      <c r="S258" s="20"/>
      <c r="T258" s="20"/>
      <c r="U258" s="20"/>
      <c r="V258" s="20"/>
      <c r="W258" s="20"/>
      <c r="X258" s="20"/>
      <c r="Y258" s="20"/>
      <c r="Z258" s="20"/>
    </row>
    <row r="259" spans="1:26" ht="9.75" customHeight="1" x14ac:dyDescent="0.25">
      <c r="A259" s="20"/>
      <c r="B259" s="21"/>
      <c r="C259" s="20"/>
      <c r="D259" s="22"/>
      <c r="E259" s="20"/>
      <c r="F259" s="20"/>
      <c r="G259" s="20"/>
      <c r="H259" s="20"/>
      <c r="I259" s="22"/>
      <c r="J259" s="20"/>
      <c r="K259" s="20"/>
      <c r="L259" s="20"/>
      <c r="M259" s="20"/>
      <c r="N259" s="21"/>
      <c r="O259" s="31"/>
      <c r="P259" s="20"/>
      <c r="Q259" s="31"/>
      <c r="R259" s="20"/>
      <c r="S259" s="20"/>
      <c r="T259" s="20"/>
      <c r="U259" s="20"/>
      <c r="V259" s="20"/>
      <c r="W259" s="20"/>
      <c r="X259" s="20"/>
      <c r="Y259" s="20"/>
      <c r="Z259" s="20"/>
    </row>
    <row r="260" spans="1:26" ht="9.75" customHeight="1" x14ac:dyDescent="0.25">
      <c r="A260" s="20"/>
      <c r="B260" s="21"/>
      <c r="C260" s="20"/>
      <c r="D260" s="22"/>
      <c r="E260" s="20"/>
      <c r="F260" s="20"/>
      <c r="G260" s="20"/>
      <c r="H260" s="20"/>
      <c r="I260" s="22"/>
      <c r="J260" s="20"/>
      <c r="K260" s="20"/>
      <c r="L260" s="20"/>
      <c r="M260" s="20"/>
      <c r="N260" s="21"/>
      <c r="O260" s="31"/>
      <c r="P260" s="20"/>
      <c r="Q260" s="31"/>
      <c r="R260" s="20"/>
      <c r="S260" s="20"/>
      <c r="T260" s="20"/>
      <c r="U260" s="20"/>
      <c r="V260" s="20"/>
      <c r="W260" s="20"/>
      <c r="X260" s="20"/>
      <c r="Y260" s="20"/>
      <c r="Z260" s="20"/>
    </row>
    <row r="261" spans="1:26" ht="9.75" customHeight="1" x14ac:dyDescent="0.25">
      <c r="A261" s="20"/>
      <c r="B261" s="21"/>
      <c r="C261" s="20"/>
      <c r="D261" s="22"/>
      <c r="E261" s="20"/>
      <c r="F261" s="20"/>
      <c r="G261" s="20"/>
      <c r="H261" s="20"/>
      <c r="I261" s="22"/>
      <c r="J261" s="20"/>
      <c r="K261" s="20"/>
      <c r="L261" s="20"/>
      <c r="M261" s="20"/>
      <c r="N261" s="21"/>
      <c r="O261" s="31"/>
      <c r="P261" s="20"/>
      <c r="Q261" s="31"/>
      <c r="R261" s="20"/>
      <c r="S261" s="20"/>
      <c r="T261" s="20"/>
      <c r="U261" s="20"/>
      <c r="V261" s="20"/>
      <c r="W261" s="20"/>
      <c r="X261" s="20"/>
      <c r="Y261" s="20"/>
      <c r="Z261" s="20"/>
    </row>
    <row r="262" spans="1:26" ht="9.75" customHeight="1" x14ac:dyDescent="0.25">
      <c r="A262" s="20"/>
      <c r="B262" s="21"/>
      <c r="C262" s="20"/>
      <c r="D262" s="22"/>
      <c r="E262" s="20"/>
      <c r="F262" s="20"/>
      <c r="G262" s="20"/>
      <c r="H262" s="20"/>
      <c r="I262" s="22"/>
      <c r="J262" s="20"/>
      <c r="K262" s="20"/>
      <c r="L262" s="20"/>
      <c r="M262" s="20"/>
      <c r="N262" s="21"/>
      <c r="O262" s="31"/>
      <c r="P262" s="20"/>
      <c r="Q262" s="31"/>
      <c r="R262" s="20"/>
      <c r="S262" s="20"/>
      <c r="T262" s="20"/>
      <c r="U262" s="20"/>
      <c r="V262" s="20"/>
      <c r="W262" s="20"/>
      <c r="X262" s="20"/>
      <c r="Y262" s="20"/>
      <c r="Z262" s="20"/>
    </row>
    <row r="263" spans="1:26" ht="9.75" customHeight="1" x14ac:dyDescent="0.25">
      <c r="A263" s="20"/>
      <c r="B263" s="21"/>
      <c r="C263" s="20"/>
      <c r="D263" s="22"/>
      <c r="E263" s="20"/>
      <c r="F263" s="20"/>
      <c r="G263" s="20"/>
      <c r="H263" s="20"/>
      <c r="I263" s="22"/>
      <c r="J263" s="20"/>
      <c r="K263" s="20"/>
      <c r="L263" s="20"/>
      <c r="M263" s="20"/>
      <c r="N263" s="21"/>
      <c r="O263" s="31"/>
      <c r="P263" s="20"/>
      <c r="Q263" s="31"/>
      <c r="R263" s="20"/>
      <c r="S263" s="20"/>
      <c r="T263" s="20"/>
      <c r="U263" s="20"/>
      <c r="V263" s="20"/>
      <c r="W263" s="20"/>
      <c r="X263" s="20"/>
      <c r="Y263" s="20"/>
      <c r="Z263" s="20"/>
    </row>
    <row r="264" spans="1:26" ht="9.75" customHeight="1" x14ac:dyDescent="0.25">
      <c r="A264" s="20"/>
      <c r="B264" s="21"/>
      <c r="C264" s="20"/>
      <c r="D264" s="22"/>
      <c r="E264" s="20"/>
      <c r="F264" s="20"/>
      <c r="G264" s="20"/>
      <c r="H264" s="20"/>
      <c r="I264" s="22"/>
      <c r="J264" s="20"/>
      <c r="K264" s="20"/>
      <c r="L264" s="20"/>
      <c r="M264" s="20"/>
      <c r="N264" s="21"/>
      <c r="O264" s="31"/>
      <c r="P264" s="20"/>
      <c r="Q264" s="31"/>
      <c r="R264" s="20"/>
      <c r="S264" s="20"/>
      <c r="T264" s="20"/>
      <c r="U264" s="20"/>
      <c r="V264" s="20"/>
      <c r="W264" s="20"/>
      <c r="X264" s="20"/>
      <c r="Y264" s="20"/>
      <c r="Z264" s="20"/>
    </row>
    <row r="265" spans="1:26" ht="9.75" customHeight="1" x14ac:dyDescent="0.25">
      <c r="A265" s="20"/>
      <c r="B265" s="21"/>
      <c r="C265" s="20"/>
      <c r="D265" s="22"/>
      <c r="E265" s="20"/>
      <c r="F265" s="20"/>
      <c r="G265" s="20"/>
      <c r="H265" s="20"/>
      <c r="I265" s="22"/>
      <c r="J265" s="20"/>
      <c r="K265" s="20"/>
      <c r="L265" s="20"/>
      <c r="M265" s="20"/>
      <c r="N265" s="21"/>
      <c r="O265" s="31"/>
      <c r="P265" s="20"/>
      <c r="Q265" s="31"/>
      <c r="R265" s="20"/>
      <c r="S265" s="20"/>
      <c r="T265" s="20"/>
      <c r="U265" s="20"/>
      <c r="V265" s="20"/>
      <c r="W265" s="20"/>
      <c r="X265" s="20"/>
      <c r="Y265" s="20"/>
      <c r="Z265" s="20"/>
    </row>
    <row r="266" spans="1:26" ht="9.75" customHeight="1" x14ac:dyDescent="0.25">
      <c r="A266" s="20"/>
      <c r="B266" s="21"/>
      <c r="C266" s="20"/>
      <c r="D266" s="22"/>
      <c r="E266" s="20"/>
      <c r="F266" s="20"/>
      <c r="G266" s="20"/>
      <c r="H266" s="20"/>
      <c r="I266" s="22"/>
      <c r="J266" s="20"/>
      <c r="K266" s="20"/>
      <c r="L266" s="20"/>
      <c r="M266" s="20"/>
      <c r="N266" s="21"/>
      <c r="O266" s="31"/>
      <c r="P266" s="20"/>
      <c r="Q266" s="31"/>
      <c r="R266" s="20"/>
      <c r="S266" s="20"/>
      <c r="T266" s="20"/>
      <c r="U266" s="20"/>
      <c r="V266" s="20"/>
      <c r="W266" s="20"/>
      <c r="X266" s="20"/>
      <c r="Y266" s="20"/>
      <c r="Z266" s="20"/>
    </row>
    <row r="267" spans="1:26" ht="9.75" customHeight="1" x14ac:dyDescent="0.25">
      <c r="A267" s="20"/>
      <c r="B267" s="21"/>
      <c r="C267" s="20"/>
      <c r="D267" s="22"/>
      <c r="E267" s="20"/>
      <c r="F267" s="20"/>
      <c r="G267" s="20"/>
      <c r="H267" s="20"/>
      <c r="I267" s="22"/>
      <c r="J267" s="20"/>
      <c r="K267" s="20"/>
      <c r="L267" s="20"/>
      <c r="M267" s="20"/>
      <c r="N267" s="21"/>
      <c r="O267" s="31"/>
      <c r="P267" s="20"/>
      <c r="Q267" s="31"/>
      <c r="R267" s="20"/>
      <c r="S267" s="20"/>
      <c r="T267" s="20"/>
      <c r="U267" s="20"/>
      <c r="V267" s="20"/>
      <c r="W267" s="20"/>
      <c r="X267" s="20"/>
      <c r="Y267" s="20"/>
      <c r="Z267" s="20"/>
    </row>
    <row r="268" spans="1:26" ht="9.75" customHeight="1" x14ac:dyDescent="0.25">
      <c r="A268" s="20"/>
      <c r="B268" s="21"/>
      <c r="C268" s="20"/>
      <c r="D268" s="22"/>
      <c r="E268" s="20"/>
      <c r="F268" s="20"/>
      <c r="G268" s="20"/>
      <c r="H268" s="20"/>
      <c r="I268" s="22"/>
      <c r="J268" s="20"/>
      <c r="K268" s="20"/>
      <c r="L268" s="20"/>
      <c r="M268" s="20"/>
      <c r="N268" s="21"/>
      <c r="O268" s="31"/>
      <c r="P268" s="20"/>
      <c r="Q268" s="31"/>
      <c r="R268" s="20"/>
      <c r="S268" s="20"/>
      <c r="T268" s="20"/>
      <c r="U268" s="20"/>
      <c r="V268" s="20"/>
      <c r="W268" s="20"/>
      <c r="X268" s="20"/>
      <c r="Y268" s="20"/>
      <c r="Z268" s="20"/>
    </row>
    <row r="269" spans="1:26" ht="9.75" customHeight="1" x14ac:dyDescent="0.25">
      <c r="A269" s="20"/>
      <c r="B269" s="21"/>
      <c r="C269" s="20"/>
      <c r="D269" s="22"/>
      <c r="E269" s="20"/>
      <c r="F269" s="20"/>
      <c r="G269" s="20"/>
      <c r="H269" s="20"/>
      <c r="I269" s="22"/>
      <c r="J269" s="20"/>
      <c r="K269" s="20"/>
      <c r="L269" s="20"/>
      <c r="M269" s="20"/>
      <c r="N269" s="21"/>
      <c r="O269" s="31"/>
      <c r="P269" s="20"/>
      <c r="Q269" s="31"/>
      <c r="R269" s="20"/>
      <c r="S269" s="20"/>
      <c r="T269" s="20"/>
      <c r="U269" s="20"/>
      <c r="V269" s="20"/>
      <c r="W269" s="20"/>
      <c r="X269" s="20"/>
      <c r="Y269" s="20"/>
      <c r="Z269" s="20"/>
    </row>
    <row r="270" spans="1:26" ht="9.75" customHeight="1" x14ac:dyDescent="0.25">
      <c r="A270" s="20"/>
      <c r="B270" s="21"/>
      <c r="C270" s="20"/>
      <c r="D270" s="22"/>
      <c r="E270" s="20"/>
      <c r="F270" s="20"/>
      <c r="G270" s="20"/>
      <c r="H270" s="20"/>
      <c r="I270" s="22"/>
      <c r="J270" s="20"/>
      <c r="K270" s="20"/>
      <c r="L270" s="20"/>
      <c r="M270" s="20"/>
      <c r="N270" s="21"/>
      <c r="O270" s="31"/>
      <c r="P270" s="20"/>
      <c r="Q270" s="31"/>
      <c r="R270" s="20"/>
      <c r="S270" s="20"/>
      <c r="T270" s="20"/>
      <c r="U270" s="20"/>
      <c r="V270" s="20"/>
      <c r="W270" s="20"/>
      <c r="X270" s="20"/>
      <c r="Y270" s="20"/>
      <c r="Z270" s="20"/>
    </row>
    <row r="271" spans="1:26" ht="9.75" customHeight="1" x14ac:dyDescent="0.25">
      <c r="A271" s="20"/>
      <c r="B271" s="21"/>
      <c r="C271" s="20"/>
      <c r="D271" s="22"/>
      <c r="E271" s="20"/>
      <c r="F271" s="20"/>
      <c r="G271" s="20"/>
      <c r="H271" s="20"/>
      <c r="I271" s="22"/>
      <c r="J271" s="20"/>
      <c r="K271" s="20"/>
      <c r="L271" s="20"/>
      <c r="M271" s="20"/>
      <c r="N271" s="21"/>
      <c r="O271" s="31"/>
      <c r="P271" s="20"/>
      <c r="Q271" s="31"/>
      <c r="R271" s="20"/>
      <c r="S271" s="20"/>
      <c r="T271" s="20"/>
      <c r="U271" s="20"/>
      <c r="V271" s="20"/>
      <c r="W271" s="20"/>
      <c r="X271" s="20"/>
      <c r="Y271" s="20"/>
      <c r="Z271" s="20"/>
    </row>
    <row r="272" spans="1:26" ht="9.75" customHeight="1" x14ac:dyDescent="0.25">
      <c r="A272" s="20"/>
      <c r="B272" s="21"/>
      <c r="C272" s="20"/>
      <c r="D272" s="22"/>
      <c r="E272" s="20"/>
      <c r="F272" s="20"/>
      <c r="G272" s="20"/>
      <c r="H272" s="20"/>
      <c r="I272" s="22"/>
      <c r="J272" s="20"/>
      <c r="K272" s="20"/>
      <c r="L272" s="20"/>
      <c r="M272" s="20"/>
      <c r="N272" s="21"/>
      <c r="O272" s="31"/>
      <c r="P272" s="20"/>
      <c r="Q272" s="31"/>
      <c r="R272" s="20"/>
      <c r="S272" s="20"/>
      <c r="T272" s="20"/>
      <c r="U272" s="20"/>
      <c r="V272" s="20"/>
      <c r="W272" s="20"/>
      <c r="X272" s="20"/>
      <c r="Y272" s="20"/>
      <c r="Z272" s="20"/>
    </row>
    <row r="273" spans="1:26" ht="9.75" customHeight="1" x14ac:dyDescent="0.25">
      <c r="A273" s="20"/>
      <c r="B273" s="21"/>
      <c r="C273" s="20"/>
      <c r="D273" s="22"/>
      <c r="E273" s="20"/>
      <c r="F273" s="20"/>
      <c r="G273" s="20"/>
      <c r="H273" s="20"/>
      <c r="I273" s="22"/>
      <c r="J273" s="20"/>
      <c r="K273" s="20"/>
      <c r="L273" s="20"/>
      <c r="M273" s="20"/>
      <c r="N273" s="21"/>
      <c r="O273" s="31"/>
      <c r="P273" s="20"/>
      <c r="Q273" s="31"/>
      <c r="R273" s="20"/>
      <c r="S273" s="20"/>
      <c r="T273" s="20"/>
      <c r="U273" s="20"/>
      <c r="V273" s="20"/>
      <c r="W273" s="20"/>
      <c r="X273" s="20"/>
      <c r="Y273" s="20"/>
      <c r="Z273" s="20"/>
    </row>
    <row r="274" spans="1:26" ht="9.75" customHeight="1" x14ac:dyDescent="0.25">
      <c r="A274" s="20"/>
      <c r="B274" s="21"/>
      <c r="C274" s="20"/>
      <c r="D274" s="22"/>
      <c r="E274" s="20"/>
      <c r="F274" s="20"/>
      <c r="G274" s="20"/>
      <c r="H274" s="20"/>
      <c r="I274" s="22"/>
      <c r="J274" s="20"/>
      <c r="K274" s="20"/>
      <c r="L274" s="20"/>
      <c r="M274" s="20"/>
      <c r="N274" s="21"/>
      <c r="O274" s="31"/>
      <c r="P274" s="20"/>
      <c r="Q274" s="31"/>
      <c r="R274" s="20"/>
      <c r="S274" s="20"/>
      <c r="T274" s="20"/>
      <c r="U274" s="20"/>
      <c r="V274" s="20"/>
      <c r="W274" s="20"/>
      <c r="X274" s="20"/>
      <c r="Y274" s="20"/>
      <c r="Z274" s="20"/>
    </row>
    <row r="275" spans="1:26" ht="9.75" customHeight="1" x14ac:dyDescent="0.25">
      <c r="A275" s="20"/>
      <c r="B275" s="21"/>
      <c r="C275" s="20"/>
      <c r="D275" s="22"/>
      <c r="E275" s="20"/>
      <c r="F275" s="20"/>
      <c r="G275" s="20"/>
      <c r="H275" s="20"/>
      <c r="I275" s="22"/>
      <c r="J275" s="20"/>
      <c r="K275" s="20"/>
      <c r="L275" s="20"/>
      <c r="M275" s="20"/>
      <c r="N275" s="21"/>
      <c r="O275" s="31"/>
      <c r="P275" s="20"/>
      <c r="Q275" s="31"/>
      <c r="R275" s="20"/>
      <c r="S275" s="20"/>
      <c r="T275" s="20"/>
      <c r="U275" s="20"/>
      <c r="V275" s="20"/>
      <c r="W275" s="20"/>
      <c r="X275" s="20"/>
      <c r="Y275" s="20"/>
      <c r="Z275" s="20"/>
    </row>
    <row r="276" spans="1:26" ht="9.75" customHeight="1" x14ac:dyDescent="0.25">
      <c r="A276" s="20"/>
      <c r="B276" s="21"/>
      <c r="C276" s="20"/>
      <c r="D276" s="22"/>
      <c r="E276" s="20"/>
      <c r="F276" s="20"/>
      <c r="G276" s="20"/>
      <c r="H276" s="20"/>
      <c r="I276" s="22"/>
      <c r="J276" s="20"/>
      <c r="K276" s="20"/>
      <c r="L276" s="20"/>
      <c r="M276" s="20"/>
      <c r="N276" s="21"/>
      <c r="O276" s="31"/>
      <c r="P276" s="20"/>
      <c r="Q276" s="31"/>
      <c r="R276" s="20"/>
      <c r="S276" s="20"/>
      <c r="T276" s="20"/>
      <c r="U276" s="20"/>
      <c r="V276" s="20"/>
      <c r="W276" s="20"/>
      <c r="X276" s="20"/>
      <c r="Y276" s="20"/>
      <c r="Z276" s="20"/>
    </row>
    <row r="277" spans="1:26" ht="9.75" customHeight="1" x14ac:dyDescent="0.25">
      <c r="A277" s="20"/>
      <c r="B277" s="21"/>
      <c r="C277" s="20"/>
      <c r="D277" s="22"/>
      <c r="E277" s="20"/>
      <c r="F277" s="20"/>
      <c r="G277" s="20"/>
      <c r="H277" s="20"/>
      <c r="I277" s="22"/>
      <c r="J277" s="20"/>
      <c r="K277" s="20"/>
      <c r="L277" s="20"/>
      <c r="M277" s="20"/>
      <c r="N277" s="21"/>
      <c r="O277" s="31"/>
      <c r="P277" s="20"/>
      <c r="Q277" s="31"/>
      <c r="R277" s="20"/>
      <c r="S277" s="20"/>
      <c r="T277" s="20"/>
      <c r="U277" s="20"/>
      <c r="V277" s="20"/>
      <c r="W277" s="20"/>
      <c r="X277" s="20"/>
      <c r="Y277" s="20"/>
      <c r="Z277" s="20"/>
    </row>
    <row r="278" spans="1:26" ht="9.75" customHeight="1" x14ac:dyDescent="0.25">
      <c r="A278" s="20"/>
      <c r="B278" s="21"/>
      <c r="C278" s="20"/>
      <c r="D278" s="22"/>
      <c r="E278" s="20"/>
      <c r="F278" s="20"/>
      <c r="G278" s="20"/>
      <c r="H278" s="20"/>
      <c r="I278" s="22"/>
      <c r="J278" s="20"/>
      <c r="K278" s="20"/>
      <c r="L278" s="20"/>
      <c r="M278" s="20"/>
      <c r="N278" s="21"/>
      <c r="O278" s="31"/>
      <c r="P278" s="20"/>
      <c r="Q278" s="31"/>
      <c r="R278" s="20"/>
      <c r="S278" s="20"/>
      <c r="T278" s="20"/>
      <c r="U278" s="20"/>
      <c r="V278" s="20"/>
      <c r="W278" s="20"/>
      <c r="X278" s="20"/>
      <c r="Y278" s="20"/>
      <c r="Z278" s="20"/>
    </row>
    <row r="279" spans="1:26" ht="9.75" customHeight="1" x14ac:dyDescent="0.25">
      <c r="A279" s="20"/>
      <c r="B279" s="21"/>
      <c r="C279" s="20"/>
      <c r="D279" s="22"/>
      <c r="E279" s="20"/>
      <c r="F279" s="20"/>
      <c r="G279" s="20"/>
      <c r="H279" s="20"/>
      <c r="I279" s="22"/>
      <c r="J279" s="20"/>
      <c r="K279" s="20"/>
      <c r="L279" s="20"/>
      <c r="M279" s="20"/>
      <c r="N279" s="21"/>
      <c r="O279" s="31"/>
      <c r="P279" s="20"/>
      <c r="Q279" s="31"/>
      <c r="R279" s="20"/>
      <c r="S279" s="20"/>
      <c r="T279" s="20"/>
      <c r="U279" s="20"/>
      <c r="V279" s="20"/>
      <c r="W279" s="20"/>
      <c r="X279" s="20"/>
      <c r="Y279" s="20"/>
      <c r="Z279" s="20"/>
    </row>
    <row r="280" spans="1:26" ht="9.75" customHeight="1" x14ac:dyDescent="0.25">
      <c r="A280" s="20"/>
      <c r="B280" s="21"/>
      <c r="C280" s="20"/>
      <c r="D280" s="22"/>
      <c r="E280" s="20"/>
      <c r="F280" s="20"/>
      <c r="G280" s="20"/>
      <c r="H280" s="20"/>
      <c r="I280" s="22"/>
      <c r="J280" s="20"/>
      <c r="K280" s="20"/>
      <c r="L280" s="20"/>
      <c r="M280" s="20"/>
      <c r="N280" s="21"/>
      <c r="O280" s="31"/>
      <c r="P280" s="20"/>
      <c r="Q280" s="31"/>
      <c r="R280" s="20"/>
      <c r="S280" s="20"/>
      <c r="T280" s="20"/>
      <c r="U280" s="20"/>
      <c r="V280" s="20"/>
      <c r="W280" s="20"/>
      <c r="X280" s="20"/>
      <c r="Y280" s="20"/>
      <c r="Z280" s="20"/>
    </row>
    <row r="281" spans="1:26" ht="9.75" customHeight="1" x14ac:dyDescent="0.25">
      <c r="A281" s="20"/>
      <c r="B281" s="21"/>
      <c r="C281" s="20"/>
      <c r="D281" s="22"/>
      <c r="E281" s="20"/>
      <c r="F281" s="20"/>
      <c r="G281" s="20"/>
      <c r="H281" s="20"/>
      <c r="I281" s="22"/>
      <c r="J281" s="20"/>
      <c r="K281" s="20"/>
      <c r="L281" s="20"/>
      <c r="M281" s="20"/>
      <c r="N281" s="21"/>
      <c r="O281" s="31"/>
      <c r="P281" s="20"/>
      <c r="Q281" s="31"/>
      <c r="R281" s="20"/>
      <c r="S281" s="20"/>
      <c r="T281" s="20"/>
      <c r="U281" s="20"/>
      <c r="V281" s="20"/>
      <c r="W281" s="20"/>
      <c r="X281" s="20"/>
      <c r="Y281" s="20"/>
      <c r="Z281" s="20"/>
    </row>
    <row r="282" spans="1:26" ht="9.75" customHeight="1" x14ac:dyDescent="0.25">
      <c r="A282" s="20"/>
      <c r="B282" s="21"/>
      <c r="C282" s="20"/>
      <c r="D282" s="22"/>
      <c r="E282" s="20"/>
      <c r="F282" s="20"/>
      <c r="G282" s="20"/>
      <c r="H282" s="20"/>
      <c r="I282" s="22"/>
      <c r="J282" s="20"/>
      <c r="K282" s="20"/>
      <c r="L282" s="20"/>
      <c r="M282" s="20"/>
      <c r="N282" s="21"/>
      <c r="O282" s="31"/>
      <c r="P282" s="20"/>
      <c r="Q282" s="31"/>
      <c r="R282" s="20"/>
      <c r="S282" s="20"/>
      <c r="T282" s="20"/>
      <c r="U282" s="20"/>
      <c r="V282" s="20"/>
      <c r="W282" s="20"/>
      <c r="X282" s="20"/>
      <c r="Y282" s="20"/>
      <c r="Z282" s="20"/>
    </row>
    <row r="283" spans="1:26" ht="9.75" customHeight="1" x14ac:dyDescent="0.25">
      <c r="A283" s="20"/>
      <c r="B283" s="21"/>
      <c r="C283" s="20"/>
      <c r="D283" s="22"/>
      <c r="E283" s="20"/>
      <c r="F283" s="20"/>
      <c r="G283" s="20"/>
      <c r="H283" s="20"/>
      <c r="I283" s="22"/>
      <c r="J283" s="20"/>
      <c r="K283" s="20"/>
      <c r="L283" s="20"/>
      <c r="M283" s="20"/>
      <c r="N283" s="21"/>
      <c r="O283" s="31"/>
      <c r="P283" s="20"/>
      <c r="Q283" s="31"/>
      <c r="R283" s="20"/>
      <c r="S283" s="20"/>
      <c r="T283" s="20"/>
      <c r="U283" s="20"/>
      <c r="V283" s="20"/>
      <c r="W283" s="20"/>
      <c r="X283" s="20"/>
      <c r="Y283" s="20"/>
      <c r="Z283" s="20"/>
    </row>
    <row r="284" spans="1:26" ht="9.75" customHeight="1" x14ac:dyDescent="0.25">
      <c r="A284" s="20"/>
      <c r="B284" s="21"/>
      <c r="C284" s="20"/>
      <c r="D284" s="22"/>
      <c r="E284" s="20"/>
      <c r="F284" s="20"/>
      <c r="G284" s="20"/>
      <c r="H284" s="20"/>
      <c r="I284" s="22"/>
      <c r="J284" s="20"/>
      <c r="K284" s="20"/>
      <c r="L284" s="20"/>
      <c r="M284" s="20"/>
      <c r="N284" s="21"/>
      <c r="O284" s="31"/>
      <c r="P284" s="20"/>
      <c r="Q284" s="31"/>
      <c r="R284" s="20"/>
      <c r="S284" s="20"/>
      <c r="T284" s="20"/>
      <c r="U284" s="20"/>
      <c r="V284" s="20"/>
      <c r="W284" s="20"/>
      <c r="X284" s="20"/>
      <c r="Y284" s="20"/>
      <c r="Z284" s="20"/>
    </row>
    <row r="285" spans="1:26" ht="9.75" customHeight="1" x14ac:dyDescent="0.25">
      <c r="A285" s="20"/>
      <c r="B285" s="21"/>
      <c r="C285" s="20"/>
      <c r="D285" s="22"/>
      <c r="E285" s="20"/>
      <c r="F285" s="20"/>
      <c r="G285" s="20"/>
      <c r="H285" s="20"/>
      <c r="I285" s="22"/>
      <c r="J285" s="20"/>
      <c r="K285" s="20"/>
      <c r="L285" s="20"/>
      <c r="M285" s="20"/>
      <c r="N285" s="21"/>
      <c r="O285" s="31"/>
      <c r="P285" s="20"/>
      <c r="Q285" s="31"/>
      <c r="R285" s="20"/>
      <c r="S285" s="20"/>
      <c r="T285" s="20"/>
      <c r="U285" s="20"/>
      <c r="V285" s="20"/>
      <c r="W285" s="20"/>
      <c r="X285" s="20"/>
      <c r="Y285" s="20"/>
      <c r="Z285" s="20"/>
    </row>
    <row r="286" spans="1:26" ht="9.75" customHeight="1" x14ac:dyDescent="0.25">
      <c r="A286" s="20"/>
      <c r="B286" s="21"/>
      <c r="C286" s="20"/>
      <c r="D286" s="22"/>
      <c r="E286" s="20"/>
      <c r="F286" s="20"/>
      <c r="G286" s="20"/>
      <c r="H286" s="20"/>
      <c r="I286" s="22"/>
      <c r="J286" s="20"/>
      <c r="K286" s="20"/>
      <c r="L286" s="20"/>
      <c r="M286" s="20"/>
      <c r="N286" s="21"/>
      <c r="O286" s="31"/>
      <c r="P286" s="20"/>
      <c r="Q286" s="31"/>
      <c r="R286" s="20"/>
      <c r="S286" s="20"/>
      <c r="T286" s="20"/>
      <c r="U286" s="20"/>
      <c r="V286" s="20"/>
      <c r="W286" s="20"/>
      <c r="X286" s="20"/>
      <c r="Y286" s="20"/>
      <c r="Z286" s="20"/>
    </row>
    <row r="287" spans="1:26" ht="9.75" customHeight="1" x14ac:dyDescent="0.25">
      <c r="A287" s="20"/>
      <c r="B287" s="21"/>
      <c r="C287" s="20"/>
      <c r="D287" s="22"/>
      <c r="E287" s="20"/>
      <c r="F287" s="20"/>
      <c r="G287" s="20"/>
      <c r="H287" s="20"/>
      <c r="I287" s="22"/>
      <c r="J287" s="20"/>
      <c r="K287" s="20"/>
      <c r="L287" s="20"/>
      <c r="M287" s="20"/>
      <c r="N287" s="21"/>
      <c r="O287" s="31"/>
      <c r="P287" s="20"/>
      <c r="Q287" s="31"/>
      <c r="R287" s="20"/>
      <c r="S287" s="20"/>
      <c r="T287" s="20"/>
      <c r="U287" s="20"/>
      <c r="V287" s="20"/>
      <c r="W287" s="20"/>
      <c r="X287" s="20"/>
      <c r="Y287" s="20"/>
      <c r="Z287" s="20"/>
    </row>
    <row r="288" spans="1:26" ht="9.75" customHeight="1" x14ac:dyDescent="0.25">
      <c r="A288" s="20"/>
      <c r="B288" s="21"/>
      <c r="C288" s="20"/>
      <c r="D288" s="22"/>
      <c r="E288" s="20"/>
      <c r="F288" s="20"/>
      <c r="G288" s="20"/>
      <c r="H288" s="20"/>
      <c r="I288" s="22"/>
      <c r="J288" s="20"/>
      <c r="K288" s="20"/>
      <c r="L288" s="20"/>
      <c r="M288" s="20"/>
      <c r="N288" s="21"/>
      <c r="O288" s="31"/>
      <c r="P288" s="20"/>
      <c r="Q288" s="31"/>
      <c r="R288" s="20"/>
      <c r="S288" s="20"/>
      <c r="T288" s="20"/>
      <c r="U288" s="20"/>
      <c r="V288" s="20"/>
      <c r="W288" s="20"/>
      <c r="X288" s="20"/>
      <c r="Y288" s="20"/>
      <c r="Z288" s="20"/>
    </row>
    <row r="289" spans="1:26" ht="9.75" customHeight="1" x14ac:dyDescent="0.25">
      <c r="A289" s="20"/>
      <c r="B289" s="21"/>
      <c r="C289" s="20"/>
      <c r="D289" s="22"/>
      <c r="E289" s="20"/>
      <c r="F289" s="20"/>
      <c r="G289" s="20"/>
      <c r="H289" s="20"/>
      <c r="I289" s="22"/>
      <c r="J289" s="20"/>
      <c r="K289" s="20"/>
      <c r="L289" s="20"/>
      <c r="M289" s="20"/>
      <c r="N289" s="21"/>
      <c r="O289" s="31"/>
      <c r="P289" s="20"/>
      <c r="Q289" s="31"/>
      <c r="R289" s="20"/>
      <c r="S289" s="20"/>
      <c r="T289" s="20"/>
      <c r="U289" s="20"/>
      <c r="V289" s="20"/>
      <c r="W289" s="20"/>
      <c r="X289" s="20"/>
      <c r="Y289" s="20"/>
      <c r="Z289" s="20"/>
    </row>
    <row r="290" spans="1:26" ht="9.75" customHeight="1" x14ac:dyDescent="0.25">
      <c r="A290" s="20"/>
      <c r="B290" s="21"/>
      <c r="C290" s="20"/>
      <c r="D290" s="22"/>
      <c r="E290" s="20"/>
      <c r="F290" s="20"/>
      <c r="G290" s="20"/>
      <c r="H290" s="20"/>
      <c r="I290" s="22"/>
      <c r="J290" s="20"/>
      <c r="K290" s="20"/>
      <c r="L290" s="20"/>
      <c r="M290" s="20"/>
      <c r="N290" s="21"/>
      <c r="O290" s="31"/>
      <c r="P290" s="20"/>
      <c r="Q290" s="31"/>
      <c r="R290" s="20"/>
      <c r="S290" s="20"/>
      <c r="T290" s="20"/>
      <c r="U290" s="20"/>
      <c r="V290" s="20"/>
      <c r="W290" s="20"/>
      <c r="X290" s="20"/>
      <c r="Y290" s="20"/>
      <c r="Z290" s="20"/>
    </row>
    <row r="291" spans="1:26" ht="9.75" customHeight="1" x14ac:dyDescent="0.25">
      <c r="A291" s="20"/>
      <c r="B291" s="21"/>
      <c r="C291" s="20"/>
      <c r="D291" s="22"/>
      <c r="E291" s="20"/>
      <c r="F291" s="20"/>
      <c r="G291" s="20"/>
      <c r="H291" s="20"/>
      <c r="I291" s="22"/>
      <c r="J291" s="20"/>
      <c r="K291" s="20"/>
      <c r="L291" s="20"/>
      <c r="M291" s="20"/>
      <c r="N291" s="21"/>
      <c r="O291" s="31"/>
      <c r="P291" s="20"/>
      <c r="Q291" s="31"/>
      <c r="R291" s="20"/>
      <c r="S291" s="20"/>
      <c r="T291" s="20"/>
      <c r="U291" s="20"/>
      <c r="V291" s="20"/>
      <c r="W291" s="20"/>
      <c r="X291" s="20"/>
      <c r="Y291" s="20"/>
      <c r="Z291" s="20"/>
    </row>
    <row r="292" spans="1:26" ht="9.75" customHeight="1" x14ac:dyDescent="0.25">
      <c r="A292" s="20"/>
      <c r="B292" s="21"/>
      <c r="C292" s="20"/>
      <c r="D292" s="22"/>
      <c r="E292" s="20"/>
      <c r="F292" s="20"/>
      <c r="G292" s="20"/>
      <c r="H292" s="20"/>
      <c r="I292" s="22"/>
      <c r="J292" s="20"/>
      <c r="K292" s="20"/>
      <c r="L292" s="20"/>
      <c r="M292" s="20"/>
      <c r="N292" s="21"/>
      <c r="O292" s="31"/>
      <c r="P292" s="20"/>
      <c r="Q292" s="31"/>
      <c r="R292" s="20"/>
      <c r="S292" s="20"/>
      <c r="T292" s="20"/>
      <c r="U292" s="20"/>
      <c r="V292" s="20"/>
      <c r="W292" s="20"/>
      <c r="X292" s="20"/>
      <c r="Y292" s="20"/>
      <c r="Z292" s="20"/>
    </row>
    <row r="293" spans="1:26" ht="9.75" customHeight="1" x14ac:dyDescent="0.25">
      <c r="A293" s="20"/>
      <c r="B293" s="21"/>
      <c r="C293" s="20"/>
      <c r="D293" s="22"/>
      <c r="E293" s="20"/>
      <c r="F293" s="20"/>
      <c r="G293" s="20"/>
      <c r="H293" s="20"/>
      <c r="I293" s="22"/>
      <c r="J293" s="20"/>
      <c r="K293" s="20"/>
      <c r="L293" s="20"/>
      <c r="M293" s="20"/>
      <c r="N293" s="21"/>
      <c r="O293" s="31"/>
      <c r="P293" s="20"/>
      <c r="Q293" s="31"/>
      <c r="R293" s="20"/>
      <c r="S293" s="20"/>
      <c r="T293" s="20"/>
      <c r="U293" s="20"/>
      <c r="V293" s="20"/>
      <c r="W293" s="20"/>
      <c r="X293" s="20"/>
      <c r="Y293" s="20"/>
      <c r="Z293" s="20"/>
    </row>
    <row r="294" spans="1:26" ht="9.75" customHeight="1" x14ac:dyDescent="0.25">
      <c r="A294" s="20"/>
      <c r="B294" s="21"/>
      <c r="C294" s="20"/>
      <c r="D294" s="22"/>
      <c r="E294" s="20"/>
      <c r="F294" s="20"/>
      <c r="G294" s="20"/>
      <c r="H294" s="20"/>
      <c r="I294" s="22"/>
      <c r="J294" s="20"/>
      <c r="K294" s="20"/>
      <c r="L294" s="20"/>
      <c r="M294" s="20"/>
      <c r="N294" s="21"/>
      <c r="O294" s="31"/>
      <c r="P294" s="20"/>
      <c r="Q294" s="31"/>
      <c r="R294" s="20"/>
      <c r="S294" s="20"/>
      <c r="T294" s="20"/>
      <c r="U294" s="20"/>
      <c r="V294" s="20"/>
      <c r="W294" s="20"/>
      <c r="X294" s="20"/>
      <c r="Y294" s="20"/>
      <c r="Z294" s="20"/>
    </row>
    <row r="295" spans="1:26" ht="9.75" customHeight="1" x14ac:dyDescent="0.25">
      <c r="A295" s="20"/>
      <c r="B295" s="21"/>
      <c r="C295" s="20"/>
      <c r="D295" s="22"/>
      <c r="E295" s="20"/>
      <c r="F295" s="20"/>
      <c r="G295" s="20"/>
      <c r="H295" s="20"/>
      <c r="I295" s="22"/>
      <c r="J295" s="20"/>
      <c r="K295" s="20"/>
      <c r="L295" s="20"/>
      <c r="M295" s="20"/>
      <c r="N295" s="21"/>
      <c r="O295" s="31"/>
      <c r="P295" s="20"/>
      <c r="Q295" s="31"/>
      <c r="R295" s="20"/>
      <c r="S295" s="20"/>
      <c r="T295" s="20"/>
      <c r="U295" s="20"/>
      <c r="V295" s="20"/>
      <c r="W295" s="20"/>
      <c r="X295" s="20"/>
      <c r="Y295" s="20"/>
      <c r="Z295" s="20"/>
    </row>
    <row r="296" spans="1:26" ht="9.75" customHeight="1" x14ac:dyDescent="0.25">
      <c r="A296" s="20"/>
      <c r="B296" s="21"/>
      <c r="C296" s="20"/>
      <c r="D296" s="22"/>
      <c r="E296" s="20"/>
      <c r="F296" s="20"/>
      <c r="G296" s="20"/>
      <c r="H296" s="20"/>
      <c r="I296" s="22"/>
      <c r="J296" s="20"/>
      <c r="K296" s="20"/>
      <c r="L296" s="20"/>
      <c r="M296" s="20"/>
      <c r="N296" s="21"/>
      <c r="O296" s="31"/>
      <c r="P296" s="20"/>
      <c r="Q296" s="31"/>
      <c r="R296" s="20"/>
      <c r="S296" s="20"/>
      <c r="T296" s="20"/>
      <c r="U296" s="20"/>
      <c r="V296" s="20"/>
      <c r="W296" s="20"/>
      <c r="X296" s="20"/>
      <c r="Y296" s="20"/>
      <c r="Z296" s="20"/>
    </row>
    <row r="297" spans="1:26" ht="9.75" customHeight="1" x14ac:dyDescent="0.25">
      <c r="A297" s="20"/>
      <c r="B297" s="21"/>
      <c r="C297" s="20"/>
      <c r="D297" s="22"/>
      <c r="E297" s="20"/>
      <c r="F297" s="20"/>
      <c r="G297" s="20"/>
      <c r="H297" s="20"/>
      <c r="I297" s="22"/>
      <c r="J297" s="20"/>
      <c r="K297" s="20"/>
      <c r="L297" s="20"/>
      <c r="M297" s="20"/>
      <c r="N297" s="21"/>
      <c r="O297" s="31"/>
      <c r="P297" s="20"/>
      <c r="Q297" s="31"/>
      <c r="R297" s="20"/>
      <c r="S297" s="20"/>
      <c r="T297" s="20"/>
      <c r="U297" s="20"/>
      <c r="V297" s="20"/>
      <c r="W297" s="20"/>
      <c r="X297" s="20"/>
      <c r="Y297" s="20"/>
      <c r="Z297" s="20"/>
    </row>
    <row r="298" spans="1:26" ht="9.75" customHeight="1" x14ac:dyDescent="0.25">
      <c r="A298" s="20"/>
      <c r="B298" s="21"/>
      <c r="C298" s="20"/>
      <c r="D298" s="22"/>
      <c r="E298" s="20"/>
      <c r="F298" s="20"/>
      <c r="G298" s="20"/>
      <c r="H298" s="20"/>
      <c r="I298" s="22"/>
      <c r="J298" s="20"/>
      <c r="K298" s="20"/>
      <c r="L298" s="20"/>
      <c r="M298" s="20"/>
      <c r="N298" s="21"/>
      <c r="O298" s="31"/>
      <c r="P298" s="20"/>
      <c r="Q298" s="31"/>
      <c r="R298" s="20"/>
      <c r="S298" s="20"/>
      <c r="T298" s="20"/>
      <c r="U298" s="20"/>
      <c r="V298" s="20"/>
      <c r="W298" s="20"/>
      <c r="X298" s="20"/>
      <c r="Y298" s="20"/>
      <c r="Z298" s="20"/>
    </row>
    <row r="299" spans="1:26" ht="9.75" customHeight="1" x14ac:dyDescent="0.25">
      <c r="A299" s="20"/>
      <c r="B299" s="21"/>
      <c r="C299" s="20"/>
      <c r="D299" s="22"/>
      <c r="E299" s="20"/>
      <c r="F299" s="20"/>
      <c r="G299" s="20"/>
      <c r="H299" s="20"/>
      <c r="I299" s="22"/>
      <c r="J299" s="20"/>
      <c r="K299" s="20"/>
      <c r="L299" s="20"/>
      <c r="M299" s="20"/>
      <c r="N299" s="21"/>
      <c r="O299" s="31"/>
      <c r="P299" s="20"/>
      <c r="Q299" s="31"/>
      <c r="R299" s="20"/>
      <c r="S299" s="20"/>
      <c r="T299" s="20"/>
      <c r="U299" s="20"/>
      <c r="V299" s="20"/>
      <c r="W299" s="20"/>
      <c r="X299" s="20"/>
      <c r="Y299" s="20"/>
      <c r="Z299" s="20"/>
    </row>
    <row r="300" spans="1:26" ht="9.75" customHeight="1" x14ac:dyDescent="0.25">
      <c r="A300" s="20"/>
      <c r="B300" s="21"/>
      <c r="C300" s="20"/>
      <c r="D300" s="22"/>
      <c r="E300" s="20"/>
      <c r="F300" s="20"/>
      <c r="G300" s="20"/>
      <c r="H300" s="20"/>
      <c r="I300" s="22"/>
      <c r="J300" s="20"/>
      <c r="K300" s="20"/>
      <c r="L300" s="20"/>
      <c r="M300" s="20"/>
      <c r="N300" s="21"/>
      <c r="O300" s="31"/>
      <c r="P300" s="20"/>
      <c r="Q300" s="31"/>
      <c r="R300" s="20"/>
      <c r="S300" s="20"/>
      <c r="T300" s="20"/>
      <c r="U300" s="20"/>
      <c r="V300" s="20"/>
      <c r="W300" s="20"/>
      <c r="X300" s="20"/>
      <c r="Y300" s="20"/>
      <c r="Z300" s="20"/>
    </row>
    <row r="301" spans="1:26" ht="9.75" customHeight="1" x14ac:dyDescent="0.25">
      <c r="A301" s="20"/>
      <c r="B301" s="21"/>
      <c r="C301" s="20"/>
      <c r="D301" s="22"/>
      <c r="E301" s="20"/>
      <c r="F301" s="20"/>
      <c r="G301" s="20"/>
      <c r="H301" s="20"/>
      <c r="I301" s="22"/>
      <c r="J301" s="20"/>
      <c r="K301" s="20"/>
      <c r="L301" s="20"/>
      <c r="M301" s="20"/>
      <c r="N301" s="21"/>
      <c r="O301" s="31"/>
      <c r="P301" s="20"/>
      <c r="Q301" s="31"/>
      <c r="R301" s="20"/>
      <c r="S301" s="20"/>
      <c r="T301" s="20"/>
      <c r="U301" s="20"/>
      <c r="V301" s="20"/>
      <c r="W301" s="20"/>
      <c r="X301" s="20"/>
      <c r="Y301" s="20"/>
      <c r="Z301" s="20"/>
    </row>
    <row r="302" spans="1:26" ht="9.75" customHeight="1" x14ac:dyDescent="0.25">
      <c r="A302" s="20"/>
      <c r="B302" s="21"/>
      <c r="C302" s="20"/>
      <c r="D302" s="22"/>
      <c r="E302" s="20"/>
      <c r="F302" s="20"/>
      <c r="G302" s="20"/>
      <c r="H302" s="20"/>
      <c r="I302" s="22"/>
      <c r="J302" s="20"/>
      <c r="K302" s="20"/>
      <c r="L302" s="20"/>
      <c r="M302" s="20"/>
      <c r="N302" s="21"/>
      <c r="O302" s="31"/>
      <c r="P302" s="20"/>
      <c r="Q302" s="31"/>
      <c r="R302" s="20"/>
      <c r="S302" s="20"/>
      <c r="T302" s="20"/>
      <c r="U302" s="20"/>
      <c r="V302" s="20"/>
      <c r="W302" s="20"/>
      <c r="X302" s="20"/>
      <c r="Y302" s="20"/>
      <c r="Z302" s="20"/>
    </row>
    <row r="303" spans="1:26" ht="9.75" customHeight="1" x14ac:dyDescent="0.25">
      <c r="A303" s="20"/>
      <c r="B303" s="21"/>
      <c r="C303" s="20"/>
      <c r="D303" s="22"/>
      <c r="E303" s="20"/>
      <c r="F303" s="20"/>
      <c r="G303" s="20"/>
      <c r="H303" s="20"/>
      <c r="I303" s="22"/>
      <c r="J303" s="20"/>
      <c r="K303" s="20"/>
      <c r="L303" s="20"/>
      <c r="M303" s="20"/>
      <c r="N303" s="21"/>
      <c r="O303" s="31"/>
      <c r="P303" s="20"/>
      <c r="Q303" s="31"/>
      <c r="R303" s="20"/>
      <c r="S303" s="20"/>
      <c r="T303" s="20"/>
      <c r="U303" s="20"/>
      <c r="V303" s="20"/>
      <c r="W303" s="20"/>
      <c r="X303" s="20"/>
      <c r="Y303" s="20"/>
      <c r="Z303" s="20"/>
    </row>
    <row r="304" spans="1:26" ht="9.75" customHeight="1" x14ac:dyDescent="0.25">
      <c r="A304" s="20"/>
      <c r="B304" s="21"/>
      <c r="C304" s="20"/>
      <c r="D304" s="22"/>
      <c r="E304" s="20"/>
      <c r="F304" s="20"/>
      <c r="G304" s="20"/>
      <c r="H304" s="20"/>
      <c r="I304" s="22"/>
      <c r="J304" s="20"/>
      <c r="K304" s="20"/>
      <c r="L304" s="20"/>
      <c r="M304" s="20"/>
      <c r="N304" s="21"/>
      <c r="O304" s="31"/>
      <c r="P304" s="20"/>
      <c r="Q304" s="31"/>
      <c r="R304" s="20"/>
      <c r="S304" s="20"/>
      <c r="T304" s="20"/>
      <c r="U304" s="20"/>
      <c r="V304" s="20"/>
      <c r="W304" s="20"/>
      <c r="X304" s="20"/>
      <c r="Y304" s="20"/>
      <c r="Z304" s="20"/>
    </row>
    <row r="305" spans="1:26" ht="9.75" customHeight="1" x14ac:dyDescent="0.25">
      <c r="A305" s="20"/>
      <c r="B305" s="21"/>
      <c r="C305" s="20"/>
      <c r="D305" s="22"/>
      <c r="E305" s="20"/>
      <c r="F305" s="20"/>
      <c r="G305" s="20"/>
      <c r="H305" s="20"/>
      <c r="I305" s="22"/>
      <c r="J305" s="20"/>
      <c r="K305" s="20"/>
      <c r="L305" s="20"/>
      <c r="M305" s="20"/>
      <c r="N305" s="21"/>
      <c r="O305" s="31"/>
      <c r="P305" s="20"/>
      <c r="Q305" s="31"/>
      <c r="R305" s="20"/>
      <c r="S305" s="20"/>
      <c r="T305" s="20"/>
      <c r="U305" s="20"/>
      <c r="V305" s="20"/>
      <c r="W305" s="20"/>
      <c r="X305" s="20"/>
      <c r="Y305" s="20"/>
      <c r="Z305" s="20"/>
    </row>
    <row r="306" spans="1:26" ht="9.75" customHeight="1" x14ac:dyDescent="0.25">
      <c r="A306" s="20"/>
      <c r="B306" s="21"/>
      <c r="C306" s="20"/>
      <c r="D306" s="22"/>
      <c r="E306" s="20"/>
      <c r="F306" s="20"/>
      <c r="G306" s="20"/>
      <c r="H306" s="20"/>
      <c r="I306" s="22"/>
      <c r="J306" s="20"/>
      <c r="K306" s="20"/>
      <c r="L306" s="20"/>
      <c r="M306" s="20"/>
      <c r="N306" s="21"/>
      <c r="O306" s="31"/>
      <c r="P306" s="20"/>
      <c r="Q306" s="31"/>
      <c r="R306" s="20"/>
      <c r="S306" s="20"/>
      <c r="T306" s="20"/>
      <c r="U306" s="20"/>
      <c r="V306" s="20"/>
      <c r="W306" s="20"/>
      <c r="X306" s="20"/>
      <c r="Y306" s="20"/>
      <c r="Z306" s="20"/>
    </row>
    <row r="307" spans="1:26" ht="9.75" customHeight="1" x14ac:dyDescent="0.25">
      <c r="A307" s="20"/>
      <c r="B307" s="21"/>
      <c r="C307" s="20"/>
      <c r="D307" s="22"/>
      <c r="E307" s="20"/>
      <c r="F307" s="20"/>
      <c r="G307" s="20"/>
      <c r="H307" s="20"/>
      <c r="I307" s="22"/>
      <c r="J307" s="20"/>
      <c r="K307" s="20"/>
      <c r="L307" s="20"/>
      <c r="M307" s="20"/>
      <c r="N307" s="21"/>
      <c r="O307" s="31"/>
      <c r="P307" s="20"/>
      <c r="Q307" s="31"/>
      <c r="R307" s="20"/>
      <c r="S307" s="20"/>
      <c r="T307" s="20"/>
      <c r="U307" s="20"/>
      <c r="V307" s="20"/>
      <c r="W307" s="20"/>
      <c r="X307" s="20"/>
      <c r="Y307" s="20"/>
      <c r="Z307" s="20"/>
    </row>
    <row r="308" spans="1:26" ht="9.75" customHeight="1" x14ac:dyDescent="0.25">
      <c r="A308" s="20"/>
      <c r="B308" s="21"/>
      <c r="C308" s="20"/>
      <c r="D308" s="22"/>
      <c r="E308" s="20"/>
      <c r="F308" s="20"/>
      <c r="G308" s="20"/>
      <c r="H308" s="20"/>
      <c r="I308" s="22"/>
      <c r="J308" s="20"/>
      <c r="K308" s="20"/>
      <c r="L308" s="20"/>
      <c r="M308" s="20"/>
      <c r="N308" s="21"/>
      <c r="O308" s="31"/>
      <c r="P308" s="20"/>
      <c r="Q308" s="31"/>
      <c r="R308" s="20"/>
      <c r="S308" s="20"/>
      <c r="T308" s="20"/>
      <c r="U308" s="20"/>
      <c r="V308" s="20"/>
      <c r="W308" s="20"/>
      <c r="X308" s="20"/>
      <c r="Y308" s="20"/>
      <c r="Z308" s="20"/>
    </row>
    <row r="309" spans="1:26" ht="9.75" customHeight="1" x14ac:dyDescent="0.25">
      <c r="A309" s="20"/>
      <c r="B309" s="21"/>
      <c r="C309" s="20"/>
      <c r="D309" s="22"/>
      <c r="E309" s="20"/>
      <c r="F309" s="20"/>
      <c r="G309" s="20"/>
      <c r="H309" s="20"/>
      <c r="I309" s="22"/>
      <c r="J309" s="20"/>
      <c r="K309" s="20"/>
      <c r="L309" s="20"/>
      <c r="M309" s="20"/>
      <c r="N309" s="21"/>
      <c r="O309" s="31"/>
      <c r="P309" s="20"/>
      <c r="Q309" s="31"/>
      <c r="R309" s="20"/>
      <c r="S309" s="20"/>
      <c r="T309" s="20"/>
      <c r="U309" s="20"/>
      <c r="V309" s="20"/>
      <c r="W309" s="20"/>
      <c r="X309" s="20"/>
      <c r="Y309" s="20"/>
      <c r="Z309" s="20"/>
    </row>
    <row r="310" spans="1:26" ht="9.75" customHeight="1" x14ac:dyDescent="0.25">
      <c r="A310" s="20"/>
      <c r="B310" s="21"/>
      <c r="C310" s="20"/>
      <c r="D310" s="22"/>
      <c r="E310" s="20"/>
      <c r="F310" s="20"/>
      <c r="G310" s="20"/>
      <c r="H310" s="20"/>
      <c r="I310" s="22"/>
      <c r="J310" s="20"/>
      <c r="K310" s="20"/>
      <c r="L310" s="20"/>
      <c r="M310" s="20"/>
      <c r="N310" s="21"/>
      <c r="O310" s="31"/>
      <c r="P310" s="20"/>
      <c r="Q310" s="31"/>
      <c r="R310" s="20"/>
      <c r="S310" s="20"/>
      <c r="T310" s="20"/>
      <c r="U310" s="20"/>
      <c r="V310" s="20"/>
      <c r="W310" s="20"/>
      <c r="X310" s="20"/>
      <c r="Y310" s="20"/>
      <c r="Z310" s="20"/>
    </row>
    <row r="311" spans="1:26" ht="9.75" customHeight="1" x14ac:dyDescent="0.25">
      <c r="A311" s="20"/>
      <c r="B311" s="21"/>
      <c r="C311" s="20"/>
      <c r="D311" s="22"/>
      <c r="E311" s="20"/>
      <c r="F311" s="20"/>
      <c r="G311" s="20"/>
      <c r="H311" s="20"/>
      <c r="I311" s="22"/>
      <c r="J311" s="20"/>
      <c r="K311" s="20"/>
      <c r="L311" s="20"/>
      <c r="M311" s="20"/>
      <c r="N311" s="21"/>
      <c r="O311" s="31"/>
      <c r="P311" s="20"/>
      <c r="Q311" s="31"/>
      <c r="R311" s="20"/>
      <c r="S311" s="20"/>
      <c r="T311" s="20"/>
      <c r="U311" s="20"/>
      <c r="V311" s="20"/>
      <c r="W311" s="20"/>
      <c r="X311" s="20"/>
      <c r="Y311" s="20"/>
      <c r="Z311" s="20"/>
    </row>
    <row r="312" spans="1:26" ht="9.75" customHeight="1" x14ac:dyDescent="0.25">
      <c r="A312" s="20"/>
      <c r="B312" s="21"/>
      <c r="C312" s="20"/>
      <c r="D312" s="22"/>
      <c r="E312" s="20"/>
      <c r="F312" s="20"/>
      <c r="G312" s="20"/>
      <c r="H312" s="20"/>
      <c r="I312" s="22"/>
      <c r="J312" s="20"/>
      <c r="K312" s="20"/>
      <c r="L312" s="20"/>
      <c r="M312" s="20"/>
      <c r="N312" s="21"/>
      <c r="O312" s="31"/>
      <c r="P312" s="20"/>
      <c r="Q312" s="31"/>
      <c r="R312" s="20"/>
      <c r="S312" s="20"/>
      <c r="T312" s="20"/>
      <c r="U312" s="20"/>
      <c r="V312" s="20"/>
      <c r="W312" s="20"/>
      <c r="X312" s="20"/>
      <c r="Y312" s="20"/>
      <c r="Z312" s="20"/>
    </row>
    <row r="313" spans="1:26" ht="9.75" customHeight="1" x14ac:dyDescent="0.25">
      <c r="A313" s="20"/>
      <c r="B313" s="21"/>
      <c r="C313" s="20"/>
      <c r="D313" s="22"/>
      <c r="E313" s="20"/>
      <c r="F313" s="20"/>
      <c r="G313" s="20"/>
      <c r="H313" s="20"/>
      <c r="I313" s="22"/>
      <c r="J313" s="20"/>
      <c r="K313" s="20"/>
      <c r="L313" s="20"/>
      <c r="M313" s="20"/>
      <c r="N313" s="21"/>
      <c r="O313" s="31"/>
      <c r="P313" s="20"/>
      <c r="Q313" s="31"/>
      <c r="R313" s="20"/>
      <c r="S313" s="20"/>
      <c r="T313" s="20"/>
      <c r="U313" s="20"/>
      <c r="V313" s="20"/>
      <c r="W313" s="20"/>
      <c r="X313" s="20"/>
      <c r="Y313" s="20"/>
      <c r="Z313" s="20"/>
    </row>
    <row r="314" spans="1:26" ht="9.75" customHeight="1" x14ac:dyDescent="0.25">
      <c r="A314" s="20"/>
      <c r="B314" s="21"/>
      <c r="C314" s="20"/>
      <c r="D314" s="22"/>
      <c r="E314" s="20"/>
      <c r="F314" s="20"/>
      <c r="G314" s="20"/>
      <c r="H314" s="20"/>
      <c r="I314" s="22"/>
      <c r="J314" s="20"/>
      <c r="K314" s="20"/>
      <c r="L314" s="20"/>
      <c r="M314" s="20"/>
      <c r="N314" s="21"/>
      <c r="O314" s="31"/>
      <c r="P314" s="20"/>
      <c r="Q314" s="31"/>
      <c r="R314" s="20"/>
      <c r="S314" s="20"/>
      <c r="T314" s="20"/>
      <c r="U314" s="20"/>
      <c r="V314" s="20"/>
      <c r="W314" s="20"/>
      <c r="X314" s="20"/>
      <c r="Y314" s="20"/>
      <c r="Z314" s="20"/>
    </row>
    <row r="315" spans="1:26" ht="9.75" customHeight="1" x14ac:dyDescent="0.25">
      <c r="A315" s="20"/>
      <c r="B315" s="21"/>
      <c r="C315" s="20"/>
      <c r="D315" s="22"/>
      <c r="E315" s="20"/>
      <c r="F315" s="20"/>
      <c r="G315" s="20"/>
      <c r="H315" s="20"/>
      <c r="I315" s="22"/>
      <c r="J315" s="20"/>
      <c r="K315" s="20"/>
      <c r="L315" s="20"/>
      <c r="M315" s="20"/>
      <c r="N315" s="21"/>
      <c r="O315" s="31"/>
      <c r="P315" s="20"/>
      <c r="Q315" s="31"/>
      <c r="R315" s="20"/>
      <c r="S315" s="20"/>
      <c r="T315" s="20"/>
      <c r="U315" s="20"/>
      <c r="V315" s="20"/>
      <c r="W315" s="20"/>
      <c r="X315" s="20"/>
      <c r="Y315" s="20"/>
      <c r="Z315" s="20"/>
    </row>
    <row r="316" spans="1:26" ht="9.75" customHeight="1" x14ac:dyDescent="0.25">
      <c r="A316" s="20"/>
      <c r="B316" s="21"/>
      <c r="C316" s="20"/>
      <c r="D316" s="22"/>
      <c r="E316" s="20"/>
      <c r="F316" s="20"/>
      <c r="G316" s="20"/>
      <c r="H316" s="20"/>
      <c r="I316" s="22"/>
      <c r="J316" s="20"/>
      <c r="K316" s="20"/>
      <c r="L316" s="20"/>
      <c r="M316" s="20"/>
      <c r="N316" s="21"/>
      <c r="O316" s="31"/>
      <c r="P316" s="20"/>
      <c r="Q316" s="31"/>
      <c r="R316" s="20"/>
      <c r="S316" s="20"/>
      <c r="T316" s="20"/>
      <c r="U316" s="20"/>
      <c r="V316" s="20"/>
      <c r="W316" s="20"/>
      <c r="X316" s="20"/>
      <c r="Y316" s="20"/>
      <c r="Z316" s="20"/>
    </row>
    <row r="317" spans="1:26" ht="9.75" customHeight="1" x14ac:dyDescent="0.25">
      <c r="A317" s="20"/>
      <c r="B317" s="21"/>
      <c r="C317" s="20"/>
      <c r="D317" s="22"/>
      <c r="E317" s="20"/>
      <c r="F317" s="20"/>
      <c r="G317" s="20"/>
      <c r="H317" s="20"/>
      <c r="I317" s="22"/>
      <c r="J317" s="20"/>
      <c r="K317" s="20"/>
      <c r="L317" s="20"/>
      <c r="M317" s="20"/>
      <c r="N317" s="21"/>
      <c r="O317" s="31"/>
      <c r="P317" s="20"/>
      <c r="Q317" s="31"/>
      <c r="R317" s="20"/>
      <c r="S317" s="20"/>
      <c r="T317" s="20"/>
      <c r="U317" s="20"/>
      <c r="V317" s="20"/>
      <c r="W317" s="20"/>
      <c r="X317" s="20"/>
      <c r="Y317" s="20"/>
      <c r="Z317" s="20"/>
    </row>
    <row r="318" spans="1:26" ht="9.75" customHeight="1" x14ac:dyDescent="0.25">
      <c r="A318" s="20"/>
      <c r="B318" s="21"/>
      <c r="C318" s="20"/>
      <c r="D318" s="22"/>
      <c r="E318" s="20"/>
      <c r="F318" s="20"/>
      <c r="G318" s="20"/>
      <c r="H318" s="20"/>
      <c r="I318" s="22"/>
      <c r="J318" s="20"/>
      <c r="K318" s="20"/>
      <c r="L318" s="20"/>
      <c r="M318" s="20"/>
      <c r="N318" s="21"/>
      <c r="O318" s="31"/>
      <c r="P318" s="20"/>
      <c r="Q318" s="31"/>
      <c r="R318" s="20"/>
      <c r="S318" s="20"/>
      <c r="T318" s="20"/>
      <c r="U318" s="20"/>
      <c r="V318" s="20"/>
      <c r="W318" s="20"/>
      <c r="X318" s="20"/>
      <c r="Y318" s="20"/>
      <c r="Z318" s="20"/>
    </row>
    <row r="319" spans="1:26" ht="9.75" customHeight="1" x14ac:dyDescent="0.25">
      <c r="A319" s="20"/>
      <c r="B319" s="21"/>
      <c r="C319" s="20"/>
      <c r="D319" s="22"/>
      <c r="E319" s="20"/>
      <c r="F319" s="20"/>
      <c r="G319" s="20"/>
      <c r="H319" s="20"/>
      <c r="I319" s="22"/>
      <c r="J319" s="20"/>
      <c r="K319" s="20"/>
      <c r="L319" s="20"/>
      <c r="M319" s="20"/>
      <c r="N319" s="21"/>
      <c r="O319" s="31"/>
      <c r="P319" s="20"/>
      <c r="Q319" s="31"/>
      <c r="R319" s="20"/>
      <c r="S319" s="20"/>
      <c r="T319" s="20"/>
      <c r="U319" s="20"/>
      <c r="V319" s="20"/>
      <c r="W319" s="20"/>
      <c r="X319" s="20"/>
      <c r="Y319" s="20"/>
      <c r="Z319" s="20"/>
    </row>
    <row r="320" spans="1:26" ht="9.75" customHeight="1" x14ac:dyDescent="0.25">
      <c r="A320" s="20"/>
      <c r="B320" s="21"/>
      <c r="C320" s="20"/>
      <c r="D320" s="22"/>
      <c r="E320" s="20"/>
      <c r="F320" s="20"/>
      <c r="G320" s="20"/>
      <c r="H320" s="20"/>
      <c r="I320" s="22"/>
      <c r="J320" s="20"/>
      <c r="K320" s="20"/>
      <c r="L320" s="20"/>
      <c r="M320" s="20"/>
      <c r="N320" s="21"/>
      <c r="O320" s="31"/>
      <c r="P320" s="20"/>
      <c r="Q320" s="31"/>
      <c r="R320" s="20"/>
      <c r="S320" s="20"/>
      <c r="T320" s="20"/>
      <c r="U320" s="20"/>
      <c r="V320" s="20"/>
      <c r="W320" s="20"/>
      <c r="X320" s="20"/>
      <c r="Y320" s="20"/>
      <c r="Z320" s="20"/>
    </row>
    <row r="321" spans="1:26" ht="9.75" customHeight="1" x14ac:dyDescent="0.25">
      <c r="A321" s="20"/>
      <c r="B321" s="21"/>
      <c r="C321" s="20"/>
      <c r="D321" s="22"/>
      <c r="E321" s="20"/>
      <c r="F321" s="20"/>
      <c r="G321" s="20"/>
      <c r="H321" s="20"/>
      <c r="I321" s="22"/>
      <c r="J321" s="20"/>
      <c r="K321" s="20"/>
      <c r="L321" s="20"/>
      <c r="M321" s="20"/>
      <c r="N321" s="21"/>
      <c r="O321" s="31"/>
      <c r="P321" s="20"/>
      <c r="Q321" s="31"/>
      <c r="R321" s="20"/>
      <c r="S321" s="20"/>
      <c r="T321" s="20"/>
      <c r="U321" s="20"/>
      <c r="V321" s="20"/>
      <c r="W321" s="20"/>
      <c r="X321" s="20"/>
      <c r="Y321" s="20"/>
      <c r="Z321" s="20"/>
    </row>
    <row r="322" spans="1:26" ht="9.75" customHeight="1" x14ac:dyDescent="0.25">
      <c r="A322" s="20"/>
      <c r="B322" s="21"/>
      <c r="C322" s="20"/>
      <c r="D322" s="22"/>
      <c r="E322" s="20"/>
      <c r="F322" s="20"/>
      <c r="G322" s="20"/>
      <c r="H322" s="20"/>
      <c r="I322" s="22"/>
      <c r="J322" s="20"/>
      <c r="K322" s="20"/>
      <c r="L322" s="20"/>
      <c r="M322" s="20"/>
      <c r="N322" s="21"/>
      <c r="O322" s="31"/>
      <c r="P322" s="20"/>
      <c r="Q322" s="31"/>
      <c r="R322" s="20"/>
      <c r="S322" s="20"/>
      <c r="T322" s="20"/>
      <c r="U322" s="20"/>
      <c r="V322" s="20"/>
      <c r="W322" s="20"/>
      <c r="X322" s="20"/>
      <c r="Y322" s="20"/>
      <c r="Z322" s="20"/>
    </row>
    <row r="323" spans="1:26" ht="9.75" customHeight="1" x14ac:dyDescent="0.25">
      <c r="A323" s="20"/>
      <c r="B323" s="21"/>
      <c r="C323" s="20"/>
      <c r="D323" s="22"/>
      <c r="E323" s="20"/>
      <c r="F323" s="20"/>
      <c r="G323" s="20"/>
      <c r="H323" s="20"/>
      <c r="I323" s="22"/>
      <c r="J323" s="20"/>
      <c r="K323" s="20"/>
      <c r="L323" s="20"/>
      <c r="M323" s="20"/>
      <c r="N323" s="21"/>
      <c r="O323" s="31"/>
      <c r="P323" s="20"/>
      <c r="Q323" s="31"/>
      <c r="R323" s="20"/>
      <c r="S323" s="20"/>
      <c r="T323" s="20"/>
      <c r="U323" s="20"/>
      <c r="V323" s="20"/>
      <c r="W323" s="20"/>
      <c r="X323" s="20"/>
      <c r="Y323" s="20"/>
      <c r="Z323" s="20"/>
    </row>
    <row r="324" spans="1:26" ht="9.75" customHeight="1" x14ac:dyDescent="0.25">
      <c r="A324" s="20"/>
      <c r="B324" s="21"/>
      <c r="C324" s="20"/>
      <c r="D324" s="22"/>
      <c r="E324" s="20"/>
      <c r="F324" s="20"/>
      <c r="G324" s="20"/>
      <c r="H324" s="20"/>
      <c r="I324" s="22"/>
      <c r="J324" s="20"/>
      <c r="K324" s="20"/>
      <c r="L324" s="20"/>
      <c r="M324" s="20"/>
      <c r="N324" s="21"/>
      <c r="O324" s="31"/>
      <c r="P324" s="20"/>
      <c r="Q324" s="31"/>
      <c r="R324" s="20"/>
      <c r="S324" s="20"/>
      <c r="T324" s="20"/>
      <c r="U324" s="20"/>
      <c r="V324" s="20"/>
      <c r="W324" s="20"/>
      <c r="X324" s="20"/>
      <c r="Y324" s="20"/>
      <c r="Z324" s="20"/>
    </row>
    <row r="325" spans="1:26" ht="9.75" customHeight="1" x14ac:dyDescent="0.25">
      <c r="A325" s="20"/>
      <c r="B325" s="21"/>
      <c r="C325" s="20"/>
      <c r="D325" s="22"/>
      <c r="E325" s="20"/>
      <c r="F325" s="20"/>
      <c r="G325" s="20"/>
      <c r="H325" s="20"/>
      <c r="I325" s="22"/>
      <c r="J325" s="20"/>
      <c r="K325" s="20"/>
      <c r="L325" s="20"/>
      <c r="M325" s="20"/>
      <c r="N325" s="21"/>
      <c r="O325" s="31"/>
      <c r="P325" s="20"/>
      <c r="Q325" s="31"/>
      <c r="R325" s="20"/>
      <c r="S325" s="20"/>
      <c r="T325" s="20"/>
      <c r="U325" s="20"/>
      <c r="V325" s="20"/>
      <c r="W325" s="20"/>
      <c r="X325" s="20"/>
      <c r="Y325" s="20"/>
      <c r="Z325" s="20"/>
    </row>
    <row r="326" spans="1:26" ht="9.75" customHeight="1" x14ac:dyDescent="0.25">
      <c r="A326" s="20"/>
      <c r="B326" s="21"/>
      <c r="C326" s="20"/>
      <c r="D326" s="22"/>
      <c r="E326" s="20"/>
      <c r="F326" s="20"/>
      <c r="G326" s="20"/>
      <c r="H326" s="20"/>
      <c r="I326" s="22"/>
      <c r="J326" s="20"/>
      <c r="K326" s="20"/>
      <c r="L326" s="20"/>
      <c r="M326" s="20"/>
      <c r="N326" s="21"/>
      <c r="O326" s="31"/>
      <c r="P326" s="20"/>
      <c r="Q326" s="31"/>
      <c r="R326" s="20"/>
      <c r="S326" s="20"/>
      <c r="T326" s="20"/>
      <c r="U326" s="20"/>
      <c r="V326" s="20"/>
      <c r="W326" s="20"/>
      <c r="X326" s="20"/>
      <c r="Y326" s="20"/>
      <c r="Z326" s="20"/>
    </row>
    <row r="327" spans="1:26" ht="9.75" customHeight="1" x14ac:dyDescent="0.25">
      <c r="A327" s="20"/>
      <c r="B327" s="21"/>
      <c r="C327" s="20"/>
      <c r="D327" s="22"/>
      <c r="E327" s="20"/>
      <c r="F327" s="20"/>
      <c r="G327" s="20"/>
      <c r="H327" s="20"/>
      <c r="I327" s="22"/>
      <c r="J327" s="20"/>
      <c r="K327" s="20"/>
      <c r="L327" s="20"/>
      <c r="M327" s="20"/>
      <c r="N327" s="21"/>
      <c r="O327" s="31"/>
      <c r="P327" s="20"/>
      <c r="Q327" s="31"/>
      <c r="R327" s="20"/>
      <c r="S327" s="20"/>
      <c r="T327" s="20"/>
      <c r="U327" s="20"/>
      <c r="V327" s="20"/>
      <c r="W327" s="20"/>
      <c r="X327" s="20"/>
      <c r="Y327" s="20"/>
      <c r="Z327" s="20"/>
    </row>
    <row r="328" spans="1:26" ht="9.75" customHeight="1" x14ac:dyDescent="0.25">
      <c r="A328" s="20"/>
      <c r="B328" s="21"/>
      <c r="C328" s="20"/>
      <c r="D328" s="22"/>
      <c r="E328" s="20"/>
      <c r="F328" s="20"/>
      <c r="G328" s="20"/>
      <c r="H328" s="20"/>
      <c r="I328" s="22"/>
      <c r="J328" s="20"/>
      <c r="K328" s="20"/>
      <c r="L328" s="20"/>
      <c r="M328" s="20"/>
      <c r="N328" s="21"/>
      <c r="O328" s="31"/>
      <c r="P328" s="20"/>
      <c r="Q328" s="31"/>
      <c r="R328" s="20"/>
      <c r="S328" s="20"/>
      <c r="T328" s="20"/>
      <c r="U328" s="20"/>
      <c r="V328" s="20"/>
      <c r="W328" s="20"/>
      <c r="X328" s="20"/>
      <c r="Y328" s="20"/>
      <c r="Z328" s="20"/>
    </row>
    <row r="329" spans="1:26" ht="9.75" customHeight="1" x14ac:dyDescent="0.25">
      <c r="A329" s="20"/>
      <c r="B329" s="21"/>
      <c r="C329" s="20"/>
      <c r="D329" s="22"/>
      <c r="E329" s="20"/>
      <c r="F329" s="20"/>
      <c r="G329" s="20"/>
      <c r="H329" s="20"/>
      <c r="I329" s="22"/>
      <c r="J329" s="20"/>
      <c r="K329" s="20"/>
      <c r="L329" s="20"/>
      <c r="M329" s="20"/>
      <c r="N329" s="21"/>
      <c r="O329" s="31"/>
      <c r="P329" s="20"/>
      <c r="Q329" s="31"/>
      <c r="R329" s="20"/>
      <c r="S329" s="20"/>
      <c r="T329" s="20"/>
      <c r="U329" s="20"/>
      <c r="V329" s="20"/>
      <c r="W329" s="20"/>
      <c r="X329" s="20"/>
      <c r="Y329" s="20"/>
      <c r="Z329" s="20"/>
    </row>
    <row r="330" spans="1:26" ht="9.75" customHeight="1" x14ac:dyDescent="0.25">
      <c r="A330" s="20"/>
      <c r="B330" s="21"/>
      <c r="C330" s="20"/>
      <c r="D330" s="22"/>
      <c r="E330" s="20"/>
      <c r="F330" s="20"/>
      <c r="G330" s="20"/>
      <c r="H330" s="20"/>
      <c r="I330" s="22"/>
      <c r="J330" s="20"/>
      <c r="K330" s="20"/>
      <c r="L330" s="20"/>
      <c r="M330" s="20"/>
      <c r="N330" s="21"/>
      <c r="O330" s="31"/>
      <c r="P330" s="20"/>
      <c r="Q330" s="31"/>
      <c r="R330" s="20"/>
      <c r="S330" s="20"/>
      <c r="T330" s="20"/>
      <c r="U330" s="20"/>
      <c r="V330" s="20"/>
      <c r="W330" s="20"/>
      <c r="X330" s="20"/>
      <c r="Y330" s="20"/>
      <c r="Z330" s="20"/>
    </row>
    <row r="331" spans="1:26" ht="9.75" customHeight="1" x14ac:dyDescent="0.25">
      <c r="A331" s="20"/>
      <c r="B331" s="21"/>
      <c r="C331" s="20"/>
      <c r="D331" s="22"/>
      <c r="E331" s="20"/>
      <c r="F331" s="20"/>
      <c r="G331" s="20"/>
      <c r="H331" s="20"/>
      <c r="I331" s="22"/>
      <c r="J331" s="20"/>
      <c r="K331" s="20"/>
      <c r="L331" s="20"/>
      <c r="M331" s="20"/>
      <c r="N331" s="21"/>
      <c r="O331" s="31"/>
      <c r="P331" s="20"/>
      <c r="Q331" s="31"/>
      <c r="R331" s="20"/>
      <c r="S331" s="20"/>
      <c r="T331" s="20"/>
      <c r="U331" s="20"/>
      <c r="V331" s="20"/>
      <c r="W331" s="20"/>
      <c r="X331" s="20"/>
      <c r="Y331" s="20"/>
      <c r="Z331" s="20"/>
    </row>
    <row r="332" spans="1:26" ht="9.75" customHeight="1" x14ac:dyDescent="0.25">
      <c r="A332" s="20"/>
      <c r="B332" s="21"/>
      <c r="C332" s="20"/>
      <c r="D332" s="22"/>
      <c r="E332" s="20"/>
      <c r="F332" s="20"/>
      <c r="G332" s="20"/>
      <c r="H332" s="20"/>
      <c r="I332" s="22"/>
      <c r="J332" s="20"/>
      <c r="K332" s="20"/>
      <c r="L332" s="20"/>
      <c r="M332" s="20"/>
      <c r="N332" s="21"/>
      <c r="O332" s="31"/>
      <c r="P332" s="20"/>
      <c r="Q332" s="31"/>
      <c r="R332" s="20"/>
      <c r="S332" s="20"/>
      <c r="T332" s="20"/>
      <c r="U332" s="20"/>
      <c r="V332" s="20"/>
      <c r="W332" s="20"/>
      <c r="X332" s="20"/>
      <c r="Y332" s="20"/>
      <c r="Z332" s="20"/>
    </row>
    <row r="333" spans="1:26" ht="9.75" customHeight="1" x14ac:dyDescent="0.25">
      <c r="A333" s="20"/>
      <c r="B333" s="21"/>
      <c r="C333" s="20"/>
      <c r="D333" s="22"/>
      <c r="E333" s="20"/>
      <c r="F333" s="20"/>
      <c r="G333" s="20"/>
      <c r="H333" s="20"/>
      <c r="I333" s="22"/>
      <c r="J333" s="20"/>
      <c r="K333" s="20"/>
      <c r="L333" s="20"/>
      <c r="M333" s="20"/>
      <c r="N333" s="21"/>
      <c r="O333" s="31"/>
      <c r="P333" s="20"/>
      <c r="Q333" s="31"/>
      <c r="R333" s="20"/>
      <c r="S333" s="20"/>
      <c r="T333" s="20"/>
      <c r="U333" s="20"/>
      <c r="V333" s="20"/>
      <c r="W333" s="20"/>
      <c r="X333" s="20"/>
      <c r="Y333" s="20"/>
      <c r="Z333" s="20"/>
    </row>
    <row r="334" spans="1:26" ht="9.75" customHeight="1" x14ac:dyDescent="0.25">
      <c r="A334" s="20"/>
      <c r="B334" s="21"/>
      <c r="C334" s="20"/>
      <c r="D334" s="22"/>
      <c r="E334" s="20"/>
      <c r="F334" s="20"/>
      <c r="G334" s="20"/>
      <c r="H334" s="20"/>
      <c r="I334" s="22"/>
      <c r="J334" s="20"/>
      <c r="K334" s="20"/>
      <c r="L334" s="20"/>
      <c r="M334" s="20"/>
      <c r="N334" s="21"/>
      <c r="O334" s="31"/>
      <c r="P334" s="20"/>
      <c r="Q334" s="31"/>
      <c r="R334" s="20"/>
      <c r="S334" s="20"/>
      <c r="T334" s="20"/>
      <c r="U334" s="20"/>
      <c r="V334" s="20"/>
      <c r="W334" s="20"/>
      <c r="X334" s="20"/>
      <c r="Y334" s="20"/>
      <c r="Z334" s="20"/>
    </row>
    <row r="335" spans="1:26" ht="9.75" customHeight="1" x14ac:dyDescent="0.25">
      <c r="A335" s="20"/>
      <c r="B335" s="21"/>
      <c r="C335" s="20"/>
      <c r="D335" s="22"/>
      <c r="E335" s="20"/>
      <c r="F335" s="20"/>
      <c r="G335" s="20"/>
      <c r="H335" s="20"/>
      <c r="I335" s="22"/>
      <c r="J335" s="20"/>
      <c r="K335" s="20"/>
      <c r="L335" s="20"/>
      <c r="M335" s="20"/>
      <c r="N335" s="21"/>
      <c r="O335" s="31"/>
      <c r="P335" s="20"/>
      <c r="Q335" s="31"/>
      <c r="R335" s="20"/>
      <c r="S335" s="20"/>
      <c r="T335" s="20"/>
      <c r="U335" s="20"/>
      <c r="V335" s="20"/>
      <c r="W335" s="20"/>
      <c r="X335" s="20"/>
      <c r="Y335" s="20"/>
      <c r="Z335" s="20"/>
    </row>
    <row r="336" spans="1:26" ht="9.75" customHeight="1" x14ac:dyDescent="0.25">
      <c r="A336" s="20"/>
      <c r="B336" s="21"/>
      <c r="C336" s="20"/>
      <c r="D336" s="22"/>
      <c r="E336" s="20"/>
      <c r="F336" s="20"/>
      <c r="G336" s="20"/>
      <c r="H336" s="20"/>
      <c r="I336" s="22"/>
      <c r="J336" s="20"/>
      <c r="K336" s="20"/>
      <c r="L336" s="20"/>
      <c r="M336" s="20"/>
      <c r="N336" s="21"/>
      <c r="O336" s="31"/>
      <c r="P336" s="20"/>
      <c r="Q336" s="31"/>
      <c r="R336" s="20"/>
      <c r="S336" s="20"/>
      <c r="T336" s="20"/>
      <c r="U336" s="20"/>
      <c r="V336" s="20"/>
      <c r="W336" s="20"/>
      <c r="X336" s="20"/>
      <c r="Y336" s="20"/>
      <c r="Z336" s="20"/>
    </row>
    <row r="337" spans="1:26" ht="9.75" customHeight="1" x14ac:dyDescent="0.25">
      <c r="A337" s="20"/>
      <c r="B337" s="21"/>
      <c r="C337" s="20"/>
      <c r="D337" s="22"/>
      <c r="E337" s="20"/>
      <c r="F337" s="20"/>
      <c r="G337" s="20"/>
      <c r="H337" s="20"/>
      <c r="I337" s="22"/>
      <c r="J337" s="20"/>
      <c r="K337" s="20"/>
      <c r="L337" s="20"/>
      <c r="M337" s="20"/>
      <c r="N337" s="21"/>
      <c r="O337" s="31"/>
      <c r="P337" s="20"/>
      <c r="Q337" s="31"/>
      <c r="R337" s="20"/>
      <c r="S337" s="20"/>
      <c r="T337" s="20"/>
      <c r="U337" s="20"/>
      <c r="V337" s="20"/>
      <c r="W337" s="20"/>
      <c r="X337" s="20"/>
      <c r="Y337" s="20"/>
      <c r="Z337" s="20"/>
    </row>
    <row r="338" spans="1:26" ht="9.75" customHeight="1" x14ac:dyDescent="0.25">
      <c r="A338" s="20"/>
      <c r="B338" s="21"/>
      <c r="C338" s="20"/>
      <c r="D338" s="22"/>
      <c r="E338" s="20"/>
      <c r="F338" s="20"/>
      <c r="G338" s="20"/>
      <c r="H338" s="20"/>
      <c r="I338" s="22"/>
      <c r="J338" s="20"/>
      <c r="K338" s="20"/>
      <c r="L338" s="20"/>
      <c r="M338" s="20"/>
      <c r="N338" s="21"/>
      <c r="O338" s="31"/>
      <c r="P338" s="20"/>
      <c r="Q338" s="31"/>
      <c r="R338" s="20"/>
      <c r="S338" s="20"/>
      <c r="T338" s="20"/>
      <c r="U338" s="20"/>
      <c r="V338" s="20"/>
      <c r="W338" s="20"/>
      <c r="X338" s="20"/>
      <c r="Y338" s="20"/>
      <c r="Z338" s="20"/>
    </row>
    <row r="339" spans="1:26" ht="9.75" customHeight="1" x14ac:dyDescent="0.25">
      <c r="A339" s="20"/>
      <c r="B339" s="21"/>
      <c r="C339" s="20"/>
      <c r="D339" s="22"/>
      <c r="E339" s="20"/>
      <c r="F339" s="20"/>
      <c r="G339" s="20"/>
      <c r="H339" s="20"/>
      <c r="I339" s="22"/>
      <c r="J339" s="20"/>
      <c r="K339" s="20"/>
      <c r="L339" s="20"/>
      <c r="M339" s="20"/>
      <c r="N339" s="21"/>
      <c r="O339" s="31"/>
      <c r="P339" s="20"/>
      <c r="Q339" s="31"/>
      <c r="R339" s="20"/>
      <c r="S339" s="20"/>
      <c r="T339" s="20"/>
      <c r="U339" s="20"/>
      <c r="V339" s="20"/>
      <c r="W339" s="20"/>
      <c r="X339" s="20"/>
      <c r="Y339" s="20"/>
      <c r="Z339" s="20"/>
    </row>
    <row r="340" spans="1:26" ht="9.75" customHeight="1" x14ac:dyDescent="0.25">
      <c r="A340" s="20"/>
      <c r="B340" s="21"/>
      <c r="C340" s="20"/>
      <c r="D340" s="22"/>
      <c r="E340" s="20"/>
      <c r="F340" s="20"/>
      <c r="G340" s="20"/>
      <c r="H340" s="20"/>
      <c r="I340" s="22"/>
      <c r="J340" s="20"/>
      <c r="K340" s="20"/>
      <c r="L340" s="20"/>
      <c r="M340" s="20"/>
      <c r="N340" s="21"/>
      <c r="O340" s="31"/>
      <c r="P340" s="20"/>
      <c r="Q340" s="31"/>
      <c r="R340" s="20"/>
      <c r="S340" s="20"/>
      <c r="T340" s="20"/>
      <c r="U340" s="20"/>
      <c r="V340" s="20"/>
      <c r="W340" s="20"/>
      <c r="X340" s="20"/>
      <c r="Y340" s="20"/>
      <c r="Z340" s="20"/>
    </row>
    <row r="341" spans="1:26" ht="9.75" customHeight="1" x14ac:dyDescent="0.25">
      <c r="A341" s="20"/>
      <c r="B341" s="21"/>
      <c r="C341" s="20"/>
      <c r="D341" s="22"/>
      <c r="E341" s="20"/>
      <c r="F341" s="20"/>
      <c r="G341" s="20"/>
      <c r="H341" s="20"/>
      <c r="I341" s="22"/>
      <c r="J341" s="20"/>
      <c r="K341" s="20"/>
      <c r="L341" s="20"/>
      <c r="M341" s="20"/>
      <c r="N341" s="21"/>
      <c r="O341" s="31"/>
      <c r="P341" s="20"/>
      <c r="Q341" s="31"/>
      <c r="R341" s="20"/>
      <c r="S341" s="20"/>
      <c r="T341" s="20"/>
      <c r="U341" s="20"/>
      <c r="V341" s="20"/>
      <c r="W341" s="20"/>
      <c r="X341" s="20"/>
      <c r="Y341" s="20"/>
      <c r="Z341" s="20"/>
    </row>
    <row r="342" spans="1:26" ht="9.75" customHeight="1" x14ac:dyDescent="0.25">
      <c r="A342" s="20"/>
      <c r="B342" s="21"/>
      <c r="C342" s="20"/>
      <c r="D342" s="22"/>
      <c r="E342" s="20"/>
      <c r="F342" s="20"/>
      <c r="G342" s="20"/>
      <c r="H342" s="20"/>
      <c r="I342" s="22"/>
      <c r="J342" s="20"/>
      <c r="K342" s="20"/>
      <c r="L342" s="20"/>
      <c r="M342" s="20"/>
      <c r="N342" s="21"/>
      <c r="O342" s="31"/>
      <c r="P342" s="20"/>
      <c r="Q342" s="31"/>
      <c r="R342" s="20"/>
      <c r="S342" s="20"/>
      <c r="T342" s="20"/>
      <c r="U342" s="20"/>
      <c r="V342" s="20"/>
      <c r="W342" s="20"/>
      <c r="X342" s="20"/>
      <c r="Y342" s="20"/>
      <c r="Z342" s="20"/>
    </row>
    <row r="343" spans="1:26" ht="9.75" customHeight="1" x14ac:dyDescent="0.25">
      <c r="A343" s="20"/>
      <c r="B343" s="21"/>
      <c r="C343" s="20"/>
      <c r="D343" s="22"/>
      <c r="E343" s="20"/>
      <c r="F343" s="20"/>
      <c r="G343" s="20"/>
      <c r="H343" s="20"/>
      <c r="I343" s="22"/>
      <c r="J343" s="20"/>
      <c r="K343" s="20"/>
      <c r="L343" s="20"/>
      <c r="M343" s="20"/>
      <c r="N343" s="21"/>
      <c r="O343" s="31"/>
      <c r="P343" s="20"/>
      <c r="Q343" s="31"/>
      <c r="R343" s="20"/>
      <c r="S343" s="20"/>
      <c r="T343" s="20"/>
      <c r="U343" s="20"/>
      <c r="V343" s="20"/>
      <c r="W343" s="20"/>
      <c r="X343" s="20"/>
      <c r="Y343" s="20"/>
      <c r="Z343" s="20"/>
    </row>
    <row r="344" spans="1:26" ht="9.75" customHeight="1" x14ac:dyDescent="0.25">
      <c r="A344" s="20"/>
      <c r="B344" s="21"/>
      <c r="C344" s="20"/>
      <c r="D344" s="22"/>
      <c r="E344" s="20"/>
      <c r="F344" s="20"/>
      <c r="G344" s="20"/>
      <c r="H344" s="20"/>
      <c r="I344" s="22"/>
      <c r="J344" s="20"/>
      <c r="K344" s="20"/>
      <c r="L344" s="20"/>
      <c r="M344" s="20"/>
      <c r="N344" s="21"/>
      <c r="O344" s="31"/>
      <c r="P344" s="20"/>
      <c r="Q344" s="31"/>
      <c r="R344" s="20"/>
      <c r="S344" s="20"/>
      <c r="T344" s="20"/>
      <c r="U344" s="20"/>
      <c r="V344" s="20"/>
      <c r="W344" s="20"/>
      <c r="X344" s="20"/>
      <c r="Y344" s="20"/>
      <c r="Z344" s="20"/>
    </row>
    <row r="345" spans="1:26" ht="9.75" customHeight="1" x14ac:dyDescent="0.25">
      <c r="A345" s="20"/>
      <c r="B345" s="21"/>
      <c r="C345" s="20"/>
      <c r="D345" s="22"/>
      <c r="E345" s="20"/>
      <c r="F345" s="20"/>
      <c r="G345" s="20"/>
      <c r="H345" s="20"/>
      <c r="I345" s="22"/>
      <c r="J345" s="20"/>
      <c r="K345" s="20"/>
      <c r="L345" s="20"/>
      <c r="M345" s="20"/>
      <c r="N345" s="21"/>
      <c r="O345" s="31"/>
      <c r="P345" s="20"/>
      <c r="Q345" s="31"/>
      <c r="R345" s="20"/>
      <c r="S345" s="20"/>
      <c r="T345" s="20"/>
      <c r="U345" s="20"/>
      <c r="V345" s="20"/>
      <c r="W345" s="20"/>
      <c r="X345" s="20"/>
      <c r="Y345" s="20"/>
      <c r="Z345" s="20"/>
    </row>
    <row r="346" spans="1:26" ht="9.75" customHeight="1" x14ac:dyDescent="0.25">
      <c r="A346" s="20"/>
      <c r="B346" s="21"/>
      <c r="C346" s="20"/>
      <c r="D346" s="22"/>
      <c r="E346" s="20"/>
      <c r="F346" s="20"/>
      <c r="G346" s="20"/>
      <c r="H346" s="20"/>
      <c r="I346" s="22"/>
      <c r="J346" s="20"/>
      <c r="K346" s="20"/>
      <c r="L346" s="20"/>
      <c r="M346" s="20"/>
      <c r="N346" s="21"/>
      <c r="O346" s="31"/>
      <c r="P346" s="20"/>
      <c r="Q346" s="31"/>
      <c r="R346" s="20"/>
      <c r="S346" s="20"/>
      <c r="T346" s="20"/>
      <c r="U346" s="20"/>
      <c r="V346" s="20"/>
      <c r="W346" s="20"/>
      <c r="X346" s="20"/>
      <c r="Y346" s="20"/>
      <c r="Z346" s="20"/>
    </row>
    <row r="347" spans="1:26" ht="9.75" customHeight="1" x14ac:dyDescent="0.25">
      <c r="A347" s="20"/>
      <c r="B347" s="21"/>
      <c r="C347" s="20"/>
      <c r="D347" s="22"/>
      <c r="E347" s="20"/>
      <c r="F347" s="20"/>
      <c r="G347" s="20"/>
      <c r="H347" s="20"/>
      <c r="I347" s="22"/>
      <c r="J347" s="20"/>
      <c r="K347" s="20"/>
      <c r="L347" s="20"/>
      <c r="M347" s="20"/>
      <c r="N347" s="21"/>
      <c r="O347" s="31"/>
      <c r="P347" s="20"/>
      <c r="Q347" s="31"/>
      <c r="R347" s="20"/>
      <c r="S347" s="20"/>
      <c r="T347" s="20"/>
      <c r="U347" s="20"/>
      <c r="V347" s="20"/>
      <c r="W347" s="20"/>
      <c r="X347" s="20"/>
      <c r="Y347" s="20"/>
      <c r="Z347" s="20"/>
    </row>
    <row r="348" spans="1:26" ht="9.75" customHeight="1" x14ac:dyDescent="0.25">
      <c r="A348" s="20"/>
      <c r="B348" s="21"/>
      <c r="C348" s="20"/>
      <c r="D348" s="22"/>
      <c r="E348" s="20"/>
      <c r="F348" s="20"/>
      <c r="G348" s="20"/>
      <c r="H348" s="20"/>
      <c r="I348" s="22"/>
      <c r="J348" s="20"/>
      <c r="K348" s="20"/>
      <c r="L348" s="20"/>
      <c r="M348" s="20"/>
      <c r="N348" s="21"/>
      <c r="O348" s="31"/>
      <c r="P348" s="20"/>
      <c r="Q348" s="31"/>
      <c r="R348" s="20"/>
      <c r="S348" s="20"/>
      <c r="T348" s="20"/>
      <c r="U348" s="20"/>
      <c r="V348" s="20"/>
      <c r="W348" s="20"/>
      <c r="X348" s="20"/>
      <c r="Y348" s="20"/>
      <c r="Z348" s="20"/>
    </row>
    <row r="349" spans="1:26" ht="9.75" customHeight="1" x14ac:dyDescent="0.25">
      <c r="A349" s="20"/>
      <c r="B349" s="21"/>
      <c r="C349" s="20"/>
      <c r="D349" s="22"/>
      <c r="E349" s="20"/>
      <c r="F349" s="20"/>
      <c r="G349" s="20"/>
      <c r="H349" s="20"/>
      <c r="I349" s="22"/>
      <c r="J349" s="20"/>
      <c r="K349" s="20"/>
      <c r="L349" s="20"/>
      <c r="M349" s="20"/>
      <c r="N349" s="21"/>
      <c r="O349" s="31"/>
      <c r="P349" s="20"/>
      <c r="Q349" s="31"/>
      <c r="R349" s="20"/>
      <c r="S349" s="20"/>
      <c r="T349" s="20"/>
      <c r="U349" s="20"/>
      <c r="V349" s="20"/>
      <c r="W349" s="20"/>
      <c r="X349" s="20"/>
      <c r="Y349" s="20"/>
      <c r="Z349" s="20"/>
    </row>
    <row r="350" spans="1:26" ht="9.75" customHeight="1" x14ac:dyDescent="0.25">
      <c r="A350" s="20"/>
      <c r="B350" s="21"/>
      <c r="C350" s="20"/>
      <c r="D350" s="22"/>
      <c r="E350" s="20"/>
      <c r="F350" s="20"/>
      <c r="G350" s="20"/>
      <c r="H350" s="20"/>
      <c r="I350" s="22"/>
      <c r="J350" s="20"/>
      <c r="K350" s="20"/>
      <c r="L350" s="20"/>
      <c r="M350" s="20"/>
      <c r="N350" s="21"/>
      <c r="O350" s="31"/>
      <c r="P350" s="20"/>
      <c r="Q350" s="31"/>
      <c r="R350" s="20"/>
      <c r="S350" s="20"/>
      <c r="T350" s="20"/>
      <c r="U350" s="20"/>
      <c r="V350" s="20"/>
      <c r="W350" s="20"/>
      <c r="X350" s="20"/>
      <c r="Y350" s="20"/>
      <c r="Z350" s="20"/>
    </row>
    <row r="351" spans="1:26" ht="9.75" customHeight="1" x14ac:dyDescent="0.25">
      <c r="A351" s="20"/>
      <c r="B351" s="21"/>
      <c r="C351" s="20"/>
      <c r="D351" s="22"/>
      <c r="E351" s="20"/>
      <c r="F351" s="20"/>
      <c r="G351" s="20"/>
      <c r="H351" s="20"/>
      <c r="I351" s="22"/>
      <c r="J351" s="20"/>
      <c r="K351" s="20"/>
      <c r="L351" s="20"/>
      <c r="M351" s="20"/>
      <c r="N351" s="21"/>
      <c r="O351" s="31"/>
      <c r="P351" s="20"/>
      <c r="Q351" s="31"/>
      <c r="R351" s="20"/>
      <c r="S351" s="20"/>
      <c r="T351" s="20"/>
      <c r="U351" s="20"/>
      <c r="V351" s="20"/>
      <c r="W351" s="20"/>
      <c r="X351" s="20"/>
      <c r="Y351" s="20"/>
      <c r="Z351" s="20"/>
    </row>
    <row r="352" spans="1:26" ht="9.75" customHeight="1" x14ac:dyDescent="0.25">
      <c r="A352" s="20"/>
      <c r="B352" s="21"/>
      <c r="C352" s="20"/>
      <c r="D352" s="22"/>
      <c r="E352" s="20"/>
      <c r="F352" s="20"/>
      <c r="G352" s="20"/>
      <c r="H352" s="20"/>
      <c r="I352" s="22"/>
      <c r="J352" s="20"/>
      <c r="K352" s="20"/>
      <c r="L352" s="20"/>
      <c r="M352" s="20"/>
      <c r="N352" s="21"/>
      <c r="O352" s="31"/>
      <c r="P352" s="20"/>
      <c r="Q352" s="31"/>
      <c r="R352" s="20"/>
      <c r="S352" s="20"/>
      <c r="T352" s="20"/>
      <c r="U352" s="20"/>
      <c r="V352" s="20"/>
      <c r="W352" s="20"/>
      <c r="X352" s="20"/>
      <c r="Y352" s="20"/>
      <c r="Z352" s="20"/>
    </row>
    <row r="353" spans="1:26" ht="9.75" customHeight="1" x14ac:dyDescent="0.25">
      <c r="A353" s="20"/>
      <c r="B353" s="21"/>
      <c r="C353" s="20"/>
      <c r="D353" s="22"/>
      <c r="E353" s="20"/>
      <c r="F353" s="20"/>
      <c r="G353" s="20"/>
      <c r="H353" s="20"/>
      <c r="I353" s="22"/>
      <c r="J353" s="20"/>
      <c r="K353" s="20"/>
      <c r="L353" s="20"/>
      <c r="M353" s="20"/>
      <c r="N353" s="21"/>
      <c r="O353" s="31"/>
      <c r="P353" s="20"/>
      <c r="Q353" s="31"/>
      <c r="R353" s="20"/>
      <c r="S353" s="20"/>
      <c r="T353" s="20"/>
      <c r="U353" s="20"/>
      <c r="V353" s="20"/>
      <c r="W353" s="20"/>
      <c r="X353" s="20"/>
      <c r="Y353" s="20"/>
      <c r="Z353" s="20"/>
    </row>
    <row r="354" spans="1:26" ht="9.75" customHeight="1" x14ac:dyDescent="0.25">
      <c r="A354" s="20"/>
      <c r="B354" s="21"/>
      <c r="C354" s="20"/>
      <c r="D354" s="22"/>
      <c r="E354" s="20"/>
      <c r="F354" s="20"/>
      <c r="G354" s="20"/>
      <c r="H354" s="20"/>
      <c r="I354" s="22"/>
      <c r="J354" s="20"/>
      <c r="K354" s="20"/>
      <c r="L354" s="20"/>
      <c r="M354" s="20"/>
      <c r="N354" s="21"/>
      <c r="O354" s="31"/>
      <c r="P354" s="20"/>
      <c r="Q354" s="31"/>
      <c r="R354" s="20"/>
      <c r="S354" s="20"/>
      <c r="T354" s="20"/>
      <c r="U354" s="20"/>
      <c r="V354" s="20"/>
      <c r="W354" s="20"/>
      <c r="X354" s="20"/>
      <c r="Y354" s="20"/>
      <c r="Z354" s="20"/>
    </row>
    <row r="355" spans="1:26" ht="9.75" customHeight="1" x14ac:dyDescent="0.25">
      <c r="A355" s="20"/>
      <c r="B355" s="21"/>
      <c r="C355" s="20"/>
      <c r="D355" s="22"/>
      <c r="E355" s="20"/>
      <c r="F355" s="20"/>
      <c r="G355" s="20"/>
      <c r="H355" s="20"/>
      <c r="I355" s="22"/>
      <c r="J355" s="20"/>
      <c r="K355" s="20"/>
      <c r="L355" s="20"/>
      <c r="M355" s="20"/>
      <c r="N355" s="21"/>
      <c r="O355" s="31"/>
      <c r="P355" s="20"/>
      <c r="Q355" s="31"/>
      <c r="R355" s="20"/>
      <c r="S355" s="20"/>
      <c r="T355" s="20"/>
      <c r="U355" s="20"/>
      <c r="V355" s="20"/>
      <c r="W355" s="20"/>
      <c r="X355" s="20"/>
      <c r="Y355" s="20"/>
      <c r="Z355" s="20"/>
    </row>
    <row r="356" spans="1:26" ht="9.75" customHeight="1" x14ac:dyDescent="0.25">
      <c r="A356" s="20"/>
      <c r="B356" s="21"/>
      <c r="C356" s="20"/>
      <c r="D356" s="22"/>
      <c r="E356" s="20"/>
      <c r="F356" s="20"/>
      <c r="G356" s="20"/>
      <c r="H356" s="20"/>
      <c r="I356" s="22"/>
      <c r="J356" s="20"/>
      <c r="K356" s="20"/>
      <c r="L356" s="20"/>
      <c r="M356" s="20"/>
      <c r="N356" s="21"/>
      <c r="O356" s="31"/>
      <c r="P356" s="20"/>
      <c r="Q356" s="31"/>
      <c r="R356" s="20"/>
      <c r="S356" s="20"/>
      <c r="T356" s="20"/>
      <c r="U356" s="20"/>
      <c r="V356" s="20"/>
      <c r="W356" s="20"/>
      <c r="X356" s="20"/>
      <c r="Y356" s="20"/>
      <c r="Z356" s="20"/>
    </row>
    <row r="357" spans="1:26" ht="9.75" customHeight="1" x14ac:dyDescent="0.25">
      <c r="A357" s="20"/>
      <c r="B357" s="21"/>
      <c r="C357" s="20"/>
      <c r="D357" s="22"/>
      <c r="E357" s="20"/>
      <c r="F357" s="20"/>
      <c r="G357" s="20"/>
      <c r="H357" s="20"/>
      <c r="I357" s="22"/>
      <c r="J357" s="20"/>
      <c r="K357" s="20"/>
      <c r="L357" s="20"/>
      <c r="M357" s="20"/>
      <c r="N357" s="21"/>
      <c r="O357" s="31"/>
      <c r="P357" s="20"/>
      <c r="Q357" s="31"/>
      <c r="R357" s="20"/>
      <c r="S357" s="20"/>
      <c r="T357" s="20"/>
      <c r="U357" s="20"/>
      <c r="V357" s="20"/>
      <c r="W357" s="20"/>
      <c r="X357" s="20"/>
      <c r="Y357" s="20"/>
      <c r="Z357" s="20"/>
    </row>
    <row r="358" spans="1:26" ht="9.75" customHeight="1" x14ac:dyDescent="0.25">
      <c r="A358" s="20"/>
      <c r="B358" s="21"/>
      <c r="C358" s="20"/>
      <c r="D358" s="22"/>
      <c r="E358" s="20"/>
      <c r="F358" s="20"/>
      <c r="G358" s="20"/>
      <c r="H358" s="20"/>
      <c r="I358" s="22"/>
      <c r="J358" s="20"/>
      <c r="K358" s="20"/>
      <c r="L358" s="20"/>
      <c r="M358" s="20"/>
      <c r="N358" s="21"/>
      <c r="O358" s="31"/>
      <c r="P358" s="20"/>
      <c r="Q358" s="31"/>
      <c r="R358" s="20"/>
      <c r="S358" s="20"/>
      <c r="T358" s="20"/>
      <c r="U358" s="20"/>
      <c r="V358" s="20"/>
      <c r="W358" s="20"/>
      <c r="X358" s="20"/>
      <c r="Y358" s="20"/>
      <c r="Z358" s="20"/>
    </row>
    <row r="359" spans="1:26" ht="9.75" customHeight="1" x14ac:dyDescent="0.25">
      <c r="A359" s="20"/>
      <c r="B359" s="21"/>
      <c r="C359" s="20"/>
      <c r="D359" s="22"/>
      <c r="E359" s="20"/>
      <c r="F359" s="20"/>
      <c r="G359" s="20"/>
      <c r="H359" s="20"/>
      <c r="I359" s="22"/>
      <c r="J359" s="20"/>
      <c r="K359" s="20"/>
      <c r="L359" s="20"/>
      <c r="M359" s="20"/>
      <c r="N359" s="21"/>
      <c r="O359" s="31"/>
      <c r="P359" s="20"/>
      <c r="Q359" s="31"/>
      <c r="R359" s="20"/>
      <c r="S359" s="20"/>
      <c r="T359" s="20"/>
      <c r="U359" s="20"/>
      <c r="V359" s="20"/>
      <c r="W359" s="20"/>
      <c r="X359" s="20"/>
      <c r="Y359" s="20"/>
      <c r="Z359" s="20"/>
    </row>
    <row r="360" spans="1:26" ht="9.75" customHeight="1" x14ac:dyDescent="0.25">
      <c r="A360" s="20"/>
      <c r="B360" s="21"/>
      <c r="C360" s="20"/>
      <c r="D360" s="22"/>
      <c r="E360" s="20"/>
      <c r="F360" s="20"/>
      <c r="G360" s="20"/>
      <c r="H360" s="20"/>
      <c r="I360" s="22"/>
      <c r="J360" s="20"/>
      <c r="K360" s="20"/>
      <c r="L360" s="20"/>
      <c r="M360" s="20"/>
      <c r="N360" s="21"/>
      <c r="O360" s="31"/>
      <c r="P360" s="20"/>
      <c r="Q360" s="31"/>
      <c r="R360" s="20"/>
      <c r="S360" s="20"/>
      <c r="T360" s="20"/>
      <c r="U360" s="20"/>
      <c r="V360" s="20"/>
      <c r="W360" s="20"/>
      <c r="X360" s="20"/>
      <c r="Y360" s="20"/>
      <c r="Z360" s="20"/>
    </row>
    <row r="361" spans="1:26" ht="9.75" customHeight="1" x14ac:dyDescent="0.25">
      <c r="A361" s="20"/>
      <c r="B361" s="21"/>
      <c r="C361" s="20"/>
      <c r="D361" s="22"/>
      <c r="E361" s="20"/>
      <c r="F361" s="20"/>
      <c r="G361" s="20"/>
      <c r="H361" s="20"/>
      <c r="I361" s="22"/>
      <c r="J361" s="20"/>
      <c r="K361" s="20"/>
      <c r="L361" s="20"/>
      <c r="M361" s="20"/>
      <c r="N361" s="21"/>
      <c r="O361" s="31"/>
      <c r="P361" s="20"/>
      <c r="Q361" s="31"/>
      <c r="R361" s="20"/>
      <c r="S361" s="20"/>
      <c r="T361" s="20"/>
      <c r="U361" s="20"/>
      <c r="V361" s="20"/>
      <c r="W361" s="20"/>
      <c r="X361" s="20"/>
      <c r="Y361" s="20"/>
      <c r="Z361" s="20"/>
    </row>
    <row r="362" spans="1:26" ht="9.75" customHeight="1" x14ac:dyDescent="0.25">
      <c r="A362" s="20"/>
      <c r="B362" s="21"/>
      <c r="C362" s="20"/>
      <c r="D362" s="22"/>
      <c r="E362" s="20"/>
      <c r="F362" s="20"/>
      <c r="G362" s="20"/>
      <c r="H362" s="20"/>
      <c r="I362" s="22"/>
      <c r="J362" s="20"/>
      <c r="K362" s="20"/>
      <c r="L362" s="20"/>
      <c r="M362" s="20"/>
      <c r="N362" s="21"/>
      <c r="O362" s="31"/>
      <c r="P362" s="20"/>
      <c r="Q362" s="31"/>
      <c r="R362" s="20"/>
      <c r="S362" s="20"/>
      <c r="T362" s="20"/>
      <c r="U362" s="20"/>
      <c r="V362" s="20"/>
      <c r="W362" s="20"/>
      <c r="X362" s="20"/>
      <c r="Y362" s="20"/>
      <c r="Z362" s="20"/>
    </row>
    <row r="363" spans="1:26" ht="9.75" customHeight="1" x14ac:dyDescent="0.25">
      <c r="A363" s="20"/>
      <c r="B363" s="21"/>
      <c r="C363" s="20"/>
      <c r="D363" s="22"/>
      <c r="E363" s="20"/>
      <c r="F363" s="20"/>
      <c r="G363" s="20"/>
      <c r="H363" s="20"/>
      <c r="I363" s="22"/>
      <c r="J363" s="20"/>
      <c r="K363" s="20"/>
      <c r="L363" s="20"/>
      <c r="M363" s="20"/>
      <c r="N363" s="21"/>
      <c r="O363" s="31"/>
      <c r="P363" s="20"/>
      <c r="Q363" s="31"/>
      <c r="R363" s="20"/>
      <c r="S363" s="20"/>
      <c r="T363" s="20"/>
      <c r="U363" s="20"/>
      <c r="V363" s="20"/>
      <c r="W363" s="20"/>
      <c r="X363" s="20"/>
      <c r="Y363" s="20"/>
      <c r="Z363" s="20"/>
    </row>
    <row r="364" spans="1:26" ht="9.75" customHeight="1" x14ac:dyDescent="0.25">
      <c r="A364" s="20"/>
      <c r="B364" s="21"/>
      <c r="C364" s="20"/>
      <c r="D364" s="22"/>
      <c r="E364" s="20"/>
      <c r="F364" s="20"/>
      <c r="G364" s="20"/>
      <c r="H364" s="20"/>
      <c r="I364" s="22"/>
      <c r="J364" s="20"/>
      <c r="K364" s="20"/>
      <c r="L364" s="20"/>
      <c r="M364" s="20"/>
      <c r="N364" s="21"/>
      <c r="O364" s="31"/>
      <c r="P364" s="20"/>
      <c r="Q364" s="31"/>
      <c r="R364" s="20"/>
      <c r="S364" s="20"/>
      <c r="T364" s="20"/>
      <c r="U364" s="20"/>
      <c r="V364" s="20"/>
      <c r="W364" s="20"/>
      <c r="X364" s="20"/>
      <c r="Y364" s="20"/>
      <c r="Z364" s="20"/>
    </row>
    <row r="365" spans="1:26" ht="9.75" customHeight="1" x14ac:dyDescent="0.25">
      <c r="A365" s="20"/>
      <c r="B365" s="21"/>
      <c r="C365" s="20"/>
      <c r="D365" s="22"/>
      <c r="E365" s="20"/>
      <c r="F365" s="20"/>
      <c r="G365" s="20"/>
      <c r="H365" s="20"/>
      <c r="I365" s="22"/>
      <c r="J365" s="20"/>
      <c r="K365" s="20"/>
      <c r="L365" s="20"/>
      <c r="M365" s="20"/>
      <c r="N365" s="21"/>
      <c r="O365" s="31"/>
      <c r="P365" s="20"/>
      <c r="Q365" s="31"/>
      <c r="R365" s="20"/>
      <c r="S365" s="20"/>
      <c r="T365" s="20"/>
      <c r="U365" s="20"/>
      <c r="V365" s="20"/>
      <c r="W365" s="20"/>
      <c r="X365" s="20"/>
      <c r="Y365" s="20"/>
      <c r="Z365" s="20"/>
    </row>
    <row r="366" spans="1:26" ht="9.75" customHeight="1" x14ac:dyDescent="0.25">
      <c r="A366" s="20"/>
      <c r="B366" s="21"/>
      <c r="C366" s="20"/>
      <c r="D366" s="22"/>
      <c r="E366" s="20"/>
      <c r="F366" s="20"/>
      <c r="G366" s="20"/>
      <c r="H366" s="20"/>
      <c r="I366" s="22"/>
      <c r="J366" s="20"/>
      <c r="K366" s="20"/>
      <c r="L366" s="20"/>
      <c r="M366" s="20"/>
      <c r="N366" s="21"/>
      <c r="O366" s="31"/>
      <c r="P366" s="20"/>
      <c r="Q366" s="31"/>
      <c r="R366" s="20"/>
      <c r="S366" s="20"/>
      <c r="T366" s="20"/>
      <c r="U366" s="20"/>
      <c r="V366" s="20"/>
      <c r="W366" s="20"/>
      <c r="X366" s="20"/>
      <c r="Y366" s="20"/>
      <c r="Z366" s="20"/>
    </row>
    <row r="367" spans="1:26" ht="9.75" customHeight="1" x14ac:dyDescent="0.25">
      <c r="A367" s="20"/>
      <c r="B367" s="21"/>
      <c r="C367" s="20"/>
      <c r="D367" s="22"/>
      <c r="E367" s="20"/>
      <c r="F367" s="20"/>
      <c r="G367" s="20"/>
      <c r="H367" s="20"/>
      <c r="I367" s="22"/>
      <c r="J367" s="20"/>
      <c r="K367" s="20"/>
      <c r="L367" s="20"/>
      <c r="M367" s="20"/>
      <c r="N367" s="21"/>
      <c r="O367" s="31"/>
      <c r="P367" s="20"/>
      <c r="Q367" s="31"/>
      <c r="R367" s="20"/>
      <c r="S367" s="20"/>
      <c r="T367" s="20"/>
      <c r="U367" s="20"/>
      <c r="V367" s="20"/>
      <c r="W367" s="20"/>
      <c r="X367" s="20"/>
      <c r="Y367" s="20"/>
      <c r="Z367" s="20"/>
    </row>
    <row r="368" spans="1:26" ht="9.75" customHeight="1" x14ac:dyDescent="0.25">
      <c r="A368" s="20"/>
      <c r="B368" s="21"/>
      <c r="C368" s="20"/>
      <c r="D368" s="22"/>
      <c r="E368" s="20"/>
      <c r="F368" s="20"/>
      <c r="G368" s="20"/>
      <c r="H368" s="20"/>
      <c r="I368" s="22"/>
      <c r="J368" s="20"/>
      <c r="K368" s="20"/>
      <c r="L368" s="20"/>
      <c r="M368" s="20"/>
      <c r="N368" s="21"/>
      <c r="O368" s="31"/>
      <c r="P368" s="20"/>
      <c r="Q368" s="31"/>
      <c r="R368" s="20"/>
      <c r="S368" s="20"/>
      <c r="T368" s="20"/>
      <c r="U368" s="20"/>
      <c r="V368" s="20"/>
      <c r="W368" s="20"/>
      <c r="X368" s="20"/>
      <c r="Y368" s="20"/>
      <c r="Z368" s="20"/>
    </row>
    <row r="369" spans="1:26" ht="9.75" customHeight="1" x14ac:dyDescent="0.25">
      <c r="A369" s="20"/>
      <c r="B369" s="21"/>
      <c r="C369" s="20"/>
      <c r="D369" s="22"/>
      <c r="E369" s="20"/>
      <c r="F369" s="20"/>
      <c r="G369" s="20"/>
      <c r="H369" s="20"/>
      <c r="I369" s="22"/>
      <c r="J369" s="20"/>
      <c r="K369" s="20"/>
      <c r="L369" s="20"/>
      <c r="M369" s="20"/>
      <c r="N369" s="21"/>
      <c r="O369" s="31"/>
      <c r="P369" s="20"/>
      <c r="Q369" s="31"/>
      <c r="R369" s="20"/>
      <c r="S369" s="20"/>
      <c r="T369" s="20"/>
      <c r="U369" s="20"/>
      <c r="V369" s="20"/>
      <c r="W369" s="20"/>
      <c r="X369" s="20"/>
      <c r="Y369" s="20"/>
      <c r="Z369" s="20"/>
    </row>
    <row r="370" spans="1:26" ht="9.75" customHeight="1" x14ac:dyDescent="0.25">
      <c r="A370" s="20"/>
      <c r="B370" s="21"/>
      <c r="C370" s="20"/>
      <c r="D370" s="22"/>
      <c r="E370" s="20"/>
      <c r="F370" s="20"/>
      <c r="G370" s="20"/>
      <c r="H370" s="20"/>
      <c r="I370" s="22"/>
      <c r="J370" s="20"/>
      <c r="K370" s="20"/>
      <c r="L370" s="20"/>
      <c r="M370" s="20"/>
      <c r="N370" s="21"/>
      <c r="O370" s="31"/>
      <c r="P370" s="20"/>
      <c r="Q370" s="31"/>
      <c r="R370" s="20"/>
      <c r="S370" s="20"/>
      <c r="T370" s="20"/>
      <c r="U370" s="20"/>
      <c r="V370" s="20"/>
      <c r="W370" s="20"/>
      <c r="X370" s="20"/>
      <c r="Y370" s="20"/>
      <c r="Z370" s="20"/>
    </row>
    <row r="371" spans="1:26" ht="9.75" customHeight="1" x14ac:dyDescent="0.25">
      <c r="A371" s="20"/>
      <c r="B371" s="21"/>
      <c r="C371" s="20"/>
      <c r="D371" s="22"/>
      <c r="E371" s="20"/>
      <c r="F371" s="20"/>
      <c r="G371" s="20"/>
      <c r="H371" s="20"/>
      <c r="I371" s="22"/>
      <c r="J371" s="20"/>
      <c r="K371" s="20"/>
      <c r="L371" s="20"/>
      <c r="M371" s="20"/>
      <c r="N371" s="21"/>
      <c r="O371" s="31"/>
      <c r="P371" s="20"/>
      <c r="Q371" s="31"/>
      <c r="R371" s="20"/>
      <c r="S371" s="20"/>
      <c r="T371" s="20"/>
      <c r="U371" s="20"/>
      <c r="V371" s="20"/>
      <c r="W371" s="20"/>
      <c r="X371" s="20"/>
      <c r="Y371" s="20"/>
      <c r="Z371" s="20"/>
    </row>
    <row r="372" spans="1:26" ht="9.75" customHeight="1" x14ac:dyDescent="0.25">
      <c r="A372" s="20"/>
      <c r="B372" s="21"/>
      <c r="C372" s="20"/>
      <c r="D372" s="22"/>
      <c r="E372" s="20"/>
      <c r="F372" s="20"/>
      <c r="G372" s="20"/>
      <c r="H372" s="20"/>
      <c r="I372" s="22"/>
      <c r="J372" s="20"/>
      <c r="K372" s="20"/>
      <c r="L372" s="20"/>
      <c r="M372" s="20"/>
      <c r="N372" s="21"/>
      <c r="O372" s="31"/>
      <c r="P372" s="20"/>
      <c r="Q372" s="31"/>
      <c r="R372" s="20"/>
      <c r="S372" s="20"/>
      <c r="T372" s="20"/>
      <c r="U372" s="20"/>
      <c r="V372" s="20"/>
      <c r="W372" s="20"/>
      <c r="X372" s="20"/>
      <c r="Y372" s="20"/>
      <c r="Z372" s="20"/>
    </row>
    <row r="373" spans="1:26" ht="9.75" customHeight="1" x14ac:dyDescent="0.25">
      <c r="A373" s="20"/>
      <c r="B373" s="21"/>
      <c r="C373" s="20"/>
      <c r="D373" s="22"/>
      <c r="E373" s="20"/>
      <c r="F373" s="20"/>
      <c r="G373" s="20"/>
      <c r="H373" s="20"/>
      <c r="I373" s="22"/>
      <c r="J373" s="20"/>
      <c r="K373" s="20"/>
      <c r="L373" s="20"/>
      <c r="M373" s="20"/>
      <c r="N373" s="21"/>
      <c r="O373" s="31"/>
      <c r="P373" s="20"/>
      <c r="Q373" s="31"/>
      <c r="R373" s="20"/>
      <c r="S373" s="20"/>
      <c r="T373" s="20"/>
      <c r="U373" s="20"/>
      <c r="V373" s="20"/>
      <c r="W373" s="20"/>
      <c r="X373" s="20"/>
      <c r="Y373" s="20"/>
      <c r="Z373" s="20"/>
    </row>
    <row r="374" spans="1:26" ht="9.75" customHeight="1" x14ac:dyDescent="0.25">
      <c r="A374" s="20"/>
      <c r="B374" s="21"/>
      <c r="C374" s="20"/>
      <c r="D374" s="22"/>
      <c r="E374" s="20"/>
      <c r="F374" s="20"/>
      <c r="G374" s="20"/>
      <c r="H374" s="20"/>
      <c r="I374" s="22"/>
      <c r="J374" s="20"/>
      <c r="K374" s="20"/>
      <c r="L374" s="20"/>
      <c r="M374" s="20"/>
      <c r="N374" s="21"/>
      <c r="O374" s="31"/>
      <c r="P374" s="20"/>
      <c r="Q374" s="31"/>
      <c r="R374" s="20"/>
      <c r="S374" s="20"/>
      <c r="T374" s="20"/>
      <c r="U374" s="20"/>
      <c r="V374" s="20"/>
      <c r="W374" s="20"/>
      <c r="X374" s="20"/>
      <c r="Y374" s="20"/>
      <c r="Z374" s="20"/>
    </row>
    <row r="375" spans="1:26" ht="9.75" customHeight="1" x14ac:dyDescent="0.25">
      <c r="A375" s="20"/>
      <c r="B375" s="21"/>
      <c r="C375" s="20"/>
      <c r="D375" s="22"/>
      <c r="E375" s="20"/>
      <c r="F375" s="20"/>
      <c r="G375" s="20"/>
      <c r="H375" s="20"/>
      <c r="I375" s="22"/>
      <c r="J375" s="20"/>
      <c r="K375" s="20"/>
      <c r="L375" s="20"/>
      <c r="M375" s="20"/>
      <c r="N375" s="21"/>
      <c r="O375" s="31"/>
      <c r="P375" s="20"/>
      <c r="Q375" s="31"/>
      <c r="R375" s="20"/>
      <c r="S375" s="20"/>
      <c r="T375" s="20"/>
      <c r="U375" s="20"/>
      <c r="V375" s="20"/>
      <c r="W375" s="20"/>
      <c r="X375" s="20"/>
      <c r="Y375" s="20"/>
      <c r="Z375" s="20"/>
    </row>
    <row r="376" spans="1:26" ht="9.75" customHeight="1" x14ac:dyDescent="0.25">
      <c r="A376" s="20"/>
      <c r="B376" s="21"/>
      <c r="C376" s="20"/>
      <c r="D376" s="22"/>
      <c r="E376" s="20"/>
      <c r="F376" s="20"/>
      <c r="G376" s="20"/>
      <c r="H376" s="20"/>
      <c r="I376" s="22"/>
      <c r="J376" s="20"/>
      <c r="K376" s="20"/>
      <c r="L376" s="20"/>
      <c r="M376" s="20"/>
      <c r="N376" s="21"/>
      <c r="O376" s="31"/>
      <c r="P376" s="20"/>
      <c r="Q376" s="31"/>
      <c r="R376" s="20"/>
      <c r="S376" s="20"/>
      <c r="T376" s="20"/>
      <c r="U376" s="20"/>
      <c r="V376" s="20"/>
      <c r="W376" s="20"/>
      <c r="X376" s="20"/>
      <c r="Y376" s="20"/>
      <c r="Z376" s="20"/>
    </row>
    <row r="377" spans="1:26" ht="9.75" customHeight="1" x14ac:dyDescent="0.25">
      <c r="A377" s="20"/>
      <c r="B377" s="21"/>
      <c r="C377" s="20"/>
      <c r="D377" s="22"/>
      <c r="E377" s="20"/>
      <c r="F377" s="20"/>
      <c r="G377" s="20"/>
      <c r="H377" s="20"/>
      <c r="I377" s="22"/>
      <c r="J377" s="20"/>
      <c r="K377" s="20"/>
      <c r="L377" s="20"/>
      <c r="M377" s="20"/>
      <c r="N377" s="21"/>
      <c r="O377" s="31"/>
      <c r="P377" s="20"/>
      <c r="Q377" s="31"/>
      <c r="R377" s="20"/>
      <c r="S377" s="20"/>
      <c r="T377" s="20"/>
      <c r="U377" s="20"/>
      <c r="V377" s="20"/>
      <c r="W377" s="20"/>
      <c r="X377" s="20"/>
      <c r="Y377" s="20"/>
      <c r="Z377" s="20"/>
    </row>
    <row r="378" spans="1:26" ht="9.75" customHeight="1" x14ac:dyDescent="0.25">
      <c r="A378" s="20"/>
      <c r="B378" s="21"/>
      <c r="C378" s="20"/>
      <c r="D378" s="22"/>
      <c r="E378" s="20"/>
      <c r="F378" s="20"/>
      <c r="G378" s="20"/>
      <c r="H378" s="20"/>
      <c r="I378" s="22"/>
      <c r="J378" s="20"/>
      <c r="K378" s="20"/>
      <c r="L378" s="20"/>
      <c r="M378" s="20"/>
      <c r="N378" s="21"/>
      <c r="O378" s="31"/>
      <c r="P378" s="20"/>
      <c r="Q378" s="31"/>
      <c r="R378" s="20"/>
      <c r="S378" s="20"/>
      <c r="T378" s="20"/>
      <c r="U378" s="20"/>
      <c r="V378" s="20"/>
      <c r="W378" s="20"/>
      <c r="X378" s="20"/>
      <c r="Y378" s="20"/>
      <c r="Z378" s="20"/>
    </row>
    <row r="379" spans="1:26" ht="9.75" customHeight="1" x14ac:dyDescent="0.25">
      <c r="A379" s="20"/>
      <c r="B379" s="21"/>
      <c r="C379" s="20"/>
      <c r="D379" s="22"/>
      <c r="E379" s="20"/>
      <c r="F379" s="20"/>
      <c r="G379" s="20"/>
      <c r="H379" s="20"/>
      <c r="I379" s="22"/>
      <c r="J379" s="20"/>
      <c r="K379" s="20"/>
      <c r="L379" s="20"/>
      <c r="M379" s="20"/>
      <c r="N379" s="21"/>
      <c r="O379" s="31"/>
      <c r="P379" s="20"/>
      <c r="Q379" s="31"/>
      <c r="R379" s="20"/>
      <c r="S379" s="20"/>
      <c r="T379" s="20"/>
      <c r="U379" s="20"/>
      <c r="V379" s="20"/>
      <c r="W379" s="20"/>
      <c r="X379" s="20"/>
      <c r="Y379" s="20"/>
      <c r="Z379" s="20"/>
    </row>
    <row r="380" spans="1:26" ht="9.75" customHeight="1" x14ac:dyDescent="0.25">
      <c r="A380" s="20"/>
      <c r="B380" s="21"/>
      <c r="C380" s="20"/>
      <c r="D380" s="22"/>
      <c r="E380" s="20"/>
      <c r="F380" s="20"/>
      <c r="G380" s="20"/>
      <c r="H380" s="20"/>
      <c r="I380" s="22"/>
      <c r="J380" s="20"/>
      <c r="K380" s="20"/>
      <c r="L380" s="20"/>
      <c r="M380" s="20"/>
      <c r="N380" s="21"/>
      <c r="O380" s="31"/>
      <c r="P380" s="20"/>
      <c r="Q380" s="31"/>
      <c r="R380" s="20"/>
      <c r="S380" s="20"/>
      <c r="T380" s="20"/>
      <c r="U380" s="20"/>
      <c r="V380" s="20"/>
      <c r="W380" s="20"/>
      <c r="X380" s="20"/>
      <c r="Y380" s="20"/>
      <c r="Z380" s="20"/>
    </row>
    <row r="381" spans="1:26" ht="9.75" customHeight="1" x14ac:dyDescent="0.25">
      <c r="A381" s="20"/>
      <c r="B381" s="21"/>
      <c r="C381" s="20"/>
      <c r="D381" s="22"/>
      <c r="E381" s="20"/>
      <c r="F381" s="20"/>
      <c r="G381" s="20"/>
      <c r="H381" s="20"/>
      <c r="I381" s="22"/>
      <c r="J381" s="20"/>
      <c r="K381" s="20"/>
      <c r="L381" s="20"/>
      <c r="M381" s="20"/>
      <c r="N381" s="21"/>
      <c r="O381" s="31"/>
      <c r="P381" s="20"/>
      <c r="Q381" s="31"/>
      <c r="R381" s="20"/>
      <c r="S381" s="20"/>
      <c r="T381" s="20"/>
      <c r="U381" s="20"/>
      <c r="V381" s="20"/>
      <c r="W381" s="20"/>
      <c r="X381" s="20"/>
      <c r="Y381" s="20"/>
      <c r="Z381" s="20"/>
    </row>
    <row r="382" spans="1:26" ht="9.75" customHeight="1" x14ac:dyDescent="0.25">
      <c r="A382" s="20"/>
      <c r="B382" s="21"/>
      <c r="C382" s="20"/>
      <c r="D382" s="22"/>
      <c r="E382" s="20"/>
      <c r="F382" s="20"/>
      <c r="G382" s="20"/>
      <c r="H382" s="20"/>
      <c r="I382" s="22"/>
      <c r="J382" s="20"/>
      <c r="K382" s="20"/>
      <c r="L382" s="20"/>
      <c r="M382" s="20"/>
      <c r="N382" s="21"/>
      <c r="O382" s="31"/>
      <c r="P382" s="20"/>
      <c r="Q382" s="31"/>
      <c r="R382" s="20"/>
      <c r="S382" s="20"/>
      <c r="T382" s="20"/>
      <c r="U382" s="20"/>
      <c r="V382" s="20"/>
      <c r="W382" s="20"/>
      <c r="X382" s="20"/>
      <c r="Y382" s="20"/>
      <c r="Z382" s="20"/>
    </row>
    <row r="383" spans="1:26" ht="9.75" customHeight="1" x14ac:dyDescent="0.25">
      <c r="A383" s="20"/>
      <c r="B383" s="21"/>
      <c r="C383" s="20"/>
      <c r="D383" s="22"/>
      <c r="E383" s="20"/>
      <c r="F383" s="20"/>
      <c r="G383" s="20"/>
      <c r="H383" s="20"/>
      <c r="I383" s="22"/>
      <c r="J383" s="20"/>
      <c r="K383" s="20"/>
      <c r="L383" s="20"/>
      <c r="M383" s="20"/>
      <c r="N383" s="21"/>
      <c r="O383" s="31"/>
      <c r="P383" s="20"/>
      <c r="Q383" s="31"/>
      <c r="R383" s="20"/>
      <c r="S383" s="20"/>
      <c r="T383" s="20"/>
      <c r="U383" s="20"/>
      <c r="V383" s="20"/>
      <c r="W383" s="20"/>
      <c r="X383" s="20"/>
      <c r="Y383" s="20"/>
      <c r="Z383" s="20"/>
    </row>
    <row r="384" spans="1:26" ht="9.75" customHeight="1" x14ac:dyDescent="0.25">
      <c r="A384" s="20"/>
      <c r="B384" s="21"/>
      <c r="C384" s="20"/>
      <c r="D384" s="22"/>
      <c r="E384" s="20"/>
      <c r="F384" s="20"/>
      <c r="G384" s="20"/>
      <c r="H384" s="20"/>
      <c r="I384" s="22"/>
      <c r="J384" s="20"/>
      <c r="K384" s="20"/>
      <c r="L384" s="20"/>
      <c r="M384" s="20"/>
      <c r="N384" s="21"/>
      <c r="O384" s="31"/>
      <c r="P384" s="20"/>
      <c r="Q384" s="31"/>
      <c r="R384" s="20"/>
      <c r="S384" s="20"/>
      <c r="T384" s="20"/>
      <c r="U384" s="20"/>
      <c r="V384" s="20"/>
      <c r="W384" s="20"/>
      <c r="X384" s="20"/>
      <c r="Y384" s="20"/>
      <c r="Z384" s="20"/>
    </row>
    <row r="385" spans="1:26" ht="9.75" customHeight="1" x14ac:dyDescent="0.25">
      <c r="A385" s="20"/>
      <c r="B385" s="21"/>
      <c r="C385" s="20"/>
      <c r="D385" s="22"/>
      <c r="E385" s="20"/>
      <c r="F385" s="20"/>
      <c r="G385" s="20"/>
      <c r="H385" s="20"/>
      <c r="I385" s="22"/>
      <c r="J385" s="20"/>
      <c r="K385" s="20"/>
      <c r="L385" s="20"/>
      <c r="M385" s="20"/>
      <c r="N385" s="21"/>
      <c r="O385" s="31"/>
      <c r="P385" s="20"/>
      <c r="Q385" s="31"/>
      <c r="R385" s="20"/>
      <c r="S385" s="20"/>
      <c r="T385" s="20"/>
      <c r="U385" s="20"/>
      <c r="V385" s="20"/>
      <c r="W385" s="20"/>
      <c r="X385" s="20"/>
      <c r="Y385" s="20"/>
      <c r="Z385" s="20"/>
    </row>
    <row r="386" spans="1:26" ht="9.75" customHeight="1" x14ac:dyDescent="0.25">
      <c r="A386" s="20"/>
      <c r="B386" s="21"/>
      <c r="C386" s="20"/>
      <c r="D386" s="22"/>
      <c r="E386" s="20"/>
      <c r="F386" s="20"/>
      <c r="G386" s="20"/>
      <c r="H386" s="20"/>
      <c r="I386" s="22"/>
      <c r="J386" s="20"/>
      <c r="K386" s="20"/>
      <c r="L386" s="20"/>
      <c r="M386" s="20"/>
      <c r="N386" s="21"/>
      <c r="O386" s="31"/>
      <c r="P386" s="20"/>
      <c r="Q386" s="31"/>
      <c r="R386" s="20"/>
      <c r="S386" s="20"/>
      <c r="T386" s="20"/>
      <c r="U386" s="20"/>
      <c r="V386" s="20"/>
      <c r="W386" s="20"/>
      <c r="X386" s="20"/>
      <c r="Y386" s="20"/>
      <c r="Z386" s="20"/>
    </row>
    <row r="387" spans="1:26" ht="9.75" customHeight="1" x14ac:dyDescent="0.25">
      <c r="A387" s="20"/>
      <c r="B387" s="21"/>
      <c r="C387" s="20"/>
      <c r="D387" s="22"/>
      <c r="E387" s="20"/>
      <c r="F387" s="20"/>
      <c r="G387" s="20"/>
      <c r="H387" s="20"/>
      <c r="I387" s="22"/>
      <c r="J387" s="20"/>
      <c r="K387" s="20"/>
      <c r="L387" s="20"/>
      <c r="M387" s="20"/>
      <c r="N387" s="21"/>
      <c r="O387" s="31"/>
      <c r="P387" s="20"/>
      <c r="Q387" s="31"/>
      <c r="R387" s="20"/>
      <c r="S387" s="20"/>
      <c r="T387" s="20"/>
      <c r="U387" s="20"/>
      <c r="V387" s="20"/>
      <c r="W387" s="20"/>
      <c r="X387" s="20"/>
      <c r="Y387" s="20"/>
      <c r="Z387" s="20"/>
    </row>
    <row r="388" spans="1:26" ht="9.75" customHeight="1" x14ac:dyDescent="0.25">
      <c r="A388" s="20"/>
      <c r="B388" s="21"/>
      <c r="C388" s="20"/>
      <c r="D388" s="22"/>
      <c r="E388" s="20"/>
      <c r="F388" s="20"/>
      <c r="G388" s="20"/>
      <c r="H388" s="20"/>
      <c r="I388" s="22"/>
      <c r="J388" s="20"/>
      <c r="K388" s="20"/>
      <c r="L388" s="20"/>
      <c r="M388" s="20"/>
      <c r="N388" s="21"/>
      <c r="O388" s="31"/>
      <c r="P388" s="20"/>
      <c r="Q388" s="31"/>
      <c r="R388" s="20"/>
      <c r="S388" s="20"/>
      <c r="T388" s="20"/>
      <c r="U388" s="20"/>
      <c r="V388" s="20"/>
      <c r="W388" s="20"/>
      <c r="X388" s="20"/>
      <c r="Y388" s="20"/>
      <c r="Z388" s="20"/>
    </row>
    <row r="389" spans="1:26" ht="9.75" customHeight="1" x14ac:dyDescent="0.25">
      <c r="A389" s="20"/>
      <c r="B389" s="21"/>
      <c r="C389" s="20"/>
      <c r="D389" s="22"/>
      <c r="E389" s="20"/>
      <c r="F389" s="20"/>
      <c r="G389" s="20"/>
      <c r="H389" s="20"/>
      <c r="I389" s="22"/>
      <c r="J389" s="20"/>
      <c r="K389" s="20"/>
      <c r="L389" s="20"/>
      <c r="M389" s="20"/>
      <c r="N389" s="21"/>
      <c r="O389" s="31"/>
      <c r="P389" s="20"/>
      <c r="Q389" s="31"/>
      <c r="R389" s="20"/>
      <c r="S389" s="20"/>
      <c r="T389" s="20"/>
      <c r="U389" s="20"/>
      <c r="V389" s="20"/>
      <c r="W389" s="20"/>
      <c r="X389" s="20"/>
      <c r="Y389" s="20"/>
      <c r="Z389" s="20"/>
    </row>
    <row r="390" spans="1:26" ht="9.75" customHeight="1" x14ac:dyDescent="0.25">
      <c r="A390" s="20"/>
      <c r="B390" s="21"/>
      <c r="C390" s="20"/>
      <c r="D390" s="22"/>
      <c r="E390" s="20"/>
      <c r="F390" s="20"/>
      <c r="G390" s="20"/>
      <c r="H390" s="20"/>
      <c r="I390" s="22"/>
      <c r="J390" s="20"/>
      <c r="K390" s="20"/>
      <c r="L390" s="20"/>
      <c r="M390" s="20"/>
      <c r="N390" s="21"/>
      <c r="O390" s="31"/>
      <c r="P390" s="20"/>
      <c r="Q390" s="31"/>
      <c r="R390" s="20"/>
      <c r="S390" s="20"/>
      <c r="T390" s="20"/>
      <c r="U390" s="20"/>
      <c r="V390" s="20"/>
      <c r="W390" s="20"/>
      <c r="X390" s="20"/>
      <c r="Y390" s="20"/>
      <c r="Z390" s="20"/>
    </row>
    <row r="391" spans="1:26" ht="9.75" customHeight="1" x14ac:dyDescent="0.25">
      <c r="A391" s="20"/>
      <c r="B391" s="21"/>
      <c r="C391" s="20"/>
      <c r="D391" s="22"/>
      <c r="E391" s="20"/>
      <c r="F391" s="20"/>
      <c r="G391" s="20"/>
      <c r="H391" s="20"/>
      <c r="I391" s="22"/>
      <c r="J391" s="20"/>
      <c r="K391" s="20"/>
      <c r="L391" s="20"/>
      <c r="M391" s="20"/>
      <c r="N391" s="21"/>
      <c r="O391" s="31"/>
      <c r="P391" s="20"/>
      <c r="Q391" s="31"/>
      <c r="R391" s="20"/>
      <c r="S391" s="20"/>
      <c r="T391" s="20"/>
      <c r="U391" s="20"/>
      <c r="V391" s="20"/>
      <c r="W391" s="20"/>
      <c r="X391" s="20"/>
      <c r="Y391" s="20"/>
      <c r="Z391" s="20"/>
    </row>
    <row r="392" spans="1:26" ht="9.75" customHeight="1" x14ac:dyDescent="0.25">
      <c r="A392" s="20"/>
      <c r="B392" s="21"/>
      <c r="C392" s="20"/>
      <c r="D392" s="22"/>
      <c r="E392" s="20"/>
      <c r="F392" s="20"/>
      <c r="G392" s="20"/>
      <c r="H392" s="20"/>
      <c r="I392" s="22"/>
      <c r="J392" s="20"/>
      <c r="K392" s="20"/>
      <c r="L392" s="20"/>
      <c r="M392" s="20"/>
      <c r="N392" s="21"/>
      <c r="O392" s="31"/>
      <c r="P392" s="20"/>
      <c r="Q392" s="31"/>
      <c r="R392" s="20"/>
      <c r="S392" s="20"/>
      <c r="T392" s="20"/>
      <c r="U392" s="20"/>
      <c r="V392" s="20"/>
      <c r="W392" s="20"/>
      <c r="X392" s="20"/>
      <c r="Y392" s="20"/>
      <c r="Z392" s="20"/>
    </row>
    <row r="393" spans="1:26" ht="9.75" customHeight="1" x14ac:dyDescent="0.25">
      <c r="A393" s="20"/>
      <c r="B393" s="21"/>
      <c r="C393" s="20"/>
      <c r="D393" s="22"/>
      <c r="E393" s="20"/>
      <c r="F393" s="20"/>
      <c r="G393" s="20"/>
      <c r="H393" s="20"/>
      <c r="I393" s="22"/>
      <c r="J393" s="20"/>
      <c r="K393" s="20"/>
      <c r="L393" s="20"/>
      <c r="M393" s="20"/>
      <c r="N393" s="21"/>
      <c r="O393" s="31"/>
      <c r="P393" s="20"/>
      <c r="Q393" s="31"/>
      <c r="R393" s="20"/>
      <c r="S393" s="20"/>
      <c r="T393" s="20"/>
      <c r="U393" s="20"/>
      <c r="V393" s="20"/>
      <c r="W393" s="20"/>
      <c r="X393" s="20"/>
      <c r="Y393" s="20"/>
      <c r="Z393" s="20"/>
    </row>
    <row r="394" spans="1:26" ht="9.75" customHeight="1" x14ac:dyDescent="0.25">
      <c r="A394" s="20"/>
      <c r="B394" s="21"/>
      <c r="C394" s="20"/>
      <c r="D394" s="22"/>
      <c r="E394" s="20"/>
      <c r="F394" s="20"/>
      <c r="G394" s="20"/>
      <c r="H394" s="20"/>
      <c r="I394" s="22"/>
      <c r="J394" s="20"/>
      <c r="K394" s="20"/>
      <c r="L394" s="20"/>
      <c r="M394" s="20"/>
      <c r="N394" s="21"/>
      <c r="O394" s="31"/>
      <c r="P394" s="20"/>
      <c r="Q394" s="31"/>
      <c r="R394" s="20"/>
      <c r="S394" s="20"/>
      <c r="T394" s="20"/>
      <c r="U394" s="20"/>
      <c r="V394" s="20"/>
      <c r="W394" s="20"/>
      <c r="X394" s="20"/>
      <c r="Y394" s="20"/>
      <c r="Z394" s="20"/>
    </row>
    <row r="395" spans="1:26" ht="9.75" customHeight="1" x14ac:dyDescent="0.25">
      <c r="A395" s="20"/>
      <c r="B395" s="21"/>
      <c r="C395" s="20"/>
      <c r="D395" s="22"/>
      <c r="E395" s="20"/>
      <c r="F395" s="20"/>
      <c r="G395" s="20"/>
      <c r="H395" s="20"/>
      <c r="I395" s="22"/>
      <c r="J395" s="20"/>
      <c r="K395" s="20"/>
      <c r="L395" s="20"/>
      <c r="M395" s="20"/>
      <c r="N395" s="21"/>
      <c r="O395" s="31"/>
      <c r="P395" s="20"/>
      <c r="Q395" s="31"/>
      <c r="R395" s="20"/>
      <c r="S395" s="20"/>
      <c r="T395" s="20"/>
      <c r="U395" s="20"/>
      <c r="V395" s="20"/>
      <c r="W395" s="20"/>
      <c r="X395" s="20"/>
      <c r="Y395" s="20"/>
      <c r="Z395" s="20"/>
    </row>
    <row r="396" spans="1:26" ht="9.75" customHeight="1" x14ac:dyDescent="0.25">
      <c r="A396" s="20"/>
      <c r="B396" s="21"/>
      <c r="C396" s="20"/>
      <c r="D396" s="22"/>
      <c r="E396" s="20"/>
      <c r="F396" s="20"/>
      <c r="G396" s="20"/>
      <c r="H396" s="20"/>
      <c r="I396" s="22"/>
      <c r="J396" s="20"/>
      <c r="K396" s="20"/>
      <c r="L396" s="20"/>
      <c r="M396" s="20"/>
      <c r="N396" s="21"/>
      <c r="O396" s="31"/>
      <c r="P396" s="20"/>
      <c r="Q396" s="31"/>
      <c r="R396" s="20"/>
      <c r="S396" s="20"/>
      <c r="T396" s="20"/>
      <c r="U396" s="20"/>
      <c r="V396" s="20"/>
      <c r="W396" s="20"/>
      <c r="X396" s="20"/>
      <c r="Y396" s="20"/>
      <c r="Z396" s="20"/>
    </row>
    <row r="397" spans="1:26" ht="9.75" customHeight="1" x14ac:dyDescent="0.25">
      <c r="A397" s="20"/>
      <c r="B397" s="21"/>
      <c r="C397" s="20"/>
      <c r="D397" s="22"/>
      <c r="E397" s="20"/>
      <c r="F397" s="20"/>
      <c r="G397" s="20"/>
      <c r="H397" s="20"/>
      <c r="I397" s="22"/>
      <c r="J397" s="20"/>
      <c r="K397" s="20"/>
      <c r="L397" s="20"/>
      <c r="M397" s="20"/>
      <c r="N397" s="21"/>
      <c r="O397" s="31"/>
      <c r="P397" s="20"/>
      <c r="Q397" s="31"/>
      <c r="R397" s="20"/>
      <c r="S397" s="20"/>
      <c r="T397" s="20"/>
      <c r="U397" s="20"/>
      <c r="V397" s="20"/>
      <c r="W397" s="20"/>
      <c r="X397" s="20"/>
      <c r="Y397" s="20"/>
      <c r="Z397" s="20"/>
    </row>
    <row r="398" spans="1:26" ht="9.75" customHeight="1" x14ac:dyDescent="0.25">
      <c r="A398" s="20"/>
      <c r="B398" s="21"/>
      <c r="C398" s="20"/>
      <c r="D398" s="22"/>
      <c r="E398" s="20"/>
      <c r="F398" s="20"/>
      <c r="G398" s="20"/>
      <c r="H398" s="20"/>
      <c r="I398" s="22"/>
      <c r="J398" s="20"/>
      <c r="K398" s="20"/>
      <c r="L398" s="20"/>
      <c r="M398" s="20"/>
      <c r="N398" s="21"/>
      <c r="O398" s="31"/>
      <c r="P398" s="20"/>
      <c r="Q398" s="31"/>
      <c r="R398" s="20"/>
      <c r="S398" s="20"/>
      <c r="T398" s="20"/>
      <c r="U398" s="20"/>
      <c r="V398" s="20"/>
      <c r="W398" s="20"/>
      <c r="X398" s="20"/>
      <c r="Y398" s="20"/>
      <c r="Z398" s="20"/>
    </row>
    <row r="399" spans="1:26" ht="9.75" customHeight="1" x14ac:dyDescent="0.25">
      <c r="A399" s="20"/>
      <c r="B399" s="21"/>
      <c r="C399" s="20"/>
      <c r="D399" s="22"/>
      <c r="E399" s="20"/>
      <c r="F399" s="20"/>
      <c r="G399" s="20"/>
      <c r="H399" s="20"/>
      <c r="I399" s="22"/>
      <c r="J399" s="20"/>
      <c r="K399" s="20"/>
      <c r="L399" s="20"/>
      <c r="M399" s="20"/>
      <c r="N399" s="21"/>
      <c r="O399" s="31"/>
      <c r="P399" s="20"/>
      <c r="Q399" s="31"/>
      <c r="R399" s="20"/>
      <c r="S399" s="20"/>
      <c r="T399" s="20"/>
      <c r="U399" s="20"/>
      <c r="V399" s="20"/>
      <c r="W399" s="20"/>
      <c r="X399" s="20"/>
      <c r="Y399" s="20"/>
      <c r="Z399" s="20"/>
    </row>
    <row r="400" spans="1:26" ht="9.75" customHeight="1" x14ac:dyDescent="0.25">
      <c r="A400" s="20"/>
      <c r="B400" s="21"/>
      <c r="C400" s="20"/>
      <c r="D400" s="22"/>
      <c r="E400" s="20"/>
      <c r="F400" s="20"/>
      <c r="G400" s="20"/>
      <c r="H400" s="20"/>
      <c r="I400" s="22"/>
      <c r="J400" s="20"/>
      <c r="K400" s="20"/>
      <c r="L400" s="20"/>
      <c r="M400" s="20"/>
      <c r="N400" s="21"/>
      <c r="O400" s="31"/>
      <c r="P400" s="20"/>
      <c r="Q400" s="31"/>
      <c r="R400" s="20"/>
      <c r="S400" s="20"/>
      <c r="T400" s="20"/>
      <c r="U400" s="20"/>
      <c r="V400" s="20"/>
      <c r="W400" s="20"/>
      <c r="X400" s="20"/>
      <c r="Y400" s="20"/>
      <c r="Z400" s="20"/>
    </row>
    <row r="401" spans="1:26" ht="9.75" customHeight="1" x14ac:dyDescent="0.25">
      <c r="A401" s="20"/>
      <c r="B401" s="21"/>
      <c r="C401" s="20"/>
      <c r="D401" s="22"/>
      <c r="E401" s="20"/>
      <c r="F401" s="20"/>
      <c r="G401" s="20"/>
      <c r="H401" s="20"/>
      <c r="I401" s="22"/>
      <c r="J401" s="20"/>
      <c r="K401" s="20"/>
      <c r="L401" s="20"/>
      <c r="M401" s="20"/>
      <c r="N401" s="21"/>
      <c r="O401" s="31"/>
      <c r="P401" s="20"/>
      <c r="Q401" s="31"/>
      <c r="R401" s="20"/>
      <c r="S401" s="20"/>
      <c r="T401" s="20"/>
      <c r="U401" s="20"/>
      <c r="V401" s="20"/>
      <c r="W401" s="20"/>
      <c r="X401" s="20"/>
      <c r="Y401" s="20"/>
      <c r="Z401" s="20"/>
    </row>
    <row r="402" spans="1:26" ht="9.75" customHeight="1" x14ac:dyDescent="0.25">
      <c r="A402" s="20"/>
      <c r="B402" s="21"/>
      <c r="C402" s="20"/>
      <c r="D402" s="22"/>
      <c r="E402" s="20"/>
      <c r="F402" s="20"/>
      <c r="G402" s="20"/>
      <c r="H402" s="20"/>
      <c r="I402" s="22"/>
      <c r="J402" s="20"/>
      <c r="K402" s="20"/>
      <c r="L402" s="20"/>
      <c r="M402" s="20"/>
      <c r="N402" s="21"/>
      <c r="O402" s="31"/>
      <c r="P402" s="20"/>
      <c r="Q402" s="31"/>
      <c r="R402" s="20"/>
      <c r="S402" s="20"/>
      <c r="T402" s="20"/>
      <c r="U402" s="20"/>
      <c r="V402" s="20"/>
      <c r="W402" s="20"/>
      <c r="X402" s="20"/>
      <c r="Y402" s="20"/>
      <c r="Z402" s="20"/>
    </row>
    <row r="403" spans="1:26" ht="9.75" customHeight="1" x14ac:dyDescent="0.25">
      <c r="A403" s="20"/>
      <c r="B403" s="21"/>
      <c r="C403" s="20"/>
      <c r="D403" s="22"/>
      <c r="E403" s="20"/>
      <c r="F403" s="20"/>
      <c r="G403" s="20"/>
      <c r="H403" s="20"/>
      <c r="I403" s="22"/>
      <c r="J403" s="20"/>
      <c r="K403" s="20"/>
      <c r="L403" s="20"/>
      <c r="M403" s="20"/>
      <c r="N403" s="21"/>
      <c r="O403" s="31"/>
      <c r="P403" s="20"/>
      <c r="Q403" s="31"/>
      <c r="R403" s="20"/>
      <c r="S403" s="20"/>
      <c r="T403" s="20"/>
      <c r="U403" s="20"/>
      <c r="V403" s="20"/>
      <c r="W403" s="20"/>
      <c r="X403" s="20"/>
      <c r="Y403" s="20"/>
      <c r="Z403" s="20"/>
    </row>
    <row r="404" spans="1:26" ht="9.75" customHeight="1" x14ac:dyDescent="0.25">
      <c r="A404" s="20"/>
      <c r="B404" s="21"/>
      <c r="C404" s="20"/>
      <c r="D404" s="22"/>
      <c r="E404" s="20"/>
      <c r="F404" s="20"/>
      <c r="G404" s="20"/>
      <c r="H404" s="20"/>
      <c r="I404" s="22"/>
      <c r="J404" s="20"/>
      <c r="K404" s="20"/>
      <c r="L404" s="20"/>
      <c r="M404" s="20"/>
      <c r="N404" s="21"/>
      <c r="O404" s="31"/>
      <c r="P404" s="20"/>
      <c r="Q404" s="31"/>
      <c r="R404" s="20"/>
      <c r="S404" s="20"/>
      <c r="T404" s="20"/>
      <c r="U404" s="20"/>
      <c r="V404" s="20"/>
      <c r="W404" s="20"/>
      <c r="X404" s="20"/>
      <c r="Y404" s="20"/>
      <c r="Z404" s="20"/>
    </row>
    <row r="405" spans="1:26" ht="9.75" customHeight="1" x14ac:dyDescent="0.25">
      <c r="A405" s="20"/>
      <c r="B405" s="21"/>
      <c r="C405" s="20"/>
      <c r="D405" s="22"/>
      <c r="E405" s="20"/>
      <c r="F405" s="20"/>
      <c r="G405" s="20"/>
      <c r="H405" s="20"/>
      <c r="I405" s="22"/>
      <c r="J405" s="20"/>
      <c r="K405" s="20"/>
      <c r="L405" s="20"/>
      <c r="M405" s="20"/>
      <c r="N405" s="21"/>
      <c r="O405" s="31"/>
      <c r="P405" s="20"/>
      <c r="Q405" s="31"/>
      <c r="R405" s="20"/>
      <c r="S405" s="20"/>
      <c r="T405" s="20"/>
      <c r="U405" s="20"/>
      <c r="V405" s="20"/>
      <c r="W405" s="20"/>
      <c r="X405" s="20"/>
      <c r="Y405" s="20"/>
      <c r="Z405" s="20"/>
    </row>
    <row r="406" spans="1:26" ht="9.75" customHeight="1" x14ac:dyDescent="0.25">
      <c r="A406" s="20"/>
      <c r="B406" s="21"/>
      <c r="C406" s="20"/>
      <c r="D406" s="22"/>
      <c r="E406" s="20"/>
      <c r="F406" s="20"/>
      <c r="G406" s="20"/>
      <c r="H406" s="20"/>
      <c r="I406" s="22"/>
      <c r="J406" s="20"/>
      <c r="K406" s="20"/>
      <c r="L406" s="20"/>
      <c r="M406" s="20"/>
      <c r="N406" s="21"/>
      <c r="O406" s="31"/>
      <c r="P406" s="20"/>
      <c r="Q406" s="31"/>
      <c r="R406" s="20"/>
      <c r="S406" s="20"/>
      <c r="T406" s="20"/>
      <c r="U406" s="20"/>
      <c r="V406" s="20"/>
      <c r="W406" s="20"/>
      <c r="X406" s="20"/>
      <c r="Y406" s="20"/>
      <c r="Z406" s="20"/>
    </row>
    <row r="407" spans="1:26" ht="9.75" customHeight="1" x14ac:dyDescent="0.25">
      <c r="A407" s="20"/>
      <c r="B407" s="21"/>
      <c r="C407" s="20"/>
      <c r="D407" s="22"/>
      <c r="E407" s="20"/>
      <c r="F407" s="20"/>
      <c r="G407" s="20"/>
      <c r="H407" s="20"/>
      <c r="I407" s="22"/>
      <c r="J407" s="20"/>
      <c r="K407" s="20"/>
      <c r="L407" s="20"/>
      <c r="M407" s="20"/>
      <c r="N407" s="21"/>
      <c r="O407" s="31"/>
      <c r="P407" s="20"/>
      <c r="Q407" s="31"/>
      <c r="R407" s="20"/>
      <c r="S407" s="20"/>
      <c r="T407" s="20"/>
      <c r="U407" s="20"/>
      <c r="V407" s="20"/>
      <c r="W407" s="20"/>
      <c r="X407" s="20"/>
      <c r="Y407" s="20"/>
      <c r="Z407" s="20"/>
    </row>
    <row r="408" spans="1:26" ht="9.75" customHeight="1" x14ac:dyDescent="0.25">
      <c r="A408" s="20"/>
      <c r="B408" s="21"/>
      <c r="C408" s="20"/>
      <c r="D408" s="22"/>
      <c r="E408" s="20"/>
      <c r="F408" s="20"/>
      <c r="G408" s="20"/>
      <c r="H408" s="20"/>
      <c r="I408" s="22"/>
      <c r="J408" s="20"/>
      <c r="K408" s="20"/>
      <c r="L408" s="20"/>
      <c r="M408" s="20"/>
      <c r="N408" s="21"/>
      <c r="O408" s="31"/>
      <c r="P408" s="20"/>
      <c r="Q408" s="31"/>
      <c r="R408" s="20"/>
      <c r="S408" s="20"/>
      <c r="T408" s="20"/>
      <c r="U408" s="20"/>
      <c r="V408" s="20"/>
      <c r="W408" s="20"/>
      <c r="X408" s="20"/>
      <c r="Y408" s="20"/>
      <c r="Z408" s="20"/>
    </row>
    <row r="409" spans="1:26" ht="9.75" customHeight="1" x14ac:dyDescent="0.25">
      <c r="A409" s="20"/>
      <c r="B409" s="21"/>
      <c r="C409" s="20"/>
      <c r="D409" s="22"/>
      <c r="E409" s="20"/>
      <c r="F409" s="20"/>
      <c r="G409" s="20"/>
      <c r="H409" s="20"/>
      <c r="I409" s="22"/>
      <c r="J409" s="20"/>
      <c r="K409" s="20"/>
      <c r="L409" s="20"/>
      <c r="M409" s="20"/>
      <c r="N409" s="21"/>
      <c r="O409" s="31"/>
      <c r="P409" s="20"/>
      <c r="Q409" s="31"/>
      <c r="R409" s="20"/>
      <c r="S409" s="20"/>
      <c r="T409" s="20"/>
      <c r="U409" s="20"/>
      <c r="V409" s="20"/>
      <c r="W409" s="20"/>
      <c r="X409" s="20"/>
      <c r="Y409" s="20"/>
      <c r="Z409" s="20"/>
    </row>
    <row r="410" spans="1:26" ht="9.75" customHeight="1" x14ac:dyDescent="0.25">
      <c r="A410" s="20"/>
      <c r="B410" s="21"/>
      <c r="C410" s="20"/>
      <c r="D410" s="22"/>
      <c r="E410" s="20"/>
      <c r="F410" s="20"/>
      <c r="G410" s="20"/>
      <c r="H410" s="20"/>
      <c r="I410" s="22"/>
      <c r="J410" s="20"/>
      <c r="K410" s="20"/>
      <c r="L410" s="20"/>
      <c r="M410" s="20"/>
      <c r="N410" s="21"/>
      <c r="O410" s="31"/>
      <c r="P410" s="20"/>
      <c r="Q410" s="31"/>
      <c r="R410" s="20"/>
      <c r="S410" s="20"/>
      <c r="T410" s="20"/>
      <c r="U410" s="20"/>
      <c r="V410" s="20"/>
      <c r="W410" s="20"/>
      <c r="X410" s="20"/>
      <c r="Y410" s="20"/>
      <c r="Z410" s="20"/>
    </row>
    <row r="411" spans="1:26" ht="9.75" customHeight="1" x14ac:dyDescent="0.25">
      <c r="A411" s="20"/>
      <c r="B411" s="21"/>
      <c r="C411" s="20"/>
      <c r="D411" s="22"/>
      <c r="E411" s="20"/>
      <c r="F411" s="20"/>
      <c r="G411" s="20"/>
      <c r="H411" s="20"/>
      <c r="I411" s="22"/>
      <c r="J411" s="20"/>
      <c r="K411" s="20"/>
      <c r="L411" s="20"/>
      <c r="M411" s="20"/>
      <c r="N411" s="21"/>
      <c r="O411" s="31"/>
      <c r="P411" s="20"/>
      <c r="Q411" s="31"/>
      <c r="R411" s="20"/>
      <c r="S411" s="20"/>
      <c r="T411" s="20"/>
      <c r="U411" s="20"/>
      <c r="V411" s="20"/>
      <c r="W411" s="20"/>
      <c r="X411" s="20"/>
      <c r="Y411" s="20"/>
      <c r="Z411" s="20"/>
    </row>
    <row r="412" spans="1:26" ht="9.75" customHeight="1" x14ac:dyDescent="0.25">
      <c r="A412" s="20"/>
      <c r="B412" s="21"/>
      <c r="C412" s="20"/>
      <c r="D412" s="22"/>
      <c r="E412" s="20"/>
      <c r="F412" s="20"/>
      <c r="G412" s="20"/>
      <c r="H412" s="20"/>
      <c r="I412" s="22"/>
      <c r="J412" s="20"/>
      <c r="K412" s="20"/>
      <c r="L412" s="20"/>
      <c r="M412" s="20"/>
      <c r="N412" s="21"/>
      <c r="O412" s="31"/>
      <c r="P412" s="20"/>
      <c r="Q412" s="31"/>
      <c r="R412" s="20"/>
      <c r="S412" s="20"/>
      <c r="T412" s="20"/>
      <c r="U412" s="20"/>
      <c r="V412" s="20"/>
      <c r="W412" s="20"/>
      <c r="X412" s="20"/>
      <c r="Y412" s="20"/>
      <c r="Z412" s="20"/>
    </row>
    <row r="413" spans="1:26" ht="9.75" customHeight="1" x14ac:dyDescent="0.25">
      <c r="A413" s="20"/>
      <c r="B413" s="21"/>
      <c r="C413" s="20"/>
      <c r="D413" s="22"/>
      <c r="E413" s="20"/>
      <c r="F413" s="20"/>
      <c r="G413" s="20"/>
      <c r="H413" s="20"/>
      <c r="I413" s="22"/>
      <c r="J413" s="20"/>
      <c r="K413" s="20"/>
      <c r="L413" s="20"/>
      <c r="M413" s="20"/>
      <c r="N413" s="21"/>
      <c r="O413" s="31"/>
      <c r="P413" s="20"/>
      <c r="Q413" s="31"/>
      <c r="R413" s="20"/>
      <c r="S413" s="20"/>
      <c r="T413" s="20"/>
      <c r="U413" s="20"/>
      <c r="V413" s="20"/>
      <c r="W413" s="20"/>
      <c r="X413" s="20"/>
      <c r="Y413" s="20"/>
      <c r="Z413" s="20"/>
    </row>
    <row r="414" spans="1:26" ht="9.75" customHeight="1" x14ac:dyDescent="0.25">
      <c r="A414" s="20"/>
      <c r="B414" s="21"/>
      <c r="C414" s="20"/>
      <c r="D414" s="22"/>
      <c r="E414" s="20"/>
      <c r="F414" s="20"/>
      <c r="G414" s="20"/>
      <c r="H414" s="20"/>
      <c r="I414" s="22"/>
      <c r="J414" s="20"/>
      <c r="K414" s="20"/>
      <c r="L414" s="20"/>
      <c r="M414" s="20"/>
      <c r="N414" s="21"/>
      <c r="O414" s="31"/>
      <c r="P414" s="20"/>
      <c r="Q414" s="31"/>
      <c r="R414" s="20"/>
      <c r="S414" s="20"/>
      <c r="T414" s="20"/>
      <c r="U414" s="20"/>
      <c r="V414" s="20"/>
      <c r="W414" s="20"/>
      <c r="X414" s="20"/>
      <c r="Y414" s="20"/>
      <c r="Z414" s="20"/>
    </row>
    <row r="415" spans="1:26" ht="9.75" customHeight="1" x14ac:dyDescent="0.25">
      <c r="A415" s="20"/>
      <c r="B415" s="21"/>
      <c r="C415" s="20"/>
      <c r="D415" s="22"/>
      <c r="E415" s="20"/>
      <c r="F415" s="20"/>
      <c r="G415" s="20"/>
      <c r="H415" s="20"/>
      <c r="I415" s="22"/>
      <c r="J415" s="20"/>
      <c r="K415" s="20"/>
      <c r="L415" s="20"/>
      <c r="M415" s="20"/>
      <c r="N415" s="21"/>
      <c r="O415" s="31"/>
      <c r="P415" s="20"/>
      <c r="Q415" s="31"/>
      <c r="R415" s="20"/>
      <c r="S415" s="20"/>
      <c r="T415" s="20"/>
      <c r="U415" s="20"/>
      <c r="V415" s="20"/>
      <c r="W415" s="20"/>
      <c r="X415" s="20"/>
      <c r="Y415" s="20"/>
      <c r="Z415" s="20"/>
    </row>
    <row r="416" spans="1:26" ht="9.75" customHeight="1" x14ac:dyDescent="0.25">
      <c r="A416" s="20"/>
      <c r="B416" s="21"/>
      <c r="C416" s="20"/>
      <c r="D416" s="22"/>
      <c r="E416" s="20"/>
      <c r="F416" s="20"/>
      <c r="G416" s="20"/>
      <c r="H416" s="20"/>
      <c r="I416" s="22"/>
      <c r="J416" s="20"/>
      <c r="K416" s="20"/>
      <c r="L416" s="20"/>
      <c r="M416" s="20"/>
      <c r="N416" s="21"/>
      <c r="O416" s="31"/>
      <c r="P416" s="20"/>
      <c r="Q416" s="31"/>
      <c r="R416" s="20"/>
      <c r="S416" s="20"/>
      <c r="T416" s="20"/>
      <c r="U416" s="20"/>
      <c r="V416" s="20"/>
      <c r="W416" s="20"/>
      <c r="X416" s="20"/>
      <c r="Y416" s="20"/>
      <c r="Z416" s="20"/>
    </row>
    <row r="417" spans="1:26" ht="9.75" customHeight="1" x14ac:dyDescent="0.25">
      <c r="A417" s="20"/>
      <c r="B417" s="21"/>
      <c r="C417" s="20"/>
      <c r="D417" s="22"/>
      <c r="E417" s="20"/>
      <c r="F417" s="20"/>
      <c r="G417" s="20"/>
      <c r="H417" s="20"/>
      <c r="I417" s="22"/>
      <c r="J417" s="20"/>
      <c r="K417" s="20"/>
      <c r="L417" s="20"/>
      <c r="M417" s="20"/>
      <c r="N417" s="21"/>
      <c r="O417" s="31"/>
      <c r="P417" s="20"/>
      <c r="Q417" s="31"/>
      <c r="R417" s="20"/>
      <c r="S417" s="20"/>
      <c r="T417" s="20"/>
      <c r="U417" s="20"/>
      <c r="V417" s="20"/>
      <c r="W417" s="20"/>
      <c r="X417" s="20"/>
      <c r="Y417" s="20"/>
      <c r="Z417" s="20"/>
    </row>
    <row r="418" spans="1:26" ht="9.75" customHeight="1" x14ac:dyDescent="0.25">
      <c r="A418" s="20"/>
      <c r="B418" s="21"/>
      <c r="C418" s="20"/>
      <c r="D418" s="22"/>
      <c r="E418" s="20"/>
      <c r="F418" s="20"/>
      <c r="G418" s="20"/>
      <c r="H418" s="20"/>
      <c r="I418" s="22"/>
      <c r="J418" s="20"/>
      <c r="K418" s="20"/>
      <c r="L418" s="20"/>
      <c r="M418" s="20"/>
      <c r="N418" s="21"/>
      <c r="O418" s="31"/>
      <c r="P418" s="20"/>
      <c r="Q418" s="31"/>
      <c r="R418" s="20"/>
      <c r="S418" s="20"/>
      <c r="T418" s="20"/>
      <c r="U418" s="20"/>
      <c r="V418" s="20"/>
      <c r="W418" s="20"/>
      <c r="X418" s="20"/>
      <c r="Y418" s="20"/>
      <c r="Z418" s="20"/>
    </row>
    <row r="419" spans="1:26" ht="9.75" customHeight="1" x14ac:dyDescent="0.25">
      <c r="A419" s="20"/>
      <c r="B419" s="21"/>
      <c r="C419" s="20"/>
      <c r="D419" s="22"/>
      <c r="E419" s="20"/>
      <c r="F419" s="20"/>
      <c r="G419" s="20"/>
      <c r="H419" s="20"/>
      <c r="I419" s="22"/>
      <c r="J419" s="20"/>
      <c r="K419" s="20"/>
      <c r="L419" s="20"/>
      <c r="M419" s="20"/>
      <c r="N419" s="21"/>
      <c r="O419" s="31"/>
      <c r="P419" s="20"/>
      <c r="Q419" s="31"/>
      <c r="R419" s="20"/>
      <c r="S419" s="20"/>
      <c r="T419" s="20"/>
      <c r="U419" s="20"/>
      <c r="V419" s="20"/>
      <c r="W419" s="20"/>
      <c r="X419" s="20"/>
      <c r="Y419" s="20"/>
      <c r="Z419" s="20"/>
    </row>
    <row r="420" spans="1:26" ht="9.75" customHeight="1" x14ac:dyDescent="0.25">
      <c r="A420" s="20"/>
      <c r="B420" s="21"/>
      <c r="C420" s="20"/>
      <c r="D420" s="22"/>
      <c r="E420" s="20"/>
      <c r="F420" s="20"/>
      <c r="G420" s="20"/>
      <c r="H420" s="20"/>
      <c r="I420" s="22"/>
      <c r="J420" s="20"/>
      <c r="K420" s="20"/>
      <c r="L420" s="20"/>
      <c r="M420" s="20"/>
      <c r="N420" s="21"/>
      <c r="O420" s="31"/>
      <c r="P420" s="20"/>
      <c r="Q420" s="31"/>
      <c r="R420" s="20"/>
      <c r="S420" s="20"/>
      <c r="T420" s="20"/>
      <c r="U420" s="20"/>
      <c r="V420" s="20"/>
      <c r="W420" s="20"/>
      <c r="X420" s="20"/>
      <c r="Y420" s="20"/>
      <c r="Z420" s="20"/>
    </row>
    <row r="421" spans="1:26" ht="9.75" customHeight="1" x14ac:dyDescent="0.25">
      <c r="A421" s="20"/>
      <c r="B421" s="21"/>
      <c r="C421" s="20"/>
      <c r="D421" s="22"/>
      <c r="E421" s="20"/>
      <c r="F421" s="20"/>
      <c r="G421" s="20"/>
      <c r="H421" s="20"/>
      <c r="I421" s="22"/>
      <c r="J421" s="20"/>
      <c r="K421" s="20"/>
      <c r="L421" s="20"/>
      <c r="M421" s="20"/>
      <c r="N421" s="21"/>
      <c r="O421" s="31"/>
      <c r="P421" s="20"/>
      <c r="Q421" s="31"/>
      <c r="R421" s="20"/>
      <c r="S421" s="20"/>
      <c r="T421" s="20"/>
      <c r="U421" s="20"/>
      <c r="V421" s="20"/>
      <c r="W421" s="20"/>
      <c r="X421" s="20"/>
      <c r="Y421" s="20"/>
      <c r="Z421" s="20"/>
    </row>
    <row r="422" spans="1:26" ht="9.75" customHeight="1" x14ac:dyDescent="0.25">
      <c r="A422" s="20"/>
      <c r="B422" s="21"/>
      <c r="C422" s="20"/>
      <c r="D422" s="22"/>
      <c r="E422" s="20"/>
      <c r="F422" s="20"/>
      <c r="G422" s="20"/>
      <c r="H422" s="20"/>
      <c r="I422" s="22"/>
      <c r="J422" s="20"/>
      <c r="K422" s="20"/>
      <c r="L422" s="20"/>
      <c r="M422" s="20"/>
      <c r="N422" s="21"/>
      <c r="O422" s="31"/>
      <c r="P422" s="20"/>
      <c r="Q422" s="31"/>
      <c r="R422" s="20"/>
      <c r="S422" s="20"/>
      <c r="T422" s="20"/>
      <c r="U422" s="20"/>
      <c r="V422" s="20"/>
      <c r="W422" s="20"/>
      <c r="X422" s="20"/>
      <c r="Y422" s="20"/>
      <c r="Z422" s="20"/>
    </row>
    <row r="423" spans="1:26" ht="9.75" customHeight="1" x14ac:dyDescent="0.25">
      <c r="A423" s="20"/>
      <c r="B423" s="21"/>
      <c r="C423" s="20"/>
      <c r="D423" s="22"/>
      <c r="E423" s="20"/>
      <c r="F423" s="20"/>
      <c r="G423" s="20"/>
      <c r="H423" s="20"/>
      <c r="I423" s="22"/>
      <c r="J423" s="20"/>
      <c r="K423" s="20"/>
      <c r="L423" s="20"/>
      <c r="M423" s="20"/>
      <c r="N423" s="21"/>
      <c r="O423" s="31"/>
      <c r="P423" s="20"/>
      <c r="Q423" s="31"/>
      <c r="R423" s="20"/>
      <c r="S423" s="20"/>
      <c r="T423" s="20"/>
      <c r="U423" s="20"/>
      <c r="V423" s="20"/>
      <c r="W423" s="20"/>
      <c r="X423" s="20"/>
      <c r="Y423" s="20"/>
      <c r="Z423" s="20"/>
    </row>
    <row r="424" spans="1:26" ht="9.75" customHeight="1" x14ac:dyDescent="0.25">
      <c r="A424" s="20"/>
      <c r="B424" s="21"/>
      <c r="C424" s="20"/>
      <c r="D424" s="22"/>
      <c r="E424" s="20"/>
      <c r="F424" s="20"/>
      <c r="G424" s="20"/>
      <c r="H424" s="20"/>
      <c r="I424" s="22"/>
      <c r="J424" s="20"/>
      <c r="K424" s="20"/>
      <c r="L424" s="20"/>
      <c r="M424" s="20"/>
      <c r="N424" s="21"/>
      <c r="O424" s="31"/>
      <c r="P424" s="20"/>
      <c r="Q424" s="31"/>
      <c r="R424" s="20"/>
      <c r="S424" s="20"/>
      <c r="T424" s="20"/>
      <c r="U424" s="20"/>
      <c r="V424" s="20"/>
      <c r="W424" s="20"/>
      <c r="X424" s="20"/>
      <c r="Y424" s="20"/>
      <c r="Z424" s="20"/>
    </row>
    <row r="425" spans="1:26" ht="9.75" customHeight="1" x14ac:dyDescent="0.25">
      <c r="A425" s="20"/>
      <c r="B425" s="21"/>
      <c r="C425" s="20"/>
      <c r="D425" s="22"/>
      <c r="E425" s="20"/>
      <c r="F425" s="20"/>
      <c r="G425" s="20"/>
      <c r="H425" s="20"/>
      <c r="I425" s="22"/>
      <c r="J425" s="20"/>
      <c r="K425" s="20"/>
      <c r="L425" s="20"/>
      <c r="M425" s="20"/>
      <c r="N425" s="21"/>
      <c r="O425" s="31"/>
      <c r="P425" s="20"/>
      <c r="Q425" s="31"/>
      <c r="R425" s="20"/>
      <c r="S425" s="20"/>
      <c r="T425" s="20"/>
      <c r="U425" s="20"/>
      <c r="V425" s="20"/>
      <c r="W425" s="20"/>
      <c r="X425" s="20"/>
      <c r="Y425" s="20"/>
      <c r="Z425" s="20"/>
    </row>
    <row r="426" spans="1:26" ht="9.75" customHeight="1" x14ac:dyDescent="0.25">
      <c r="A426" s="20"/>
      <c r="B426" s="21"/>
      <c r="C426" s="20"/>
      <c r="D426" s="22"/>
      <c r="E426" s="20"/>
      <c r="F426" s="20"/>
      <c r="G426" s="20"/>
      <c r="H426" s="20"/>
      <c r="I426" s="22"/>
      <c r="J426" s="20"/>
      <c r="K426" s="20"/>
      <c r="L426" s="20"/>
      <c r="M426" s="20"/>
      <c r="N426" s="21"/>
      <c r="O426" s="31"/>
      <c r="P426" s="20"/>
      <c r="Q426" s="31"/>
      <c r="R426" s="20"/>
      <c r="S426" s="20"/>
      <c r="T426" s="20"/>
      <c r="U426" s="20"/>
      <c r="V426" s="20"/>
      <c r="W426" s="20"/>
      <c r="X426" s="20"/>
      <c r="Y426" s="20"/>
      <c r="Z426" s="20"/>
    </row>
    <row r="427" spans="1:26" ht="9.75" customHeight="1" x14ac:dyDescent="0.25">
      <c r="A427" s="20"/>
      <c r="B427" s="21"/>
      <c r="C427" s="20"/>
      <c r="D427" s="22"/>
      <c r="E427" s="20"/>
      <c r="F427" s="20"/>
      <c r="G427" s="20"/>
      <c r="H427" s="20"/>
      <c r="I427" s="22"/>
      <c r="J427" s="20"/>
      <c r="K427" s="20"/>
      <c r="L427" s="20"/>
      <c r="M427" s="20"/>
      <c r="N427" s="21"/>
      <c r="O427" s="31"/>
      <c r="P427" s="20"/>
      <c r="Q427" s="31"/>
      <c r="R427" s="20"/>
      <c r="S427" s="20"/>
      <c r="T427" s="20"/>
      <c r="U427" s="20"/>
      <c r="V427" s="20"/>
      <c r="W427" s="20"/>
      <c r="X427" s="20"/>
      <c r="Y427" s="20"/>
      <c r="Z427" s="20"/>
    </row>
    <row r="428" spans="1:26" ht="9.75" customHeight="1" x14ac:dyDescent="0.25">
      <c r="A428" s="20"/>
      <c r="B428" s="21"/>
      <c r="C428" s="20"/>
      <c r="D428" s="22"/>
      <c r="E428" s="20"/>
      <c r="F428" s="20"/>
      <c r="G428" s="20"/>
      <c r="H428" s="20"/>
      <c r="I428" s="22"/>
      <c r="J428" s="20"/>
      <c r="K428" s="20"/>
      <c r="L428" s="20"/>
      <c r="M428" s="20"/>
      <c r="N428" s="21"/>
      <c r="O428" s="31"/>
      <c r="P428" s="20"/>
      <c r="Q428" s="31"/>
      <c r="R428" s="20"/>
      <c r="S428" s="20"/>
      <c r="T428" s="20"/>
      <c r="U428" s="20"/>
      <c r="V428" s="20"/>
      <c r="W428" s="20"/>
      <c r="X428" s="20"/>
      <c r="Y428" s="20"/>
      <c r="Z428" s="20"/>
    </row>
    <row r="429" spans="1:26" ht="9.75" customHeight="1" x14ac:dyDescent="0.25">
      <c r="A429" s="20"/>
      <c r="B429" s="21"/>
      <c r="C429" s="20"/>
      <c r="D429" s="22"/>
      <c r="E429" s="20"/>
      <c r="F429" s="20"/>
      <c r="G429" s="20"/>
      <c r="H429" s="20"/>
      <c r="I429" s="22"/>
      <c r="J429" s="20"/>
      <c r="K429" s="20"/>
      <c r="L429" s="20"/>
      <c r="M429" s="20"/>
      <c r="N429" s="21"/>
      <c r="O429" s="31"/>
      <c r="P429" s="20"/>
      <c r="Q429" s="31"/>
      <c r="R429" s="20"/>
      <c r="S429" s="20"/>
      <c r="T429" s="20"/>
      <c r="U429" s="20"/>
      <c r="V429" s="20"/>
      <c r="W429" s="20"/>
      <c r="X429" s="20"/>
      <c r="Y429" s="20"/>
      <c r="Z429" s="20"/>
    </row>
    <row r="430" spans="1:26" ht="9.75" customHeight="1" x14ac:dyDescent="0.25">
      <c r="A430" s="20"/>
      <c r="B430" s="21"/>
      <c r="C430" s="20"/>
      <c r="D430" s="22"/>
      <c r="E430" s="20"/>
      <c r="F430" s="20"/>
      <c r="G430" s="20"/>
      <c r="H430" s="20"/>
      <c r="I430" s="22"/>
      <c r="J430" s="20"/>
      <c r="K430" s="20"/>
      <c r="L430" s="20"/>
      <c r="M430" s="20"/>
      <c r="N430" s="21"/>
      <c r="O430" s="31"/>
      <c r="P430" s="20"/>
      <c r="Q430" s="31"/>
      <c r="R430" s="20"/>
      <c r="S430" s="20"/>
      <c r="T430" s="20"/>
      <c r="U430" s="20"/>
      <c r="V430" s="20"/>
      <c r="W430" s="20"/>
      <c r="X430" s="20"/>
      <c r="Y430" s="20"/>
      <c r="Z430" s="20"/>
    </row>
    <row r="431" spans="1:26" ht="9.75" customHeight="1" x14ac:dyDescent="0.25">
      <c r="A431" s="20"/>
      <c r="B431" s="21"/>
      <c r="C431" s="20"/>
      <c r="D431" s="22"/>
      <c r="E431" s="20"/>
      <c r="F431" s="20"/>
      <c r="G431" s="20"/>
      <c r="H431" s="20"/>
      <c r="I431" s="22"/>
      <c r="J431" s="20"/>
      <c r="K431" s="20"/>
      <c r="L431" s="20"/>
      <c r="M431" s="20"/>
      <c r="N431" s="21"/>
      <c r="O431" s="31"/>
      <c r="P431" s="20"/>
      <c r="Q431" s="31"/>
      <c r="R431" s="20"/>
      <c r="S431" s="20"/>
      <c r="T431" s="20"/>
      <c r="U431" s="20"/>
      <c r="V431" s="20"/>
      <c r="W431" s="20"/>
      <c r="X431" s="20"/>
      <c r="Y431" s="20"/>
      <c r="Z431" s="20"/>
    </row>
    <row r="432" spans="1:26" ht="9.75" customHeight="1" x14ac:dyDescent="0.25">
      <c r="A432" s="20"/>
      <c r="B432" s="21"/>
      <c r="C432" s="20"/>
      <c r="D432" s="22"/>
      <c r="E432" s="20"/>
      <c r="F432" s="20"/>
      <c r="G432" s="20"/>
      <c r="H432" s="20"/>
      <c r="I432" s="22"/>
      <c r="J432" s="20"/>
      <c r="K432" s="20"/>
      <c r="L432" s="20"/>
      <c r="M432" s="20"/>
      <c r="N432" s="21"/>
      <c r="O432" s="31"/>
      <c r="P432" s="20"/>
      <c r="Q432" s="31"/>
      <c r="R432" s="20"/>
      <c r="S432" s="20"/>
      <c r="T432" s="20"/>
      <c r="U432" s="20"/>
      <c r="V432" s="20"/>
      <c r="W432" s="20"/>
      <c r="X432" s="20"/>
      <c r="Y432" s="20"/>
      <c r="Z432" s="20"/>
    </row>
    <row r="433" spans="1:26" ht="9.75" customHeight="1" x14ac:dyDescent="0.25">
      <c r="A433" s="20"/>
      <c r="B433" s="21"/>
      <c r="C433" s="20"/>
      <c r="D433" s="22"/>
      <c r="E433" s="20"/>
      <c r="F433" s="20"/>
      <c r="G433" s="20"/>
      <c r="H433" s="20"/>
      <c r="I433" s="22"/>
      <c r="J433" s="20"/>
      <c r="K433" s="20"/>
      <c r="L433" s="20"/>
      <c r="M433" s="20"/>
      <c r="N433" s="21"/>
      <c r="O433" s="31"/>
      <c r="P433" s="20"/>
      <c r="Q433" s="31"/>
      <c r="R433" s="20"/>
      <c r="S433" s="20"/>
      <c r="T433" s="20"/>
      <c r="U433" s="20"/>
      <c r="V433" s="20"/>
      <c r="W433" s="20"/>
      <c r="X433" s="20"/>
      <c r="Y433" s="20"/>
      <c r="Z433" s="20"/>
    </row>
    <row r="434" spans="1:26" ht="9.75" customHeight="1" x14ac:dyDescent="0.25">
      <c r="A434" s="20"/>
      <c r="B434" s="21"/>
      <c r="C434" s="20"/>
      <c r="D434" s="22"/>
      <c r="E434" s="20"/>
      <c r="F434" s="20"/>
      <c r="G434" s="20"/>
      <c r="H434" s="20"/>
      <c r="I434" s="22"/>
      <c r="J434" s="20"/>
      <c r="K434" s="20"/>
      <c r="L434" s="20"/>
      <c r="M434" s="20"/>
      <c r="N434" s="21"/>
      <c r="O434" s="31"/>
      <c r="P434" s="20"/>
      <c r="Q434" s="31"/>
      <c r="R434" s="20"/>
      <c r="S434" s="20"/>
      <c r="T434" s="20"/>
      <c r="U434" s="20"/>
      <c r="V434" s="20"/>
      <c r="W434" s="20"/>
      <c r="X434" s="20"/>
      <c r="Y434" s="20"/>
      <c r="Z434" s="20"/>
    </row>
    <row r="435" spans="1:26" ht="9.75" customHeight="1" x14ac:dyDescent="0.25">
      <c r="A435" s="20"/>
      <c r="B435" s="21"/>
      <c r="C435" s="20"/>
      <c r="D435" s="22"/>
      <c r="E435" s="20"/>
      <c r="F435" s="20"/>
      <c r="G435" s="20"/>
      <c r="H435" s="20"/>
      <c r="I435" s="22"/>
      <c r="J435" s="20"/>
      <c r="K435" s="20"/>
      <c r="L435" s="20"/>
      <c r="M435" s="20"/>
      <c r="N435" s="21"/>
      <c r="O435" s="31"/>
      <c r="P435" s="20"/>
      <c r="Q435" s="31"/>
      <c r="R435" s="20"/>
      <c r="S435" s="20"/>
      <c r="T435" s="20"/>
      <c r="U435" s="20"/>
      <c r="V435" s="20"/>
      <c r="W435" s="20"/>
      <c r="X435" s="20"/>
      <c r="Y435" s="20"/>
      <c r="Z435" s="20"/>
    </row>
    <row r="436" spans="1:26" ht="9.75" customHeight="1" x14ac:dyDescent="0.25">
      <c r="A436" s="20"/>
      <c r="B436" s="21"/>
      <c r="C436" s="20"/>
      <c r="D436" s="22"/>
      <c r="E436" s="20"/>
      <c r="F436" s="20"/>
      <c r="G436" s="20"/>
      <c r="H436" s="20"/>
      <c r="I436" s="22"/>
      <c r="J436" s="20"/>
      <c r="K436" s="20"/>
      <c r="L436" s="20"/>
      <c r="M436" s="20"/>
      <c r="N436" s="21"/>
      <c r="O436" s="31"/>
      <c r="P436" s="20"/>
      <c r="Q436" s="31"/>
      <c r="R436" s="20"/>
      <c r="S436" s="20"/>
      <c r="T436" s="20"/>
      <c r="U436" s="20"/>
      <c r="V436" s="20"/>
      <c r="W436" s="20"/>
      <c r="X436" s="20"/>
      <c r="Y436" s="20"/>
      <c r="Z436" s="20"/>
    </row>
    <row r="437" spans="1:26" ht="9.75" customHeight="1" x14ac:dyDescent="0.25">
      <c r="A437" s="20"/>
      <c r="B437" s="21"/>
      <c r="C437" s="20"/>
      <c r="D437" s="22"/>
      <c r="E437" s="20"/>
      <c r="F437" s="20"/>
      <c r="G437" s="20"/>
      <c r="H437" s="20"/>
      <c r="I437" s="22"/>
      <c r="J437" s="20"/>
      <c r="K437" s="20"/>
      <c r="L437" s="20"/>
      <c r="M437" s="20"/>
      <c r="N437" s="21"/>
      <c r="O437" s="31"/>
      <c r="P437" s="20"/>
      <c r="Q437" s="31"/>
      <c r="R437" s="20"/>
      <c r="S437" s="20"/>
      <c r="T437" s="20"/>
      <c r="U437" s="20"/>
      <c r="V437" s="20"/>
      <c r="W437" s="20"/>
      <c r="X437" s="20"/>
      <c r="Y437" s="20"/>
      <c r="Z437" s="20"/>
    </row>
    <row r="438" spans="1:26" ht="9.75" customHeight="1" x14ac:dyDescent="0.25">
      <c r="A438" s="20"/>
      <c r="B438" s="21"/>
      <c r="C438" s="20"/>
      <c r="D438" s="22"/>
      <c r="E438" s="20"/>
      <c r="F438" s="20"/>
      <c r="G438" s="20"/>
      <c r="H438" s="20"/>
      <c r="I438" s="22"/>
      <c r="J438" s="20"/>
      <c r="K438" s="20"/>
      <c r="L438" s="20"/>
      <c r="M438" s="20"/>
      <c r="N438" s="21"/>
      <c r="O438" s="31"/>
      <c r="P438" s="20"/>
      <c r="Q438" s="31"/>
      <c r="R438" s="20"/>
      <c r="S438" s="20"/>
      <c r="T438" s="20"/>
      <c r="U438" s="20"/>
      <c r="V438" s="20"/>
      <c r="W438" s="20"/>
      <c r="X438" s="20"/>
      <c r="Y438" s="20"/>
      <c r="Z438" s="20"/>
    </row>
    <row r="439" spans="1:26" ht="9.75" customHeight="1" x14ac:dyDescent="0.25">
      <c r="A439" s="20"/>
      <c r="B439" s="21"/>
      <c r="C439" s="20"/>
      <c r="D439" s="22"/>
      <c r="E439" s="20"/>
      <c r="F439" s="20"/>
      <c r="G439" s="20"/>
      <c r="H439" s="20"/>
      <c r="I439" s="22"/>
      <c r="J439" s="20"/>
      <c r="K439" s="20"/>
      <c r="L439" s="20"/>
      <c r="M439" s="20"/>
      <c r="N439" s="21"/>
      <c r="O439" s="31"/>
      <c r="P439" s="20"/>
      <c r="Q439" s="31"/>
      <c r="R439" s="20"/>
      <c r="S439" s="20"/>
      <c r="T439" s="20"/>
      <c r="U439" s="20"/>
      <c r="V439" s="20"/>
      <c r="W439" s="20"/>
      <c r="X439" s="20"/>
      <c r="Y439" s="20"/>
      <c r="Z439" s="20"/>
    </row>
    <row r="440" spans="1:26" ht="9.75" customHeight="1" x14ac:dyDescent="0.25">
      <c r="A440" s="20"/>
      <c r="B440" s="21"/>
      <c r="C440" s="20"/>
      <c r="D440" s="22"/>
      <c r="E440" s="20"/>
      <c r="F440" s="20"/>
      <c r="G440" s="20"/>
      <c r="H440" s="20"/>
      <c r="I440" s="22"/>
      <c r="J440" s="20"/>
      <c r="K440" s="20"/>
      <c r="L440" s="20"/>
      <c r="M440" s="20"/>
      <c r="N440" s="21"/>
      <c r="O440" s="31"/>
      <c r="P440" s="20"/>
      <c r="Q440" s="31"/>
      <c r="R440" s="20"/>
      <c r="S440" s="20"/>
      <c r="T440" s="20"/>
      <c r="U440" s="20"/>
      <c r="V440" s="20"/>
      <c r="W440" s="20"/>
      <c r="X440" s="20"/>
      <c r="Y440" s="20"/>
      <c r="Z440" s="20"/>
    </row>
    <row r="441" spans="1:26" ht="9.75" customHeight="1" x14ac:dyDescent="0.25">
      <c r="A441" s="20"/>
      <c r="B441" s="21"/>
      <c r="C441" s="20"/>
      <c r="D441" s="22"/>
      <c r="E441" s="20"/>
      <c r="F441" s="20"/>
      <c r="G441" s="20"/>
      <c r="H441" s="20"/>
      <c r="I441" s="22"/>
      <c r="J441" s="20"/>
      <c r="K441" s="20"/>
      <c r="L441" s="20"/>
      <c r="M441" s="20"/>
      <c r="N441" s="21"/>
      <c r="O441" s="31"/>
      <c r="P441" s="20"/>
      <c r="Q441" s="31"/>
      <c r="R441" s="20"/>
      <c r="S441" s="20"/>
      <c r="T441" s="20"/>
      <c r="U441" s="20"/>
      <c r="V441" s="20"/>
      <c r="W441" s="20"/>
      <c r="X441" s="20"/>
      <c r="Y441" s="20"/>
      <c r="Z441" s="20"/>
    </row>
    <row r="442" spans="1:26" ht="9.75" customHeight="1" x14ac:dyDescent="0.25">
      <c r="A442" s="20"/>
      <c r="B442" s="21"/>
      <c r="C442" s="20"/>
      <c r="D442" s="22"/>
      <c r="E442" s="20"/>
      <c r="F442" s="20"/>
      <c r="G442" s="20"/>
      <c r="H442" s="20"/>
      <c r="I442" s="22"/>
      <c r="J442" s="20"/>
      <c r="K442" s="20"/>
      <c r="L442" s="20"/>
      <c r="M442" s="20"/>
      <c r="N442" s="21"/>
      <c r="O442" s="31"/>
      <c r="P442" s="20"/>
      <c r="Q442" s="31"/>
      <c r="R442" s="20"/>
      <c r="S442" s="20"/>
      <c r="T442" s="20"/>
      <c r="U442" s="20"/>
      <c r="V442" s="20"/>
      <c r="W442" s="20"/>
      <c r="X442" s="20"/>
      <c r="Y442" s="20"/>
      <c r="Z442" s="20"/>
    </row>
    <row r="443" spans="1:26" ht="9.75" customHeight="1" x14ac:dyDescent="0.25">
      <c r="A443" s="20"/>
      <c r="B443" s="21"/>
      <c r="C443" s="20"/>
      <c r="D443" s="22"/>
      <c r="E443" s="20"/>
      <c r="F443" s="20"/>
      <c r="G443" s="20"/>
      <c r="H443" s="20"/>
      <c r="I443" s="22"/>
      <c r="J443" s="20"/>
      <c r="K443" s="20"/>
      <c r="L443" s="20"/>
      <c r="M443" s="20"/>
      <c r="N443" s="21"/>
      <c r="O443" s="31"/>
      <c r="P443" s="20"/>
      <c r="Q443" s="31"/>
      <c r="R443" s="20"/>
      <c r="S443" s="20"/>
      <c r="T443" s="20"/>
      <c r="U443" s="20"/>
      <c r="V443" s="20"/>
      <c r="W443" s="20"/>
      <c r="X443" s="20"/>
      <c r="Y443" s="20"/>
      <c r="Z443" s="20"/>
    </row>
    <row r="444" spans="1:26" ht="9.75" customHeight="1" x14ac:dyDescent="0.25">
      <c r="A444" s="20"/>
      <c r="B444" s="21"/>
      <c r="C444" s="20"/>
      <c r="D444" s="22"/>
      <c r="E444" s="20"/>
      <c r="F444" s="20"/>
      <c r="G444" s="20"/>
      <c r="H444" s="20"/>
      <c r="I444" s="22"/>
      <c r="J444" s="20"/>
      <c r="K444" s="20"/>
      <c r="L444" s="20"/>
      <c r="M444" s="20"/>
      <c r="N444" s="21"/>
      <c r="O444" s="31"/>
      <c r="P444" s="20"/>
      <c r="Q444" s="31"/>
      <c r="R444" s="20"/>
      <c r="S444" s="20"/>
      <c r="T444" s="20"/>
      <c r="U444" s="20"/>
      <c r="V444" s="20"/>
      <c r="W444" s="20"/>
      <c r="X444" s="20"/>
      <c r="Y444" s="20"/>
      <c r="Z444" s="20"/>
    </row>
    <row r="445" spans="1:26" ht="9.75" customHeight="1" x14ac:dyDescent="0.25">
      <c r="A445" s="20"/>
      <c r="B445" s="21"/>
      <c r="C445" s="20"/>
      <c r="D445" s="22"/>
      <c r="E445" s="20"/>
      <c r="F445" s="20"/>
      <c r="G445" s="20"/>
      <c r="H445" s="20"/>
      <c r="I445" s="22"/>
      <c r="J445" s="20"/>
      <c r="K445" s="20"/>
      <c r="L445" s="20"/>
      <c r="M445" s="20"/>
      <c r="N445" s="21"/>
      <c r="O445" s="31"/>
      <c r="P445" s="20"/>
      <c r="Q445" s="31"/>
      <c r="R445" s="20"/>
      <c r="S445" s="20"/>
      <c r="T445" s="20"/>
      <c r="U445" s="20"/>
      <c r="V445" s="20"/>
      <c r="W445" s="20"/>
      <c r="X445" s="20"/>
      <c r="Y445" s="20"/>
      <c r="Z445" s="20"/>
    </row>
    <row r="446" spans="1:26" ht="9.75" customHeight="1" x14ac:dyDescent="0.25">
      <c r="A446" s="20"/>
      <c r="B446" s="21"/>
      <c r="C446" s="20"/>
      <c r="D446" s="22"/>
      <c r="E446" s="20"/>
      <c r="F446" s="20"/>
      <c r="G446" s="20"/>
      <c r="H446" s="20"/>
      <c r="I446" s="22"/>
      <c r="J446" s="20"/>
      <c r="K446" s="20"/>
      <c r="L446" s="20"/>
      <c r="M446" s="20"/>
      <c r="N446" s="21"/>
      <c r="O446" s="31"/>
      <c r="P446" s="20"/>
      <c r="Q446" s="31"/>
      <c r="R446" s="20"/>
      <c r="S446" s="20"/>
      <c r="T446" s="20"/>
      <c r="U446" s="20"/>
      <c r="V446" s="20"/>
      <c r="W446" s="20"/>
      <c r="X446" s="20"/>
      <c r="Y446" s="20"/>
      <c r="Z446" s="20"/>
    </row>
    <row r="447" spans="1:26" ht="9.75" customHeight="1" x14ac:dyDescent="0.25">
      <c r="A447" s="20"/>
      <c r="B447" s="21"/>
      <c r="C447" s="20"/>
      <c r="D447" s="22"/>
      <c r="E447" s="20"/>
      <c r="F447" s="20"/>
      <c r="G447" s="20"/>
      <c r="H447" s="20"/>
      <c r="I447" s="22"/>
      <c r="J447" s="20"/>
      <c r="K447" s="20"/>
      <c r="L447" s="20"/>
      <c r="M447" s="20"/>
      <c r="N447" s="21"/>
      <c r="O447" s="31"/>
      <c r="P447" s="20"/>
      <c r="Q447" s="31"/>
      <c r="R447" s="20"/>
      <c r="S447" s="20"/>
      <c r="T447" s="20"/>
      <c r="U447" s="20"/>
      <c r="V447" s="20"/>
      <c r="W447" s="20"/>
      <c r="X447" s="20"/>
      <c r="Y447" s="20"/>
      <c r="Z447" s="20"/>
    </row>
    <row r="448" spans="1:26" ht="9.75" customHeight="1" x14ac:dyDescent="0.25">
      <c r="A448" s="20"/>
      <c r="B448" s="21"/>
      <c r="C448" s="20"/>
      <c r="D448" s="22"/>
      <c r="E448" s="20"/>
      <c r="F448" s="20"/>
      <c r="G448" s="20"/>
      <c r="H448" s="20"/>
      <c r="I448" s="22"/>
      <c r="J448" s="20"/>
      <c r="K448" s="20"/>
      <c r="L448" s="20"/>
      <c r="M448" s="20"/>
      <c r="N448" s="21"/>
      <c r="O448" s="31"/>
      <c r="P448" s="20"/>
      <c r="Q448" s="31"/>
      <c r="R448" s="20"/>
      <c r="S448" s="20"/>
      <c r="T448" s="20"/>
      <c r="U448" s="20"/>
      <c r="V448" s="20"/>
      <c r="W448" s="20"/>
      <c r="X448" s="20"/>
      <c r="Y448" s="20"/>
      <c r="Z448" s="20"/>
    </row>
    <row r="449" spans="1:26" ht="9.75" customHeight="1" x14ac:dyDescent="0.25">
      <c r="A449" s="20"/>
      <c r="B449" s="21"/>
      <c r="C449" s="20"/>
      <c r="D449" s="22"/>
      <c r="E449" s="20"/>
      <c r="F449" s="20"/>
      <c r="G449" s="20"/>
      <c r="H449" s="20"/>
      <c r="I449" s="22"/>
      <c r="J449" s="20"/>
      <c r="K449" s="20"/>
      <c r="L449" s="20"/>
      <c r="M449" s="20"/>
      <c r="N449" s="21"/>
      <c r="O449" s="31"/>
      <c r="P449" s="20"/>
      <c r="Q449" s="31"/>
      <c r="R449" s="20"/>
      <c r="S449" s="20"/>
      <c r="T449" s="20"/>
      <c r="U449" s="20"/>
      <c r="V449" s="20"/>
      <c r="W449" s="20"/>
      <c r="X449" s="20"/>
      <c r="Y449" s="20"/>
      <c r="Z449" s="20"/>
    </row>
    <row r="450" spans="1:26" ht="9.75" customHeight="1" x14ac:dyDescent="0.25">
      <c r="A450" s="20"/>
      <c r="B450" s="21"/>
      <c r="C450" s="20"/>
      <c r="D450" s="22"/>
      <c r="E450" s="20"/>
      <c r="F450" s="20"/>
      <c r="G450" s="20"/>
      <c r="H450" s="20"/>
      <c r="I450" s="22"/>
      <c r="J450" s="20"/>
      <c r="K450" s="20"/>
      <c r="L450" s="20"/>
      <c r="M450" s="20"/>
      <c r="N450" s="21"/>
      <c r="O450" s="31"/>
      <c r="P450" s="20"/>
      <c r="Q450" s="31"/>
      <c r="R450" s="20"/>
      <c r="S450" s="20"/>
      <c r="T450" s="20"/>
      <c r="U450" s="20"/>
      <c r="V450" s="20"/>
      <c r="W450" s="20"/>
      <c r="X450" s="20"/>
      <c r="Y450" s="20"/>
      <c r="Z450" s="20"/>
    </row>
    <row r="451" spans="1:26" ht="9.75" customHeight="1" x14ac:dyDescent="0.25">
      <c r="A451" s="20"/>
      <c r="B451" s="21"/>
      <c r="C451" s="20"/>
      <c r="D451" s="22"/>
      <c r="E451" s="20"/>
      <c r="F451" s="20"/>
      <c r="G451" s="20"/>
      <c r="H451" s="20"/>
      <c r="I451" s="22"/>
      <c r="J451" s="20"/>
      <c r="K451" s="20"/>
      <c r="L451" s="20"/>
      <c r="M451" s="20"/>
      <c r="N451" s="21"/>
      <c r="O451" s="31"/>
      <c r="P451" s="20"/>
      <c r="Q451" s="31"/>
      <c r="R451" s="20"/>
      <c r="S451" s="20"/>
      <c r="T451" s="20"/>
      <c r="U451" s="20"/>
      <c r="V451" s="20"/>
      <c r="W451" s="20"/>
      <c r="X451" s="20"/>
      <c r="Y451" s="20"/>
      <c r="Z451" s="20"/>
    </row>
    <row r="452" spans="1:26" ht="9.75" customHeight="1" x14ac:dyDescent="0.25">
      <c r="A452" s="20"/>
      <c r="B452" s="21"/>
      <c r="C452" s="20"/>
      <c r="D452" s="22"/>
      <c r="E452" s="20"/>
      <c r="F452" s="20"/>
      <c r="G452" s="20"/>
      <c r="H452" s="20"/>
      <c r="I452" s="22"/>
      <c r="J452" s="20"/>
      <c r="K452" s="20"/>
      <c r="L452" s="20"/>
      <c r="M452" s="20"/>
      <c r="N452" s="21"/>
      <c r="O452" s="31"/>
      <c r="P452" s="20"/>
      <c r="Q452" s="31"/>
      <c r="R452" s="20"/>
      <c r="S452" s="20"/>
      <c r="T452" s="20"/>
      <c r="U452" s="20"/>
      <c r="V452" s="20"/>
      <c r="W452" s="20"/>
      <c r="X452" s="20"/>
      <c r="Y452" s="20"/>
      <c r="Z452" s="20"/>
    </row>
    <row r="453" spans="1:26" ht="9.75" customHeight="1" x14ac:dyDescent="0.25">
      <c r="A453" s="20"/>
      <c r="B453" s="21"/>
      <c r="C453" s="20"/>
      <c r="D453" s="22"/>
      <c r="E453" s="20"/>
      <c r="F453" s="20"/>
      <c r="G453" s="20"/>
      <c r="H453" s="20"/>
      <c r="I453" s="22"/>
      <c r="J453" s="20"/>
      <c r="K453" s="20"/>
      <c r="L453" s="20"/>
      <c r="M453" s="20"/>
      <c r="N453" s="21"/>
      <c r="O453" s="31"/>
      <c r="P453" s="20"/>
      <c r="Q453" s="31"/>
      <c r="R453" s="20"/>
      <c r="S453" s="20"/>
      <c r="T453" s="20"/>
      <c r="U453" s="20"/>
      <c r="V453" s="20"/>
      <c r="W453" s="20"/>
      <c r="X453" s="20"/>
      <c r="Y453" s="20"/>
      <c r="Z453" s="20"/>
    </row>
    <row r="454" spans="1:26" ht="9.75" customHeight="1" x14ac:dyDescent="0.25">
      <c r="A454" s="20"/>
      <c r="B454" s="21"/>
      <c r="C454" s="20"/>
      <c r="D454" s="22"/>
      <c r="E454" s="20"/>
      <c r="F454" s="20"/>
      <c r="G454" s="20"/>
      <c r="H454" s="20"/>
      <c r="I454" s="22"/>
      <c r="J454" s="20"/>
      <c r="K454" s="20"/>
      <c r="L454" s="20"/>
      <c r="M454" s="20"/>
      <c r="N454" s="21"/>
      <c r="O454" s="31"/>
      <c r="P454" s="20"/>
      <c r="Q454" s="31"/>
      <c r="R454" s="20"/>
      <c r="S454" s="20"/>
      <c r="T454" s="20"/>
      <c r="U454" s="20"/>
      <c r="V454" s="20"/>
      <c r="W454" s="20"/>
      <c r="X454" s="20"/>
      <c r="Y454" s="20"/>
      <c r="Z454" s="20"/>
    </row>
    <row r="455" spans="1:26" ht="9.75" customHeight="1" x14ac:dyDescent="0.25">
      <c r="A455" s="20"/>
      <c r="B455" s="21"/>
      <c r="C455" s="20"/>
      <c r="D455" s="22"/>
      <c r="E455" s="20"/>
      <c r="F455" s="20"/>
      <c r="G455" s="20"/>
      <c r="H455" s="20"/>
      <c r="I455" s="22"/>
      <c r="J455" s="20"/>
      <c r="K455" s="20"/>
      <c r="L455" s="20"/>
      <c r="M455" s="20"/>
      <c r="N455" s="21"/>
      <c r="O455" s="31"/>
      <c r="P455" s="20"/>
      <c r="Q455" s="31"/>
      <c r="R455" s="20"/>
      <c r="S455" s="20"/>
      <c r="T455" s="20"/>
      <c r="U455" s="20"/>
      <c r="V455" s="20"/>
      <c r="W455" s="20"/>
      <c r="X455" s="20"/>
      <c r="Y455" s="20"/>
      <c r="Z455" s="20"/>
    </row>
    <row r="456" spans="1:26" ht="9.75" customHeight="1" x14ac:dyDescent="0.25">
      <c r="A456" s="20"/>
      <c r="B456" s="21"/>
      <c r="C456" s="20"/>
      <c r="D456" s="22"/>
      <c r="E456" s="20"/>
      <c r="F456" s="20"/>
      <c r="G456" s="20"/>
      <c r="H456" s="20"/>
      <c r="I456" s="22"/>
      <c r="J456" s="20"/>
      <c r="K456" s="20"/>
      <c r="L456" s="20"/>
      <c r="M456" s="20"/>
      <c r="N456" s="21"/>
      <c r="O456" s="31"/>
      <c r="P456" s="20"/>
      <c r="Q456" s="31"/>
      <c r="R456" s="20"/>
      <c r="S456" s="20"/>
      <c r="T456" s="20"/>
      <c r="U456" s="20"/>
      <c r="V456" s="20"/>
      <c r="W456" s="20"/>
      <c r="X456" s="20"/>
      <c r="Y456" s="20"/>
      <c r="Z456" s="20"/>
    </row>
    <row r="457" spans="1:26" ht="9.75" customHeight="1" x14ac:dyDescent="0.25">
      <c r="A457" s="20"/>
      <c r="B457" s="21"/>
      <c r="C457" s="20"/>
      <c r="D457" s="22"/>
      <c r="E457" s="20"/>
      <c r="F457" s="20"/>
      <c r="G457" s="20"/>
      <c r="H457" s="20"/>
      <c r="I457" s="22"/>
      <c r="J457" s="20"/>
      <c r="K457" s="20"/>
      <c r="L457" s="20"/>
      <c r="M457" s="20"/>
      <c r="N457" s="21"/>
      <c r="O457" s="31"/>
      <c r="P457" s="20"/>
      <c r="Q457" s="31"/>
      <c r="R457" s="20"/>
      <c r="S457" s="20"/>
      <c r="T457" s="20"/>
      <c r="U457" s="20"/>
      <c r="V457" s="20"/>
      <c r="W457" s="20"/>
      <c r="X457" s="20"/>
      <c r="Y457" s="20"/>
      <c r="Z457" s="20"/>
    </row>
    <row r="458" spans="1:26" ht="9.75" customHeight="1" x14ac:dyDescent="0.25">
      <c r="A458" s="20"/>
      <c r="B458" s="21"/>
      <c r="C458" s="20"/>
      <c r="D458" s="22"/>
      <c r="E458" s="20"/>
      <c r="F458" s="20"/>
      <c r="G458" s="20"/>
      <c r="H458" s="20"/>
      <c r="I458" s="22"/>
      <c r="J458" s="20"/>
      <c r="K458" s="20"/>
      <c r="L458" s="20"/>
      <c r="M458" s="20"/>
      <c r="N458" s="21"/>
      <c r="O458" s="31"/>
      <c r="P458" s="20"/>
      <c r="Q458" s="31"/>
      <c r="R458" s="20"/>
      <c r="S458" s="20"/>
      <c r="T458" s="20"/>
      <c r="U458" s="20"/>
      <c r="V458" s="20"/>
      <c r="W458" s="20"/>
      <c r="X458" s="20"/>
      <c r="Y458" s="20"/>
      <c r="Z458" s="20"/>
    </row>
    <row r="459" spans="1:26" ht="9.75" customHeight="1" x14ac:dyDescent="0.25">
      <c r="A459" s="20"/>
      <c r="B459" s="21"/>
      <c r="C459" s="20"/>
      <c r="D459" s="22"/>
      <c r="E459" s="20"/>
      <c r="F459" s="20"/>
      <c r="G459" s="20"/>
      <c r="H459" s="20"/>
      <c r="I459" s="22"/>
      <c r="J459" s="20"/>
      <c r="K459" s="20"/>
      <c r="L459" s="20"/>
      <c r="M459" s="20"/>
      <c r="N459" s="21"/>
      <c r="O459" s="31"/>
      <c r="P459" s="20"/>
      <c r="Q459" s="31"/>
      <c r="R459" s="20"/>
      <c r="S459" s="20"/>
      <c r="T459" s="20"/>
      <c r="U459" s="20"/>
      <c r="V459" s="20"/>
      <c r="W459" s="20"/>
      <c r="X459" s="20"/>
      <c r="Y459" s="20"/>
      <c r="Z459" s="20"/>
    </row>
    <row r="460" spans="1:26" ht="9.75" customHeight="1" x14ac:dyDescent="0.25">
      <c r="A460" s="20"/>
      <c r="B460" s="21"/>
      <c r="C460" s="20"/>
      <c r="D460" s="22"/>
      <c r="E460" s="20"/>
      <c r="F460" s="20"/>
      <c r="G460" s="20"/>
      <c r="H460" s="20"/>
      <c r="I460" s="22"/>
      <c r="J460" s="20"/>
      <c r="K460" s="20"/>
      <c r="L460" s="20"/>
      <c r="M460" s="20"/>
      <c r="N460" s="21"/>
      <c r="O460" s="31"/>
      <c r="P460" s="20"/>
      <c r="Q460" s="31"/>
      <c r="R460" s="20"/>
      <c r="S460" s="20"/>
      <c r="T460" s="20"/>
      <c r="U460" s="20"/>
      <c r="V460" s="20"/>
      <c r="W460" s="20"/>
      <c r="X460" s="20"/>
      <c r="Y460" s="20"/>
      <c r="Z460" s="20"/>
    </row>
    <row r="461" spans="1:26" ht="9.75" customHeight="1" x14ac:dyDescent="0.25">
      <c r="A461" s="20"/>
      <c r="B461" s="21"/>
      <c r="C461" s="20"/>
      <c r="D461" s="22"/>
      <c r="E461" s="20"/>
      <c r="F461" s="20"/>
      <c r="G461" s="20"/>
      <c r="H461" s="20"/>
      <c r="I461" s="22"/>
      <c r="J461" s="20"/>
      <c r="K461" s="20"/>
      <c r="L461" s="20"/>
      <c r="M461" s="20"/>
      <c r="N461" s="21"/>
      <c r="O461" s="31"/>
      <c r="P461" s="20"/>
      <c r="Q461" s="31"/>
      <c r="R461" s="20"/>
      <c r="S461" s="20"/>
      <c r="T461" s="20"/>
      <c r="U461" s="20"/>
      <c r="V461" s="20"/>
      <c r="W461" s="20"/>
      <c r="X461" s="20"/>
      <c r="Y461" s="20"/>
      <c r="Z461" s="20"/>
    </row>
    <row r="462" spans="1:26" ht="9.75" customHeight="1" x14ac:dyDescent="0.25">
      <c r="A462" s="20"/>
      <c r="B462" s="21"/>
      <c r="C462" s="20"/>
      <c r="D462" s="22"/>
      <c r="E462" s="20"/>
      <c r="F462" s="20"/>
      <c r="G462" s="20"/>
      <c r="H462" s="20"/>
      <c r="I462" s="22"/>
      <c r="J462" s="20"/>
      <c r="K462" s="20"/>
      <c r="L462" s="20"/>
      <c r="M462" s="20"/>
      <c r="N462" s="21"/>
      <c r="O462" s="31"/>
      <c r="P462" s="20"/>
      <c r="Q462" s="31"/>
      <c r="R462" s="20"/>
      <c r="S462" s="20"/>
      <c r="T462" s="20"/>
      <c r="U462" s="20"/>
      <c r="V462" s="20"/>
      <c r="W462" s="20"/>
      <c r="X462" s="20"/>
      <c r="Y462" s="20"/>
      <c r="Z462" s="20"/>
    </row>
    <row r="463" spans="1:26" ht="9.75" customHeight="1" x14ac:dyDescent="0.25">
      <c r="A463" s="20"/>
      <c r="B463" s="21"/>
      <c r="C463" s="20"/>
      <c r="D463" s="22"/>
      <c r="E463" s="20"/>
      <c r="F463" s="20"/>
      <c r="G463" s="20"/>
      <c r="H463" s="20"/>
      <c r="I463" s="22"/>
      <c r="J463" s="20"/>
      <c r="K463" s="20"/>
      <c r="L463" s="20"/>
      <c r="M463" s="20"/>
      <c r="N463" s="21"/>
      <c r="O463" s="31"/>
      <c r="P463" s="20"/>
      <c r="Q463" s="31"/>
      <c r="R463" s="20"/>
      <c r="S463" s="20"/>
      <c r="T463" s="20"/>
      <c r="U463" s="20"/>
      <c r="V463" s="20"/>
      <c r="W463" s="20"/>
      <c r="X463" s="20"/>
      <c r="Y463" s="20"/>
      <c r="Z463" s="20"/>
    </row>
    <row r="464" spans="1:26" ht="9.75" customHeight="1" x14ac:dyDescent="0.25">
      <c r="A464" s="20"/>
      <c r="B464" s="21"/>
      <c r="C464" s="20"/>
      <c r="D464" s="22"/>
      <c r="E464" s="20"/>
      <c r="F464" s="20"/>
      <c r="G464" s="20"/>
      <c r="H464" s="20"/>
      <c r="I464" s="22"/>
      <c r="J464" s="20"/>
      <c r="K464" s="20"/>
      <c r="L464" s="20"/>
      <c r="M464" s="20"/>
      <c r="N464" s="21"/>
      <c r="O464" s="31"/>
      <c r="P464" s="20"/>
      <c r="Q464" s="31"/>
      <c r="R464" s="20"/>
      <c r="S464" s="20"/>
      <c r="T464" s="20"/>
      <c r="U464" s="20"/>
      <c r="V464" s="20"/>
      <c r="W464" s="20"/>
      <c r="X464" s="20"/>
      <c r="Y464" s="20"/>
      <c r="Z464" s="20"/>
    </row>
    <row r="465" spans="1:26" ht="9.75" customHeight="1" x14ac:dyDescent="0.25">
      <c r="A465" s="20"/>
      <c r="B465" s="21"/>
      <c r="C465" s="20"/>
      <c r="D465" s="22"/>
      <c r="E465" s="20"/>
      <c r="F465" s="20"/>
      <c r="G465" s="20"/>
      <c r="H465" s="20"/>
      <c r="I465" s="22"/>
      <c r="J465" s="20"/>
      <c r="K465" s="20"/>
      <c r="L465" s="20"/>
      <c r="M465" s="20"/>
      <c r="N465" s="21"/>
      <c r="O465" s="31"/>
      <c r="P465" s="20"/>
      <c r="Q465" s="31"/>
      <c r="R465" s="20"/>
      <c r="S465" s="20"/>
      <c r="T465" s="20"/>
      <c r="U465" s="20"/>
      <c r="V465" s="20"/>
      <c r="W465" s="20"/>
      <c r="X465" s="20"/>
      <c r="Y465" s="20"/>
      <c r="Z465" s="20"/>
    </row>
    <row r="466" spans="1:26" ht="9.75" customHeight="1" x14ac:dyDescent="0.25">
      <c r="A466" s="20"/>
      <c r="B466" s="21"/>
      <c r="C466" s="20"/>
      <c r="D466" s="22"/>
      <c r="E466" s="20"/>
      <c r="F466" s="20"/>
      <c r="G466" s="20"/>
      <c r="H466" s="20"/>
      <c r="I466" s="22"/>
      <c r="J466" s="20"/>
      <c r="K466" s="20"/>
      <c r="L466" s="20"/>
      <c r="M466" s="20"/>
      <c r="N466" s="21"/>
      <c r="O466" s="31"/>
      <c r="P466" s="20"/>
      <c r="Q466" s="31"/>
      <c r="R466" s="20"/>
      <c r="S466" s="20"/>
      <c r="T466" s="20"/>
      <c r="U466" s="20"/>
      <c r="V466" s="20"/>
      <c r="W466" s="20"/>
      <c r="X466" s="20"/>
      <c r="Y466" s="20"/>
      <c r="Z466" s="20"/>
    </row>
    <row r="467" spans="1:26" ht="9.75" customHeight="1" x14ac:dyDescent="0.25">
      <c r="A467" s="20"/>
      <c r="B467" s="21"/>
      <c r="C467" s="20"/>
      <c r="D467" s="22"/>
      <c r="E467" s="20"/>
      <c r="F467" s="20"/>
      <c r="G467" s="20"/>
      <c r="H467" s="20"/>
      <c r="I467" s="22"/>
      <c r="J467" s="20"/>
      <c r="K467" s="20"/>
      <c r="L467" s="20"/>
      <c r="M467" s="20"/>
      <c r="N467" s="21"/>
      <c r="O467" s="31"/>
      <c r="P467" s="20"/>
      <c r="Q467" s="31"/>
      <c r="R467" s="20"/>
      <c r="S467" s="20"/>
      <c r="T467" s="20"/>
      <c r="U467" s="20"/>
      <c r="V467" s="20"/>
      <c r="W467" s="20"/>
      <c r="X467" s="20"/>
      <c r="Y467" s="20"/>
      <c r="Z467" s="20"/>
    </row>
    <row r="468" spans="1:26" ht="9.75" customHeight="1" x14ac:dyDescent="0.25">
      <c r="A468" s="20"/>
      <c r="B468" s="21"/>
      <c r="C468" s="20"/>
      <c r="D468" s="22"/>
      <c r="E468" s="20"/>
      <c r="F468" s="20"/>
      <c r="G468" s="20"/>
      <c r="H468" s="20"/>
      <c r="I468" s="22"/>
      <c r="J468" s="20"/>
      <c r="K468" s="20"/>
      <c r="L468" s="20"/>
      <c r="M468" s="20"/>
      <c r="N468" s="21"/>
      <c r="O468" s="31"/>
      <c r="P468" s="20"/>
      <c r="Q468" s="31"/>
      <c r="R468" s="20"/>
      <c r="S468" s="20"/>
      <c r="T468" s="20"/>
      <c r="U468" s="20"/>
      <c r="V468" s="20"/>
      <c r="W468" s="20"/>
      <c r="X468" s="20"/>
      <c r="Y468" s="20"/>
      <c r="Z468" s="20"/>
    </row>
    <row r="469" spans="1:26" ht="9.75" customHeight="1" x14ac:dyDescent="0.25">
      <c r="A469" s="20"/>
      <c r="B469" s="21"/>
      <c r="C469" s="20"/>
      <c r="D469" s="22"/>
      <c r="E469" s="20"/>
      <c r="F469" s="20"/>
      <c r="G469" s="20"/>
      <c r="H469" s="20"/>
      <c r="I469" s="22"/>
      <c r="J469" s="20"/>
      <c r="K469" s="20"/>
      <c r="L469" s="20"/>
      <c r="M469" s="20"/>
      <c r="N469" s="21"/>
      <c r="O469" s="31"/>
      <c r="P469" s="20"/>
      <c r="Q469" s="31"/>
      <c r="R469" s="20"/>
      <c r="S469" s="20"/>
      <c r="T469" s="20"/>
      <c r="U469" s="20"/>
      <c r="V469" s="20"/>
      <c r="W469" s="20"/>
      <c r="X469" s="20"/>
      <c r="Y469" s="20"/>
      <c r="Z469" s="20"/>
    </row>
    <row r="470" spans="1:26" ht="9.75" customHeight="1" x14ac:dyDescent="0.25">
      <c r="A470" s="20"/>
      <c r="B470" s="21"/>
      <c r="C470" s="20"/>
      <c r="D470" s="22"/>
      <c r="E470" s="20"/>
      <c r="F470" s="20"/>
      <c r="G470" s="20"/>
      <c r="H470" s="20"/>
      <c r="I470" s="22"/>
      <c r="J470" s="20"/>
      <c r="K470" s="20"/>
      <c r="L470" s="20"/>
      <c r="M470" s="20"/>
      <c r="N470" s="21"/>
      <c r="O470" s="31"/>
      <c r="P470" s="20"/>
      <c r="Q470" s="31"/>
      <c r="R470" s="20"/>
      <c r="S470" s="20"/>
      <c r="T470" s="20"/>
      <c r="U470" s="20"/>
      <c r="V470" s="20"/>
      <c r="W470" s="20"/>
      <c r="X470" s="20"/>
      <c r="Y470" s="20"/>
      <c r="Z470" s="20"/>
    </row>
    <row r="471" spans="1:26" ht="9.75" customHeight="1" x14ac:dyDescent="0.25">
      <c r="A471" s="20"/>
      <c r="B471" s="21"/>
      <c r="C471" s="20"/>
      <c r="D471" s="22"/>
      <c r="E471" s="20"/>
      <c r="F471" s="20"/>
      <c r="G471" s="20"/>
      <c r="H471" s="20"/>
      <c r="I471" s="22"/>
      <c r="J471" s="20"/>
      <c r="K471" s="20"/>
      <c r="L471" s="20"/>
      <c r="M471" s="20"/>
      <c r="N471" s="21"/>
      <c r="O471" s="31"/>
      <c r="P471" s="20"/>
      <c r="Q471" s="31"/>
      <c r="R471" s="20"/>
      <c r="S471" s="20"/>
      <c r="T471" s="20"/>
      <c r="U471" s="20"/>
      <c r="V471" s="20"/>
      <c r="W471" s="20"/>
      <c r="X471" s="20"/>
      <c r="Y471" s="20"/>
      <c r="Z471" s="20"/>
    </row>
    <row r="472" spans="1:26" ht="9.75" customHeight="1" x14ac:dyDescent="0.25">
      <c r="A472" s="20"/>
      <c r="B472" s="21"/>
      <c r="C472" s="20"/>
      <c r="D472" s="22"/>
      <c r="E472" s="20"/>
      <c r="F472" s="20"/>
      <c r="G472" s="20"/>
      <c r="H472" s="20"/>
      <c r="I472" s="22"/>
      <c r="J472" s="20"/>
      <c r="K472" s="20"/>
      <c r="L472" s="20"/>
      <c r="M472" s="20"/>
      <c r="N472" s="21"/>
      <c r="O472" s="31"/>
      <c r="P472" s="20"/>
      <c r="Q472" s="31"/>
      <c r="R472" s="20"/>
      <c r="S472" s="20"/>
      <c r="T472" s="20"/>
      <c r="U472" s="20"/>
      <c r="V472" s="20"/>
      <c r="W472" s="20"/>
      <c r="X472" s="20"/>
      <c r="Y472" s="20"/>
      <c r="Z472" s="20"/>
    </row>
    <row r="473" spans="1:26" ht="9.75" customHeight="1" x14ac:dyDescent="0.25">
      <c r="A473" s="20"/>
      <c r="B473" s="21"/>
      <c r="C473" s="20"/>
      <c r="D473" s="22"/>
      <c r="E473" s="20"/>
      <c r="F473" s="20"/>
      <c r="G473" s="20"/>
      <c r="H473" s="20"/>
      <c r="I473" s="22"/>
      <c r="J473" s="20"/>
      <c r="K473" s="20"/>
      <c r="L473" s="20"/>
      <c r="M473" s="20"/>
      <c r="N473" s="21"/>
      <c r="O473" s="31"/>
      <c r="P473" s="20"/>
      <c r="Q473" s="31"/>
      <c r="R473" s="20"/>
      <c r="S473" s="20"/>
      <c r="T473" s="20"/>
      <c r="U473" s="20"/>
      <c r="V473" s="20"/>
      <c r="W473" s="20"/>
      <c r="X473" s="20"/>
      <c r="Y473" s="20"/>
      <c r="Z473" s="20"/>
    </row>
    <row r="474" spans="1:26" ht="9.75" customHeight="1" x14ac:dyDescent="0.25">
      <c r="A474" s="20"/>
      <c r="B474" s="21"/>
      <c r="C474" s="20"/>
      <c r="D474" s="22"/>
      <c r="E474" s="20"/>
      <c r="F474" s="20"/>
      <c r="G474" s="20"/>
      <c r="H474" s="20"/>
      <c r="I474" s="22"/>
      <c r="J474" s="20"/>
      <c r="K474" s="20"/>
      <c r="L474" s="20"/>
      <c r="M474" s="20"/>
      <c r="N474" s="21"/>
      <c r="O474" s="31"/>
      <c r="P474" s="20"/>
      <c r="Q474" s="31"/>
      <c r="R474" s="20"/>
      <c r="S474" s="20"/>
      <c r="T474" s="20"/>
      <c r="U474" s="20"/>
      <c r="V474" s="20"/>
      <c r="W474" s="20"/>
      <c r="X474" s="20"/>
      <c r="Y474" s="20"/>
      <c r="Z474" s="20"/>
    </row>
    <row r="475" spans="1:26" ht="9.75" customHeight="1" x14ac:dyDescent="0.25">
      <c r="A475" s="20"/>
      <c r="B475" s="21"/>
      <c r="C475" s="20"/>
      <c r="D475" s="22"/>
      <c r="E475" s="20"/>
      <c r="F475" s="20"/>
      <c r="G475" s="20"/>
      <c r="H475" s="20"/>
      <c r="I475" s="22"/>
      <c r="J475" s="20"/>
      <c r="K475" s="20"/>
      <c r="L475" s="20"/>
      <c r="M475" s="20"/>
      <c r="N475" s="21"/>
      <c r="O475" s="31"/>
      <c r="P475" s="20"/>
      <c r="Q475" s="31"/>
      <c r="R475" s="20"/>
      <c r="S475" s="20"/>
      <c r="T475" s="20"/>
      <c r="U475" s="20"/>
      <c r="V475" s="20"/>
      <c r="W475" s="20"/>
      <c r="X475" s="20"/>
      <c r="Y475" s="20"/>
      <c r="Z475" s="20"/>
    </row>
    <row r="476" spans="1:26" ht="9.75" customHeight="1" x14ac:dyDescent="0.25">
      <c r="A476" s="20"/>
      <c r="B476" s="21"/>
      <c r="C476" s="20"/>
      <c r="D476" s="22"/>
      <c r="E476" s="20"/>
      <c r="F476" s="20"/>
      <c r="G476" s="20"/>
      <c r="H476" s="20"/>
      <c r="I476" s="22"/>
      <c r="J476" s="20"/>
      <c r="K476" s="20"/>
      <c r="L476" s="20"/>
      <c r="M476" s="20"/>
      <c r="N476" s="21"/>
      <c r="O476" s="31"/>
      <c r="P476" s="20"/>
      <c r="Q476" s="31"/>
      <c r="R476" s="20"/>
      <c r="S476" s="20"/>
      <c r="T476" s="20"/>
      <c r="U476" s="20"/>
      <c r="V476" s="20"/>
      <c r="W476" s="20"/>
      <c r="X476" s="20"/>
      <c r="Y476" s="20"/>
      <c r="Z476" s="20"/>
    </row>
    <row r="477" spans="1:26" ht="9.75" customHeight="1" x14ac:dyDescent="0.25">
      <c r="A477" s="20"/>
      <c r="B477" s="21"/>
      <c r="C477" s="20"/>
      <c r="D477" s="22"/>
      <c r="E477" s="20"/>
      <c r="F477" s="20"/>
      <c r="G477" s="20"/>
      <c r="H477" s="20"/>
      <c r="I477" s="22"/>
      <c r="J477" s="20"/>
      <c r="K477" s="20"/>
      <c r="L477" s="20"/>
      <c r="M477" s="20"/>
      <c r="N477" s="21"/>
      <c r="O477" s="31"/>
      <c r="P477" s="20"/>
      <c r="Q477" s="31"/>
      <c r="R477" s="20"/>
      <c r="S477" s="20"/>
      <c r="T477" s="20"/>
      <c r="U477" s="20"/>
      <c r="V477" s="20"/>
      <c r="W477" s="20"/>
      <c r="X477" s="20"/>
      <c r="Y477" s="20"/>
      <c r="Z477" s="20"/>
    </row>
    <row r="478" spans="1:26" ht="9.75" customHeight="1" x14ac:dyDescent="0.25">
      <c r="A478" s="20"/>
      <c r="B478" s="21"/>
      <c r="C478" s="20"/>
      <c r="D478" s="22"/>
      <c r="E478" s="20"/>
      <c r="F478" s="20"/>
      <c r="G478" s="20"/>
      <c r="H478" s="20"/>
      <c r="I478" s="22"/>
      <c r="J478" s="20"/>
      <c r="K478" s="20"/>
      <c r="L478" s="20"/>
      <c r="M478" s="20"/>
      <c r="N478" s="21"/>
      <c r="O478" s="31"/>
      <c r="P478" s="20"/>
      <c r="Q478" s="31"/>
      <c r="R478" s="20"/>
      <c r="S478" s="20"/>
      <c r="T478" s="20"/>
      <c r="U478" s="20"/>
      <c r="V478" s="20"/>
      <c r="W478" s="20"/>
      <c r="X478" s="20"/>
      <c r="Y478" s="20"/>
      <c r="Z478" s="20"/>
    </row>
    <row r="479" spans="1:26" ht="9.75" customHeight="1" x14ac:dyDescent="0.25">
      <c r="A479" s="20"/>
      <c r="B479" s="21"/>
      <c r="C479" s="20"/>
      <c r="D479" s="22"/>
      <c r="E479" s="20"/>
      <c r="F479" s="20"/>
      <c r="G479" s="20"/>
      <c r="H479" s="20"/>
      <c r="I479" s="22"/>
      <c r="J479" s="20"/>
      <c r="K479" s="20"/>
      <c r="L479" s="20"/>
      <c r="M479" s="20"/>
      <c r="N479" s="21"/>
      <c r="O479" s="31"/>
      <c r="P479" s="20"/>
      <c r="Q479" s="31"/>
      <c r="R479" s="20"/>
      <c r="S479" s="20"/>
      <c r="T479" s="20"/>
      <c r="U479" s="20"/>
      <c r="V479" s="20"/>
      <c r="W479" s="20"/>
      <c r="X479" s="20"/>
      <c r="Y479" s="20"/>
      <c r="Z479" s="20"/>
    </row>
    <row r="480" spans="1:26" ht="9.75" customHeight="1" x14ac:dyDescent="0.25">
      <c r="A480" s="20"/>
      <c r="B480" s="21"/>
      <c r="C480" s="20"/>
      <c r="D480" s="22"/>
      <c r="E480" s="20"/>
      <c r="F480" s="20"/>
      <c r="G480" s="20"/>
      <c r="H480" s="20"/>
      <c r="I480" s="22"/>
      <c r="J480" s="20"/>
      <c r="K480" s="20"/>
      <c r="L480" s="20"/>
      <c r="M480" s="20"/>
      <c r="N480" s="21"/>
      <c r="O480" s="31"/>
      <c r="P480" s="20"/>
      <c r="Q480" s="31"/>
      <c r="R480" s="20"/>
      <c r="S480" s="20"/>
      <c r="T480" s="20"/>
      <c r="U480" s="20"/>
      <c r="V480" s="20"/>
      <c r="W480" s="20"/>
      <c r="X480" s="20"/>
      <c r="Y480" s="20"/>
      <c r="Z480" s="20"/>
    </row>
    <row r="481" spans="1:26" ht="9.75" customHeight="1" x14ac:dyDescent="0.25">
      <c r="A481" s="20"/>
      <c r="B481" s="21"/>
      <c r="C481" s="20"/>
      <c r="D481" s="22"/>
      <c r="E481" s="20"/>
      <c r="F481" s="20"/>
      <c r="G481" s="20"/>
      <c r="H481" s="20"/>
      <c r="I481" s="22"/>
      <c r="J481" s="20"/>
      <c r="K481" s="20"/>
      <c r="L481" s="20"/>
      <c r="M481" s="20"/>
      <c r="N481" s="21"/>
      <c r="O481" s="31"/>
      <c r="P481" s="20"/>
      <c r="Q481" s="31"/>
      <c r="R481" s="20"/>
      <c r="S481" s="20"/>
      <c r="T481" s="20"/>
      <c r="U481" s="20"/>
      <c r="V481" s="20"/>
      <c r="W481" s="20"/>
      <c r="X481" s="20"/>
      <c r="Y481" s="20"/>
      <c r="Z481" s="20"/>
    </row>
    <row r="482" spans="1:26" ht="9.75" customHeight="1" x14ac:dyDescent="0.25">
      <c r="A482" s="20"/>
      <c r="B482" s="21"/>
      <c r="C482" s="20"/>
      <c r="D482" s="22"/>
      <c r="E482" s="20"/>
      <c r="F482" s="20"/>
      <c r="G482" s="20"/>
      <c r="H482" s="20"/>
      <c r="I482" s="22"/>
      <c r="J482" s="20"/>
      <c r="K482" s="20"/>
      <c r="L482" s="20"/>
      <c r="M482" s="20"/>
      <c r="N482" s="21"/>
      <c r="O482" s="31"/>
      <c r="P482" s="20"/>
      <c r="Q482" s="31"/>
      <c r="R482" s="20"/>
      <c r="S482" s="20"/>
      <c r="T482" s="20"/>
      <c r="U482" s="20"/>
      <c r="V482" s="20"/>
      <c r="W482" s="20"/>
      <c r="X482" s="20"/>
      <c r="Y482" s="20"/>
      <c r="Z482" s="20"/>
    </row>
    <row r="483" spans="1:26" ht="9.75" customHeight="1" x14ac:dyDescent="0.25">
      <c r="A483" s="20"/>
      <c r="B483" s="21"/>
      <c r="C483" s="20"/>
      <c r="D483" s="22"/>
      <c r="E483" s="20"/>
      <c r="F483" s="20"/>
      <c r="G483" s="20"/>
      <c r="H483" s="20"/>
      <c r="I483" s="22"/>
      <c r="J483" s="20"/>
      <c r="K483" s="20"/>
      <c r="L483" s="20"/>
      <c r="M483" s="20"/>
      <c r="N483" s="21"/>
      <c r="O483" s="31"/>
      <c r="P483" s="20"/>
      <c r="Q483" s="31"/>
      <c r="R483" s="20"/>
      <c r="S483" s="20"/>
      <c r="T483" s="20"/>
      <c r="U483" s="20"/>
      <c r="V483" s="20"/>
      <c r="W483" s="20"/>
      <c r="X483" s="20"/>
      <c r="Y483" s="20"/>
      <c r="Z483" s="20"/>
    </row>
    <row r="484" spans="1:26" ht="9.75" customHeight="1" x14ac:dyDescent="0.25">
      <c r="A484" s="20"/>
      <c r="B484" s="21"/>
      <c r="C484" s="20"/>
      <c r="D484" s="22"/>
      <c r="E484" s="20"/>
      <c r="F484" s="20"/>
      <c r="G484" s="20"/>
      <c r="H484" s="20"/>
      <c r="I484" s="22"/>
      <c r="J484" s="20"/>
      <c r="K484" s="20"/>
      <c r="L484" s="20"/>
      <c r="M484" s="20"/>
      <c r="N484" s="21"/>
      <c r="O484" s="31"/>
      <c r="P484" s="20"/>
      <c r="Q484" s="31"/>
      <c r="R484" s="20"/>
      <c r="S484" s="20"/>
      <c r="T484" s="20"/>
      <c r="U484" s="20"/>
      <c r="V484" s="20"/>
      <c r="W484" s="20"/>
      <c r="X484" s="20"/>
      <c r="Y484" s="20"/>
      <c r="Z484" s="20"/>
    </row>
    <row r="485" spans="1:26" ht="9.75" customHeight="1" x14ac:dyDescent="0.25">
      <c r="A485" s="20"/>
      <c r="B485" s="21"/>
      <c r="C485" s="20"/>
      <c r="D485" s="22"/>
      <c r="E485" s="20"/>
      <c r="F485" s="20"/>
      <c r="G485" s="20"/>
      <c r="H485" s="20"/>
      <c r="I485" s="22"/>
      <c r="J485" s="20"/>
      <c r="K485" s="20"/>
      <c r="L485" s="20"/>
      <c r="M485" s="20"/>
      <c r="N485" s="21"/>
      <c r="O485" s="31"/>
      <c r="P485" s="20"/>
      <c r="Q485" s="31"/>
      <c r="R485" s="20"/>
      <c r="S485" s="20"/>
      <c r="T485" s="20"/>
      <c r="U485" s="20"/>
      <c r="V485" s="20"/>
      <c r="W485" s="20"/>
      <c r="X485" s="20"/>
      <c r="Y485" s="20"/>
      <c r="Z485" s="20"/>
    </row>
    <row r="486" spans="1:26" ht="9.75" customHeight="1" x14ac:dyDescent="0.25">
      <c r="A486" s="20"/>
      <c r="B486" s="21"/>
      <c r="C486" s="20"/>
      <c r="D486" s="22"/>
      <c r="E486" s="20"/>
      <c r="F486" s="20"/>
      <c r="G486" s="20"/>
      <c r="H486" s="20"/>
      <c r="I486" s="22"/>
      <c r="J486" s="20"/>
      <c r="K486" s="20"/>
      <c r="L486" s="20"/>
      <c r="M486" s="20"/>
      <c r="N486" s="21"/>
      <c r="O486" s="31"/>
      <c r="P486" s="20"/>
      <c r="Q486" s="31"/>
      <c r="R486" s="20"/>
      <c r="S486" s="20"/>
      <c r="T486" s="20"/>
      <c r="U486" s="20"/>
      <c r="V486" s="20"/>
      <c r="W486" s="20"/>
      <c r="X486" s="20"/>
      <c r="Y486" s="20"/>
      <c r="Z486" s="20"/>
    </row>
    <row r="487" spans="1:26" ht="9.75" customHeight="1" x14ac:dyDescent="0.25">
      <c r="A487" s="20"/>
      <c r="B487" s="21"/>
      <c r="C487" s="20"/>
      <c r="D487" s="22"/>
      <c r="E487" s="20"/>
      <c r="F487" s="20"/>
      <c r="G487" s="20"/>
      <c r="H487" s="20"/>
      <c r="I487" s="22"/>
      <c r="J487" s="20"/>
      <c r="K487" s="20"/>
      <c r="L487" s="20"/>
      <c r="M487" s="20"/>
      <c r="N487" s="21"/>
      <c r="O487" s="31"/>
      <c r="P487" s="20"/>
      <c r="Q487" s="31"/>
      <c r="R487" s="20"/>
      <c r="S487" s="20"/>
      <c r="T487" s="20"/>
      <c r="U487" s="20"/>
      <c r="V487" s="20"/>
      <c r="W487" s="20"/>
      <c r="X487" s="20"/>
      <c r="Y487" s="20"/>
      <c r="Z487" s="20"/>
    </row>
    <row r="488" spans="1:26" ht="9.75" customHeight="1" x14ac:dyDescent="0.25">
      <c r="A488" s="20"/>
      <c r="B488" s="21"/>
      <c r="C488" s="20"/>
      <c r="D488" s="22"/>
      <c r="E488" s="20"/>
      <c r="F488" s="20"/>
      <c r="G488" s="20"/>
      <c r="H488" s="20"/>
      <c r="I488" s="22"/>
      <c r="J488" s="20"/>
      <c r="K488" s="20"/>
      <c r="L488" s="20"/>
      <c r="M488" s="20"/>
      <c r="N488" s="21"/>
      <c r="O488" s="31"/>
      <c r="P488" s="20"/>
      <c r="Q488" s="31"/>
      <c r="R488" s="20"/>
      <c r="S488" s="20"/>
      <c r="T488" s="20"/>
      <c r="U488" s="20"/>
      <c r="V488" s="20"/>
      <c r="W488" s="20"/>
      <c r="X488" s="20"/>
      <c r="Y488" s="20"/>
      <c r="Z488" s="20"/>
    </row>
    <row r="489" spans="1:26" ht="9.75" customHeight="1" x14ac:dyDescent="0.25">
      <c r="A489" s="20"/>
      <c r="B489" s="21"/>
      <c r="C489" s="20"/>
      <c r="D489" s="22"/>
      <c r="E489" s="20"/>
      <c r="F489" s="20"/>
      <c r="G489" s="20"/>
      <c r="H489" s="20"/>
      <c r="I489" s="22"/>
      <c r="J489" s="20"/>
      <c r="K489" s="20"/>
      <c r="L489" s="20"/>
      <c r="M489" s="20"/>
      <c r="N489" s="21"/>
      <c r="O489" s="31"/>
      <c r="P489" s="20"/>
      <c r="Q489" s="31"/>
      <c r="R489" s="20"/>
      <c r="S489" s="20"/>
      <c r="T489" s="20"/>
      <c r="U489" s="20"/>
      <c r="V489" s="20"/>
      <c r="W489" s="20"/>
      <c r="X489" s="20"/>
      <c r="Y489" s="20"/>
      <c r="Z489" s="20"/>
    </row>
    <row r="490" spans="1:26" ht="9.75" customHeight="1" x14ac:dyDescent="0.25">
      <c r="A490" s="20"/>
      <c r="B490" s="21"/>
      <c r="C490" s="20"/>
      <c r="D490" s="22"/>
      <c r="E490" s="20"/>
      <c r="F490" s="20"/>
      <c r="G490" s="20"/>
      <c r="H490" s="20"/>
      <c r="I490" s="22"/>
      <c r="J490" s="20"/>
      <c r="K490" s="20"/>
      <c r="L490" s="20"/>
      <c r="M490" s="20"/>
      <c r="N490" s="21"/>
      <c r="O490" s="31"/>
      <c r="P490" s="20"/>
      <c r="Q490" s="31"/>
      <c r="R490" s="20"/>
      <c r="S490" s="20"/>
      <c r="T490" s="20"/>
      <c r="U490" s="20"/>
      <c r="V490" s="20"/>
      <c r="W490" s="20"/>
      <c r="X490" s="20"/>
      <c r="Y490" s="20"/>
      <c r="Z490" s="20"/>
    </row>
    <row r="491" spans="1:26" ht="9.75" customHeight="1" x14ac:dyDescent="0.25">
      <c r="A491" s="20"/>
      <c r="B491" s="21"/>
      <c r="C491" s="20"/>
      <c r="D491" s="22"/>
      <c r="E491" s="20"/>
      <c r="F491" s="20"/>
      <c r="G491" s="20"/>
      <c r="H491" s="20"/>
      <c r="I491" s="22"/>
      <c r="J491" s="20"/>
      <c r="K491" s="20"/>
      <c r="L491" s="20"/>
      <c r="M491" s="20"/>
      <c r="N491" s="21"/>
      <c r="O491" s="31"/>
      <c r="P491" s="20"/>
      <c r="Q491" s="31"/>
      <c r="R491" s="20"/>
      <c r="S491" s="20"/>
      <c r="T491" s="20"/>
      <c r="U491" s="20"/>
      <c r="V491" s="20"/>
      <c r="W491" s="20"/>
      <c r="X491" s="20"/>
      <c r="Y491" s="20"/>
      <c r="Z491" s="20"/>
    </row>
    <row r="492" spans="1:26" ht="9.75" customHeight="1" x14ac:dyDescent="0.25">
      <c r="A492" s="20"/>
      <c r="B492" s="21"/>
      <c r="C492" s="20"/>
      <c r="D492" s="22"/>
      <c r="E492" s="20"/>
      <c r="F492" s="20"/>
      <c r="G492" s="20"/>
      <c r="H492" s="20"/>
      <c r="I492" s="22"/>
      <c r="J492" s="20"/>
      <c r="K492" s="20"/>
      <c r="L492" s="20"/>
      <c r="M492" s="20"/>
      <c r="N492" s="21"/>
      <c r="O492" s="31"/>
      <c r="P492" s="20"/>
      <c r="Q492" s="31"/>
      <c r="R492" s="20"/>
      <c r="S492" s="20"/>
      <c r="T492" s="20"/>
      <c r="U492" s="20"/>
      <c r="V492" s="20"/>
      <c r="W492" s="20"/>
      <c r="X492" s="20"/>
      <c r="Y492" s="20"/>
      <c r="Z492" s="20"/>
    </row>
    <row r="493" spans="1:26" ht="9.75" customHeight="1" x14ac:dyDescent="0.25">
      <c r="A493" s="20"/>
      <c r="B493" s="21"/>
      <c r="C493" s="20"/>
      <c r="D493" s="22"/>
      <c r="E493" s="20"/>
      <c r="F493" s="20"/>
      <c r="G493" s="20"/>
      <c r="H493" s="20"/>
      <c r="I493" s="22"/>
      <c r="J493" s="20"/>
      <c r="K493" s="20"/>
      <c r="L493" s="20"/>
      <c r="M493" s="20"/>
      <c r="N493" s="21"/>
      <c r="O493" s="31"/>
      <c r="P493" s="20"/>
      <c r="Q493" s="31"/>
      <c r="R493" s="20"/>
      <c r="S493" s="20"/>
      <c r="T493" s="20"/>
      <c r="U493" s="20"/>
      <c r="V493" s="20"/>
      <c r="W493" s="20"/>
      <c r="X493" s="20"/>
      <c r="Y493" s="20"/>
      <c r="Z493" s="20"/>
    </row>
    <row r="494" spans="1:26" ht="9.75" customHeight="1" x14ac:dyDescent="0.25">
      <c r="A494" s="20"/>
      <c r="B494" s="21"/>
      <c r="C494" s="20"/>
      <c r="D494" s="22"/>
      <c r="E494" s="20"/>
      <c r="F494" s="20"/>
      <c r="G494" s="20"/>
      <c r="H494" s="20"/>
      <c r="I494" s="22"/>
      <c r="J494" s="20"/>
      <c r="K494" s="20"/>
      <c r="L494" s="20"/>
      <c r="M494" s="20"/>
      <c r="N494" s="21"/>
      <c r="O494" s="31"/>
      <c r="P494" s="20"/>
      <c r="Q494" s="31"/>
      <c r="R494" s="20"/>
      <c r="S494" s="20"/>
      <c r="T494" s="20"/>
      <c r="U494" s="20"/>
      <c r="V494" s="20"/>
      <c r="W494" s="20"/>
      <c r="X494" s="20"/>
      <c r="Y494" s="20"/>
      <c r="Z494" s="20"/>
    </row>
    <row r="495" spans="1:26" ht="9.75" customHeight="1" x14ac:dyDescent="0.25">
      <c r="A495" s="20"/>
      <c r="B495" s="21"/>
      <c r="C495" s="20"/>
      <c r="D495" s="22"/>
      <c r="E495" s="20"/>
      <c r="F495" s="20"/>
      <c r="G495" s="20"/>
      <c r="H495" s="20"/>
      <c r="I495" s="22"/>
      <c r="J495" s="20"/>
      <c r="K495" s="20"/>
      <c r="L495" s="20"/>
      <c r="M495" s="20"/>
      <c r="N495" s="21"/>
      <c r="O495" s="31"/>
      <c r="P495" s="20"/>
      <c r="Q495" s="31"/>
      <c r="R495" s="20"/>
      <c r="S495" s="20"/>
      <c r="T495" s="20"/>
      <c r="U495" s="20"/>
      <c r="V495" s="20"/>
      <c r="W495" s="20"/>
      <c r="X495" s="20"/>
      <c r="Y495" s="20"/>
      <c r="Z495" s="20"/>
    </row>
    <row r="496" spans="1:26" ht="9.75" customHeight="1" x14ac:dyDescent="0.25">
      <c r="A496" s="20"/>
      <c r="B496" s="21"/>
      <c r="C496" s="20"/>
      <c r="D496" s="22"/>
      <c r="E496" s="20"/>
      <c r="F496" s="20"/>
      <c r="G496" s="20"/>
      <c r="H496" s="20"/>
      <c r="I496" s="22"/>
      <c r="J496" s="20"/>
      <c r="K496" s="20"/>
      <c r="L496" s="20"/>
      <c r="M496" s="20"/>
      <c r="N496" s="21"/>
      <c r="O496" s="31"/>
      <c r="P496" s="20"/>
      <c r="Q496" s="31"/>
      <c r="R496" s="20"/>
      <c r="S496" s="20"/>
      <c r="T496" s="20"/>
      <c r="U496" s="20"/>
      <c r="V496" s="20"/>
      <c r="W496" s="20"/>
      <c r="X496" s="20"/>
      <c r="Y496" s="20"/>
      <c r="Z496" s="20"/>
    </row>
    <row r="497" spans="1:26" ht="9.75" customHeight="1" x14ac:dyDescent="0.25">
      <c r="A497" s="20"/>
      <c r="B497" s="21"/>
      <c r="C497" s="20"/>
      <c r="D497" s="22"/>
      <c r="E497" s="20"/>
      <c r="F497" s="20"/>
      <c r="G497" s="20"/>
      <c r="H497" s="20"/>
      <c r="I497" s="22"/>
      <c r="J497" s="20"/>
      <c r="K497" s="20"/>
      <c r="L497" s="20"/>
      <c r="M497" s="20"/>
      <c r="N497" s="21"/>
      <c r="O497" s="31"/>
      <c r="P497" s="20"/>
      <c r="Q497" s="31"/>
      <c r="R497" s="20"/>
      <c r="S497" s="20"/>
      <c r="T497" s="20"/>
      <c r="U497" s="20"/>
      <c r="V497" s="20"/>
      <c r="W497" s="20"/>
      <c r="X497" s="20"/>
      <c r="Y497" s="20"/>
      <c r="Z497" s="20"/>
    </row>
    <row r="498" spans="1:26" ht="9.75" customHeight="1" x14ac:dyDescent="0.25">
      <c r="A498" s="20"/>
      <c r="B498" s="21"/>
      <c r="C498" s="20"/>
      <c r="D498" s="22"/>
      <c r="E498" s="20"/>
      <c r="F498" s="20"/>
      <c r="G498" s="20"/>
      <c r="H498" s="20"/>
      <c r="I498" s="22"/>
      <c r="J498" s="20"/>
      <c r="K498" s="20"/>
      <c r="L498" s="20"/>
      <c r="M498" s="20"/>
      <c r="N498" s="21"/>
      <c r="O498" s="31"/>
      <c r="P498" s="20"/>
      <c r="Q498" s="31"/>
      <c r="R498" s="20"/>
      <c r="S498" s="20"/>
      <c r="T498" s="20"/>
      <c r="U498" s="20"/>
      <c r="V498" s="20"/>
      <c r="W498" s="20"/>
      <c r="X498" s="20"/>
      <c r="Y498" s="20"/>
      <c r="Z498" s="20"/>
    </row>
    <row r="499" spans="1:26" ht="9.75" customHeight="1" x14ac:dyDescent="0.25">
      <c r="A499" s="20"/>
      <c r="B499" s="21"/>
      <c r="C499" s="20"/>
      <c r="D499" s="22"/>
      <c r="E499" s="20"/>
      <c r="F499" s="20"/>
      <c r="G499" s="20"/>
      <c r="H499" s="20"/>
      <c r="I499" s="22"/>
      <c r="J499" s="20"/>
      <c r="K499" s="20"/>
      <c r="L499" s="20"/>
      <c r="M499" s="20"/>
      <c r="N499" s="21"/>
      <c r="O499" s="31"/>
      <c r="P499" s="20"/>
      <c r="Q499" s="31"/>
      <c r="R499" s="20"/>
      <c r="S499" s="20"/>
      <c r="T499" s="20"/>
      <c r="U499" s="20"/>
      <c r="V499" s="20"/>
      <c r="W499" s="20"/>
      <c r="X499" s="20"/>
      <c r="Y499" s="20"/>
      <c r="Z499" s="20"/>
    </row>
    <row r="500" spans="1:26" ht="9.75" customHeight="1" x14ac:dyDescent="0.25">
      <c r="A500" s="20"/>
      <c r="B500" s="21"/>
      <c r="C500" s="20"/>
      <c r="D500" s="22"/>
      <c r="E500" s="20"/>
      <c r="F500" s="20"/>
      <c r="G500" s="20"/>
      <c r="H500" s="20"/>
      <c r="I500" s="22"/>
      <c r="J500" s="20"/>
      <c r="K500" s="20"/>
      <c r="L500" s="20"/>
      <c r="M500" s="20"/>
      <c r="N500" s="21"/>
      <c r="O500" s="31"/>
      <c r="P500" s="20"/>
      <c r="Q500" s="31"/>
      <c r="R500" s="20"/>
      <c r="S500" s="20"/>
      <c r="T500" s="20"/>
      <c r="U500" s="20"/>
      <c r="V500" s="20"/>
      <c r="W500" s="20"/>
      <c r="X500" s="20"/>
      <c r="Y500" s="20"/>
      <c r="Z500" s="20"/>
    </row>
    <row r="501" spans="1:26" ht="9.75" customHeight="1" x14ac:dyDescent="0.25">
      <c r="A501" s="20"/>
      <c r="B501" s="21"/>
      <c r="C501" s="20"/>
      <c r="D501" s="22"/>
      <c r="E501" s="20"/>
      <c r="F501" s="20"/>
      <c r="G501" s="20"/>
      <c r="H501" s="20"/>
      <c r="I501" s="22"/>
      <c r="J501" s="20"/>
      <c r="K501" s="20"/>
      <c r="L501" s="20"/>
      <c r="M501" s="20"/>
      <c r="N501" s="21"/>
      <c r="O501" s="31"/>
      <c r="P501" s="20"/>
      <c r="Q501" s="31"/>
      <c r="R501" s="20"/>
      <c r="S501" s="20"/>
      <c r="T501" s="20"/>
      <c r="U501" s="20"/>
      <c r="V501" s="20"/>
      <c r="W501" s="20"/>
      <c r="X501" s="20"/>
      <c r="Y501" s="20"/>
      <c r="Z501" s="20"/>
    </row>
    <row r="502" spans="1:26" ht="9.75" customHeight="1" x14ac:dyDescent="0.25">
      <c r="A502" s="20"/>
      <c r="B502" s="21"/>
      <c r="C502" s="20"/>
      <c r="D502" s="22"/>
      <c r="E502" s="20"/>
      <c r="F502" s="20"/>
      <c r="G502" s="20"/>
      <c r="H502" s="20"/>
      <c r="I502" s="22"/>
      <c r="J502" s="20"/>
      <c r="K502" s="20"/>
      <c r="L502" s="20"/>
      <c r="M502" s="20"/>
      <c r="N502" s="21"/>
      <c r="O502" s="31"/>
      <c r="P502" s="20"/>
      <c r="Q502" s="31"/>
      <c r="R502" s="20"/>
      <c r="S502" s="20"/>
      <c r="T502" s="20"/>
      <c r="U502" s="20"/>
      <c r="V502" s="20"/>
      <c r="W502" s="20"/>
      <c r="X502" s="20"/>
      <c r="Y502" s="20"/>
      <c r="Z502" s="20"/>
    </row>
    <row r="503" spans="1:26" ht="9.75" customHeight="1" x14ac:dyDescent="0.25">
      <c r="A503" s="20"/>
      <c r="B503" s="21"/>
      <c r="C503" s="20"/>
      <c r="D503" s="22"/>
      <c r="E503" s="20"/>
      <c r="F503" s="20"/>
      <c r="G503" s="20"/>
      <c r="H503" s="20"/>
      <c r="I503" s="22"/>
      <c r="J503" s="20"/>
      <c r="K503" s="20"/>
      <c r="L503" s="20"/>
      <c r="M503" s="20"/>
      <c r="N503" s="21"/>
      <c r="O503" s="31"/>
      <c r="P503" s="20"/>
      <c r="Q503" s="31"/>
      <c r="R503" s="20"/>
      <c r="S503" s="20"/>
      <c r="T503" s="20"/>
      <c r="U503" s="20"/>
      <c r="V503" s="20"/>
      <c r="W503" s="20"/>
      <c r="X503" s="20"/>
      <c r="Y503" s="20"/>
      <c r="Z503" s="20"/>
    </row>
    <row r="504" spans="1:26" ht="9.75" customHeight="1" x14ac:dyDescent="0.25">
      <c r="A504" s="20"/>
      <c r="B504" s="21"/>
      <c r="C504" s="20"/>
      <c r="D504" s="22"/>
      <c r="E504" s="20"/>
      <c r="F504" s="20"/>
      <c r="G504" s="20"/>
      <c r="H504" s="20"/>
      <c r="I504" s="22"/>
      <c r="J504" s="20"/>
      <c r="K504" s="20"/>
      <c r="L504" s="20"/>
      <c r="M504" s="20"/>
      <c r="N504" s="21"/>
      <c r="O504" s="31"/>
      <c r="P504" s="20"/>
      <c r="Q504" s="31"/>
      <c r="R504" s="20"/>
      <c r="S504" s="20"/>
      <c r="T504" s="20"/>
      <c r="U504" s="20"/>
      <c r="V504" s="20"/>
      <c r="W504" s="20"/>
      <c r="X504" s="20"/>
      <c r="Y504" s="20"/>
      <c r="Z504" s="20"/>
    </row>
    <row r="505" spans="1:26" ht="9.75" customHeight="1" x14ac:dyDescent="0.25">
      <c r="A505" s="20"/>
      <c r="B505" s="21"/>
      <c r="C505" s="20"/>
      <c r="D505" s="22"/>
      <c r="E505" s="20"/>
      <c r="F505" s="20"/>
      <c r="G505" s="20"/>
      <c r="H505" s="20"/>
      <c r="I505" s="22"/>
      <c r="J505" s="20"/>
      <c r="K505" s="20"/>
      <c r="L505" s="20"/>
      <c r="M505" s="20"/>
      <c r="N505" s="21"/>
      <c r="O505" s="31"/>
      <c r="P505" s="20"/>
      <c r="Q505" s="31"/>
      <c r="R505" s="20"/>
      <c r="S505" s="20"/>
      <c r="T505" s="20"/>
      <c r="U505" s="20"/>
      <c r="V505" s="20"/>
      <c r="W505" s="20"/>
      <c r="X505" s="20"/>
      <c r="Y505" s="20"/>
      <c r="Z505" s="20"/>
    </row>
    <row r="506" spans="1:26" ht="9.75" customHeight="1" x14ac:dyDescent="0.25">
      <c r="A506" s="20"/>
      <c r="B506" s="21"/>
      <c r="C506" s="20"/>
      <c r="D506" s="22"/>
      <c r="E506" s="20"/>
      <c r="F506" s="20"/>
      <c r="G506" s="20"/>
      <c r="H506" s="20"/>
      <c r="I506" s="22"/>
      <c r="J506" s="20"/>
      <c r="K506" s="20"/>
      <c r="L506" s="20"/>
      <c r="M506" s="20"/>
      <c r="N506" s="21"/>
      <c r="O506" s="31"/>
      <c r="P506" s="20"/>
      <c r="Q506" s="31"/>
      <c r="R506" s="20"/>
      <c r="S506" s="20"/>
      <c r="T506" s="20"/>
      <c r="U506" s="20"/>
      <c r="V506" s="20"/>
      <c r="W506" s="20"/>
      <c r="X506" s="20"/>
      <c r="Y506" s="20"/>
      <c r="Z506" s="20"/>
    </row>
    <row r="507" spans="1:26" ht="9.75" customHeight="1" x14ac:dyDescent="0.25">
      <c r="A507" s="20"/>
      <c r="B507" s="21"/>
      <c r="C507" s="20"/>
      <c r="D507" s="22"/>
      <c r="E507" s="20"/>
      <c r="F507" s="20"/>
      <c r="G507" s="20"/>
      <c r="H507" s="20"/>
      <c r="I507" s="22"/>
      <c r="J507" s="20"/>
      <c r="K507" s="20"/>
      <c r="L507" s="20"/>
      <c r="M507" s="20"/>
      <c r="N507" s="21"/>
      <c r="O507" s="31"/>
      <c r="P507" s="20"/>
      <c r="Q507" s="31"/>
      <c r="R507" s="20"/>
      <c r="S507" s="20"/>
      <c r="T507" s="20"/>
      <c r="U507" s="20"/>
      <c r="V507" s="20"/>
      <c r="W507" s="20"/>
      <c r="X507" s="20"/>
      <c r="Y507" s="20"/>
      <c r="Z507" s="20"/>
    </row>
    <row r="508" spans="1:26" ht="9.75" customHeight="1" x14ac:dyDescent="0.25">
      <c r="A508" s="20"/>
      <c r="B508" s="21"/>
      <c r="C508" s="20"/>
      <c r="D508" s="22"/>
      <c r="E508" s="20"/>
      <c r="F508" s="20"/>
      <c r="G508" s="20"/>
      <c r="H508" s="20"/>
      <c r="I508" s="22"/>
      <c r="J508" s="20"/>
      <c r="K508" s="20"/>
      <c r="L508" s="20"/>
      <c r="M508" s="20"/>
      <c r="N508" s="21"/>
      <c r="O508" s="31"/>
      <c r="P508" s="20"/>
      <c r="Q508" s="31"/>
      <c r="R508" s="20"/>
      <c r="S508" s="20"/>
      <c r="T508" s="20"/>
      <c r="U508" s="20"/>
      <c r="V508" s="20"/>
      <c r="W508" s="20"/>
      <c r="X508" s="20"/>
      <c r="Y508" s="20"/>
      <c r="Z508" s="20"/>
    </row>
    <row r="509" spans="1:26" ht="9.75" customHeight="1" x14ac:dyDescent="0.25">
      <c r="A509" s="20"/>
      <c r="B509" s="21"/>
      <c r="C509" s="20"/>
      <c r="D509" s="22"/>
      <c r="E509" s="20"/>
      <c r="F509" s="20"/>
      <c r="G509" s="20"/>
      <c r="H509" s="20"/>
      <c r="I509" s="22"/>
      <c r="J509" s="20"/>
      <c r="K509" s="20"/>
      <c r="L509" s="20"/>
      <c r="M509" s="20"/>
      <c r="N509" s="21"/>
      <c r="O509" s="31"/>
      <c r="P509" s="20"/>
      <c r="Q509" s="31"/>
      <c r="R509" s="20"/>
      <c r="S509" s="20"/>
      <c r="T509" s="20"/>
      <c r="U509" s="20"/>
      <c r="V509" s="20"/>
      <c r="W509" s="20"/>
      <c r="X509" s="20"/>
      <c r="Y509" s="20"/>
      <c r="Z509" s="20"/>
    </row>
    <row r="510" spans="1:26" ht="9.75" customHeight="1" x14ac:dyDescent="0.25">
      <c r="A510" s="20"/>
      <c r="B510" s="21"/>
      <c r="C510" s="20"/>
      <c r="D510" s="22"/>
      <c r="E510" s="20"/>
      <c r="F510" s="20"/>
      <c r="G510" s="20"/>
      <c r="H510" s="20"/>
      <c r="I510" s="22"/>
      <c r="J510" s="20"/>
      <c r="K510" s="20"/>
      <c r="L510" s="20"/>
      <c r="M510" s="20"/>
      <c r="N510" s="21"/>
      <c r="O510" s="31"/>
      <c r="P510" s="20"/>
      <c r="Q510" s="31"/>
      <c r="R510" s="20"/>
      <c r="S510" s="20"/>
      <c r="T510" s="20"/>
      <c r="U510" s="20"/>
      <c r="V510" s="20"/>
      <c r="W510" s="20"/>
      <c r="X510" s="20"/>
      <c r="Y510" s="20"/>
      <c r="Z510" s="20"/>
    </row>
    <row r="511" spans="1:26" ht="9.75" customHeight="1" x14ac:dyDescent="0.25">
      <c r="A511" s="20"/>
      <c r="B511" s="21"/>
      <c r="C511" s="20"/>
      <c r="D511" s="22"/>
      <c r="E511" s="20"/>
      <c r="F511" s="20"/>
      <c r="G511" s="20"/>
      <c r="H511" s="20"/>
      <c r="I511" s="22"/>
      <c r="J511" s="20"/>
      <c r="K511" s="20"/>
      <c r="L511" s="20"/>
      <c r="M511" s="20"/>
      <c r="N511" s="21"/>
      <c r="O511" s="31"/>
      <c r="P511" s="20"/>
      <c r="Q511" s="31"/>
      <c r="R511" s="20"/>
      <c r="S511" s="20"/>
      <c r="T511" s="20"/>
      <c r="U511" s="20"/>
      <c r="V511" s="20"/>
      <c r="W511" s="20"/>
      <c r="X511" s="20"/>
      <c r="Y511" s="20"/>
      <c r="Z511" s="20"/>
    </row>
    <row r="512" spans="1:26" ht="9.75" customHeight="1" x14ac:dyDescent="0.25">
      <c r="A512" s="20"/>
      <c r="B512" s="21"/>
      <c r="C512" s="20"/>
      <c r="D512" s="22"/>
      <c r="E512" s="20"/>
      <c r="F512" s="20"/>
      <c r="G512" s="20"/>
      <c r="H512" s="20"/>
      <c r="I512" s="22"/>
      <c r="J512" s="20"/>
      <c r="K512" s="20"/>
      <c r="L512" s="20"/>
      <c r="M512" s="20"/>
      <c r="N512" s="21"/>
      <c r="O512" s="31"/>
      <c r="P512" s="20"/>
      <c r="Q512" s="31"/>
      <c r="R512" s="20"/>
      <c r="S512" s="20"/>
      <c r="T512" s="20"/>
      <c r="U512" s="20"/>
      <c r="V512" s="20"/>
      <c r="W512" s="20"/>
      <c r="X512" s="20"/>
      <c r="Y512" s="20"/>
      <c r="Z512" s="20"/>
    </row>
    <row r="513" spans="1:26" ht="9.75" customHeight="1" x14ac:dyDescent="0.25">
      <c r="A513" s="20"/>
      <c r="B513" s="21"/>
      <c r="C513" s="20"/>
      <c r="D513" s="22"/>
      <c r="E513" s="20"/>
      <c r="F513" s="20"/>
      <c r="G513" s="20"/>
      <c r="H513" s="20"/>
      <c r="I513" s="22"/>
      <c r="J513" s="20"/>
      <c r="K513" s="20"/>
      <c r="L513" s="20"/>
      <c r="M513" s="20"/>
      <c r="N513" s="21"/>
      <c r="O513" s="31"/>
      <c r="P513" s="20"/>
      <c r="Q513" s="31"/>
      <c r="R513" s="20"/>
      <c r="S513" s="20"/>
      <c r="T513" s="20"/>
      <c r="U513" s="20"/>
      <c r="V513" s="20"/>
      <c r="W513" s="20"/>
      <c r="X513" s="20"/>
      <c r="Y513" s="20"/>
      <c r="Z513" s="20"/>
    </row>
    <row r="514" spans="1:26" ht="9.75" customHeight="1" x14ac:dyDescent="0.25">
      <c r="A514" s="20"/>
      <c r="B514" s="21"/>
      <c r="C514" s="20"/>
      <c r="D514" s="22"/>
      <c r="E514" s="20"/>
      <c r="F514" s="20"/>
      <c r="G514" s="20"/>
      <c r="H514" s="20"/>
      <c r="I514" s="22"/>
      <c r="J514" s="20"/>
      <c r="K514" s="20"/>
      <c r="L514" s="20"/>
      <c r="M514" s="20"/>
      <c r="N514" s="21"/>
      <c r="O514" s="31"/>
      <c r="P514" s="20"/>
      <c r="Q514" s="31"/>
      <c r="R514" s="20"/>
      <c r="S514" s="20"/>
      <c r="T514" s="20"/>
      <c r="U514" s="20"/>
      <c r="V514" s="20"/>
      <c r="W514" s="20"/>
      <c r="X514" s="20"/>
      <c r="Y514" s="20"/>
      <c r="Z514" s="20"/>
    </row>
    <row r="515" spans="1:26" ht="9.75" customHeight="1" x14ac:dyDescent="0.25">
      <c r="A515" s="20"/>
      <c r="B515" s="21"/>
      <c r="C515" s="20"/>
      <c r="D515" s="22"/>
      <c r="E515" s="20"/>
      <c r="F515" s="20"/>
      <c r="G515" s="20"/>
      <c r="H515" s="20"/>
      <c r="I515" s="22"/>
      <c r="J515" s="20"/>
      <c r="K515" s="20"/>
      <c r="L515" s="20"/>
      <c r="M515" s="20"/>
      <c r="N515" s="21"/>
      <c r="O515" s="31"/>
      <c r="P515" s="20"/>
      <c r="Q515" s="31"/>
      <c r="R515" s="20"/>
      <c r="S515" s="20"/>
      <c r="T515" s="20"/>
      <c r="U515" s="20"/>
      <c r="V515" s="20"/>
      <c r="W515" s="20"/>
      <c r="X515" s="20"/>
      <c r="Y515" s="20"/>
      <c r="Z515" s="20"/>
    </row>
    <row r="516" spans="1:26" ht="9.75" customHeight="1" x14ac:dyDescent="0.25">
      <c r="A516" s="20"/>
      <c r="B516" s="21"/>
      <c r="C516" s="20"/>
      <c r="D516" s="22"/>
      <c r="E516" s="20"/>
      <c r="F516" s="20"/>
      <c r="G516" s="20"/>
      <c r="H516" s="20"/>
      <c r="I516" s="22"/>
      <c r="J516" s="20"/>
      <c r="K516" s="20"/>
      <c r="L516" s="20"/>
      <c r="M516" s="20"/>
      <c r="N516" s="21"/>
      <c r="O516" s="31"/>
      <c r="P516" s="20"/>
      <c r="Q516" s="31"/>
      <c r="R516" s="20"/>
      <c r="S516" s="20"/>
      <c r="T516" s="20"/>
      <c r="U516" s="20"/>
      <c r="V516" s="20"/>
      <c r="W516" s="20"/>
      <c r="X516" s="20"/>
      <c r="Y516" s="20"/>
      <c r="Z516" s="20"/>
    </row>
    <row r="517" spans="1:26" ht="9.75" customHeight="1" x14ac:dyDescent="0.25">
      <c r="A517" s="20"/>
      <c r="B517" s="21"/>
      <c r="C517" s="20"/>
      <c r="D517" s="22"/>
      <c r="E517" s="20"/>
      <c r="F517" s="20"/>
      <c r="G517" s="20"/>
      <c r="H517" s="20"/>
      <c r="I517" s="22"/>
      <c r="J517" s="20"/>
      <c r="K517" s="20"/>
      <c r="L517" s="20"/>
      <c r="M517" s="20"/>
      <c r="N517" s="21"/>
      <c r="O517" s="31"/>
      <c r="P517" s="20"/>
      <c r="Q517" s="31"/>
      <c r="R517" s="20"/>
      <c r="S517" s="20"/>
      <c r="T517" s="20"/>
      <c r="U517" s="20"/>
      <c r="V517" s="20"/>
      <c r="W517" s="20"/>
      <c r="X517" s="20"/>
      <c r="Y517" s="20"/>
      <c r="Z517" s="20"/>
    </row>
    <row r="518" spans="1:26" ht="9.75" customHeight="1" x14ac:dyDescent="0.25">
      <c r="A518" s="20"/>
      <c r="B518" s="21"/>
      <c r="C518" s="20"/>
      <c r="D518" s="22"/>
      <c r="E518" s="20"/>
      <c r="F518" s="20"/>
      <c r="G518" s="20"/>
      <c r="H518" s="20"/>
      <c r="I518" s="22"/>
      <c r="J518" s="20"/>
      <c r="K518" s="20"/>
      <c r="L518" s="20"/>
      <c r="M518" s="20"/>
      <c r="N518" s="21"/>
      <c r="O518" s="31"/>
      <c r="P518" s="20"/>
      <c r="Q518" s="31"/>
      <c r="R518" s="20"/>
      <c r="S518" s="20"/>
      <c r="T518" s="20"/>
      <c r="U518" s="20"/>
      <c r="V518" s="20"/>
      <c r="W518" s="20"/>
      <c r="X518" s="20"/>
      <c r="Y518" s="20"/>
      <c r="Z518" s="20"/>
    </row>
    <row r="519" spans="1:26" ht="9.75" customHeight="1" x14ac:dyDescent="0.25">
      <c r="A519" s="20"/>
      <c r="B519" s="21"/>
      <c r="C519" s="20"/>
      <c r="D519" s="22"/>
      <c r="E519" s="20"/>
      <c r="F519" s="20"/>
      <c r="G519" s="20"/>
      <c r="H519" s="20"/>
      <c r="I519" s="22"/>
      <c r="J519" s="20"/>
      <c r="K519" s="20"/>
      <c r="L519" s="20"/>
      <c r="M519" s="20"/>
      <c r="N519" s="21"/>
      <c r="O519" s="31"/>
      <c r="P519" s="20"/>
      <c r="Q519" s="31"/>
      <c r="R519" s="20"/>
      <c r="S519" s="20"/>
      <c r="T519" s="20"/>
      <c r="U519" s="20"/>
      <c r="V519" s="20"/>
      <c r="W519" s="20"/>
      <c r="X519" s="20"/>
      <c r="Y519" s="20"/>
      <c r="Z519" s="20"/>
    </row>
    <row r="520" spans="1:26" ht="9.75" customHeight="1" x14ac:dyDescent="0.25">
      <c r="A520" s="20"/>
      <c r="B520" s="21"/>
      <c r="C520" s="20"/>
      <c r="D520" s="22"/>
      <c r="E520" s="20"/>
      <c r="F520" s="20"/>
      <c r="G520" s="20"/>
      <c r="H520" s="20"/>
      <c r="I520" s="22"/>
      <c r="J520" s="20"/>
      <c r="K520" s="20"/>
      <c r="L520" s="20"/>
      <c r="M520" s="20"/>
      <c r="N520" s="21"/>
      <c r="O520" s="31"/>
      <c r="P520" s="20"/>
      <c r="Q520" s="31"/>
      <c r="R520" s="20"/>
      <c r="S520" s="20"/>
      <c r="T520" s="20"/>
      <c r="U520" s="20"/>
      <c r="V520" s="20"/>
      <c r="W520" s="20"/>
      <c r="X520" s="20"/>
      <c r="Y520" s="20"/>
      <c r="Z520" s="20"/>
    </row>
    <row r="521" spans="1:26" ht="9.75" customHeight="1" x14ac:dyDescent="0.25">
      <c r="A521" s="20"/>
      <c r="B521" s="21"/>
      <c r="C521" s="20"/>
      <c r="D521" s="22"/>
      <c r="E521" s="20"/>
      <c r="F521" s="20"/>
      <c r="G521" s="20"/>
      <c r="H521" s="20"/>
      <c r="I521" s="22"/>
      <c r="J521" s="20"/>
      <c r="K521" s="20"/>
      <c r="L521" s="20"/>
      <c r="M521" s="20"/>
      <c r="N521" s="21"/>
      <c r="O521" s="31"/>
      <c r="P521" s="20"/>
      <c r="Q521" s="31"/>
      <c r="R521" s="20"/>
      <c r="S521" s="20"/>
      <c r="T521" s="20"/>
      <c r="U521" s="20"/>
      <c r="V521" s="20"/>
      <c r="W521" s="20"/>
      <c r="X521" s="20"/>
      <c r="Y521" s="20"/>
      <c r="Z521" s="20"/>
    </row>
    <row r="522" spans="1:26" ht="9.75" customHeight="1" x14ac:dyDescent="0.25">
      <c r="A522" s="20"/>
      <c r="B522" s="21"/>
      <c r="C522" s="20"/>
      <c r="D522" s="22"/>
      <c r="E522" s="20"/>
      <c r="F522" s="20"/>
      <c r="G522" s="20"/>
      <c r="H522" s="20"/>
      <c r="I522" s="22"/>
      <c r="J522" s="20"/>
      <c r="K522" s="20"/>
      <c r="L522" s="20"/>
      <c r="M522" s="20"/>
      <c r="N522" s="21"/>
      <c r="O522" s="31"/>
      <c r="P522" s="20"/>
      <c r="Q522" s="31"/>
      <c r="R522" s="20"/>
      <c r="S522" s="20"/>
      <c r="T522" s="20"/>
      <c r="U522" s="20"/>
      <c r="V522" s="20"/>
      <c r="W522" s="20"/>
      <c r="X522" s="20"/>
      <c r="Y522" s="20"/>
      <c r="Z522" s="20"/>
    </row>
    <row r="523" spans="1:26" ht="9.75" customHeight="1" x14ac:dyDescent="0.25">
      <c r="A523" s="20"/>
      <c r="B523" s="21"/>
      <c r="C523" s="20"/>
      <c r="D523" s="22"/>
      <c r="E523" s="20"/>
      <c r="F523" s="20"/>
      <c r="G523" s="20"/>
      <c r="H523" s="20"/>
      <c r="I523" s="22"/>
      <c r="J523" s="20"/>
      <c r="K523" s="20"/>
      <c r="L523" s="20"/>
      <c r="M523" s="20"/>
      <c r="N523" s="21"/>
      <c r="O523" s="31"/>
      <c r="P523" s="20"/>
      <c r="Q523" s="31"/>
      <c r="R523" s="20"/>
      <c r="S523" s="20"/>
      <c r="T523" s="20"/>
      <c r="U523" s="20"/>
      <c r="V523" s="20"/>
      <c r="W523" s="20"/>
      <c r="X523" s="20"/>
      <c r="Y523" s="20"/>
      <c r="Z523" s="20"/>
    </row>
    <row r="524" spans="1:26" ht="9.75" customHeight="1" x14ac:dyDescent="0.25">
      <c r="A524" s="20"/>
      <c r="B524" s="21"/>
      <c r="C524" s="20"/>
      <c r="D524" s="22"/>
      <c r="E524" s="20"/>
      <c r="F524" s="20"/>
      <c r="G524" s="20"/>
      <c r="H524" s="20"/>
      <c r="I524" s="22"/>
      <c r="J524" s="20"/>
      <c r="K524" s="20"/>
      <c r="L524" s="20"/>
      <c r="M524" s="20"/>
      <c r="N524" s="21"/>
      <c r="O524" s="31"/>
      <c r="P524" s="20"/>
      <c r="Q524" s="31"/>
      <c r="R524" s="20"/>
      <c r="S524" s="20"/>
      <c r="T524" s="20"/>
      <c r="U524" s="20"/>
      <c r="V524" s="20"/>
      <c r="W524" s="20"/>
      <c r="X524" s="20"/>
      <c r="Y524" s="20"/>
      <c r="Z524" s="20"/>
    </row>
    <row r="525" spans="1:26" ht="9.75" customHeight="1" x14ac:dyDescent="0.25">
      <c r="A525" s="20"/>
      <c r="B525" s="21"/>
      <c r="C525" s="20"/>
      <c r="D525" s="22"/>
      <c r="E525" s="20"/>
      <c r="F525" s="20"/>
      <c r="G525" s="20"/>
      <c r="H525" s="20"/>
      <c r="I525" s="22"/>
      <c r="J525" s="20"/>
      <c r="K525" s="20"/>
      <c r="L525" s="20"/>
      <c r="M525" s="20"/>
      <c r="N525" s="21"/>
      <c r="O525" s="31"/>
      <c r="P525" s="20"/>
      <c r="Q525" s="31"/>
      <c r="R525" s="20"/>
      <c r="S525" s="20"/>
      <c r="T525" s="20"/>
      <c r="U525" s="20"/>
      <c r="V525" s="20"/>
      <c r="W525" s="20"/>
      <c r="X525" s="20"/>
      <c r="Y525" s="20"/>
      <c r="Z525" s="20"/>
    </row>
    <row r="526" spans="1:26" ht="9.75" customHeight="1" x14ac:dyDescent="0.25">
      <c r="A526" s="20"/>
      <c r="B526" s="21"/>
      <c r="C526" s="20"/>
      <c r="D526" s="22"/>
      <c r="E526" s="20"/>
      <c r="F526" s="20"/>
      <c r="G526" s="20"/>
      <c r="H526" s="20"/>
      <c r="I526" s="22"/>
      <c r="J526" s="20"/>
      <c r="K526" s="20"/>
      <c r="L526" s="20"/>
      <c r="M526" s="20"/>
      <c r="N526" s="21"/>
      <c r="O526" s="31"/>
      <c r="P526" s="20"/>
      <c r="Q526" s="31"/>
      <c r="R526" s="20"/>
      <c r="S526" s="20"/>
      <c r="T526" s="20"/>
      <c r="U526" s="20"/>
      <c r="V526" s="20"/>
      <c r="W526" s="20"/>
      <c r="X526" s="20"/>
      <c r="Y526" s="20"/>
      <c r="Z526" s="20"/>
    </row>
    <row r="527" spans="1:26" ht="9.75" customHeight="1" x14ac:dyDescent="0.25">
      <c r="A527" s="20"/>
      <c r="B527" s="21"/>
      <c r="C527" s="20"/>
      <c r="D527" s="22"/>
      <c r="E527" s="20"/>
      <c r="F527" s="20"/>
      <c r="G527" s="20"/>
      <c r="H527" s="20"/>
      <c r="I527" s="22"/>
      <c r="J527" s="20"/>
      <c r="K527" s="20"/>
      <c r="L527" s="20"/>
      <c r="M527" s="20"/>
      <c r="N527" s="21"/>
      <c r="O527" s="31"/>
      <c r="P527" s="20"/>
      <c r="Q527" s="31"/>
      <c r="R527" s="20"/>
      <c r="S527" s="20"/>
      <c r="T527" s="20"/>
      <c r="U527" s="20"/>
      <c r="V527" s="20"/>
      <c r="W527" s="20"/>
      <c r="X527" s="20"/>
      <c r="Y527" s="20"/>
      <c r="Z527" s="20"/>
    </row>
    <row r="528" spans="1:26" ht="9.75" customHeight="1" x14ac:dyDescent="0.25">
      <c r="A528" s="20"/>
      <c r="B528" s="21"/>
      <c r="C528" s="20"/>
      <c r="D528" s="22"/>
      <c r="E528" s="20"/>
      <c r="F528" s="20"/>
      <c r="G528" s="20"/>
      <c r="H528" s="20"/>
      <c r="I528" s="22"/>
      <c r="J528" s="20"/>
      <c r="K528" s="20"/>
      <c r="L528" s="20"/>
      <c r="M528" s="20"/>
      <c r="N528" s="21"/>
      <c r="O528" s="31"/>
      <c r="P528" s="20"/>
      <c r="Q528" s="31"/>
      <c r="R528" s="20"/>
      <c r="S528" s="20"/>
      <c r="T528" s="20"/>
      <c r="U528" s="20"/>
      <c r="V528" s="20"/>
      <c r="W528" s="20"/>
      <c r="X528" s="20"/>
      <c r="Y528" s="20"/>
      <c r="Z528" s="20"/>
    </row>
    <row r="529" spans="1:26" ht="9.75" customHeight="1" x14ac:dyDescent="0.25">
      <c r="A529" s="20"/>
      <c r="B529" s="21"/>
      <c r="C529" s="20"/>
      <c r="D529" s="22"/>
      <c r="E529" s="20"/>
      <c r="F529" s="20"/>
      <c r="G529" s="20"/>
      <c r="H529" s="20"/>
      <c r="I529" s="22"/>
      <c r="J529" s="20"/>
      <c r="K529" s="20"/>
      <c r="L529" s="20"/>
      <c r="M529" s="20"/>
      <c r="N529" s="21"/>
      <c r="O529" s="31"/>
      <c r="P529" s="20"/>
      <c r="Q529" s="31"/>
      <c r="R529" s="20"/>
      <c r="S529" s="20"/>
      <c r="T529" s="20"/>
      <c r="U529" s="20"/>
      <c r="V529" s="20"/>
      <c r="W529" s="20"/>
      <c r="X529" s="20"/>
      <c r="Y529" s="20"/>
      <c r="Z529" s="20"/>
    </row>
    <row r="530" spans="1:26" ht="9.75" customHeight="1" x14ac:dyDescent="0.25">
      <c r="A530" s="20"/>
      <c r="B530" s="21"/>
      <c r="C530" s="20"/>
      <c r="D530" s="22"/>
      <c r="E530" s="20"/>
      <c r="F530" s="20"/>
      <c r="G530" s="20"/>
      <c r="H530" s="20"/>
      <c r="I530" s="22"/>
      <c r="J530" s="20"/>
      <c r="K530" s="20"/>
      <c r="L530" s="20"/>
      <c r="M530" s="20"/>
      <c r="N530" s="21"/>
      <c r="O530" s="31"/>
      <c r="P530" s="20"/>
      <c r="Q530" s="31"/>
      <c r="R530" s="20"/>
      <c r="S530" s="20"/>
      <c r="T530" s="20"/>
      <c r="U530" s="20"/>
      <c r="V530" s="20"/>
      <c r="W530" s="20"/>
      <c r="X530" s="20"/>
      <c r="Y530" s="20"/>
      <c r="Z530" s="20"/>
    </row>
    <row r="531" spans="1:26" ht="9.75" customHeight="1" x14ac:dyDescent="0.25">
      <c r="A531" s="20"/>
      <c r="B531" s="21"/>
      <c r="C531" s="20"/>
      <c r="D531" s="22"/>
      <c r="E531" s="20"/>
      <c r="F531" s="20"/>
      <c r="G531" s="20"/>
      <c r="H531" s="20"/>
      <c r="I531" s="22"/>
      <c r="J531" s="20"/>
      <c r="K531" s="20"/>
      <c r="L531" s="20"/>
      <c r="M531" s="20"/>
      <c r="N531" s="21"/>
      <c r="O531" s="31"/>
      <c r="P531" s="20"/>
      <c r="Q531" s="31"/>
      <c r="R531" s="20"/>
      <c r="S531" s="20"/>
      <c r="T531" s="20"/>
      <c r="U531" s="20"/>
      <c r="V531" s="20"/>
      <c r="W531" s="20"/>
      <c r="X531" s="20"/>
      <c r="Y531" s="20"/>
      <c r="Z531" s="20"/>
    </row>
    <row r="532" spans="1:26" ht="9.75" customHeight="1" x14ac:dyDescent="0.25">
      <c r="A532" s="20"/>
      <c r="B532" s="21"/>
      <c r="C532" s="20"/>
      <c r="D532" s="22"/>
      <c r="E532" s="20"/>
      <c r="F532" s="20"/>
      <c r="G532" s="20"/>
      <c r="H532" s="20"/>
      <c r="I532" s="22"/>
      <c r="J532" s="20"/>
      <c r="K532" s="20"/>
      <c r="L532" s="20"/>
      <c r="M532" s="20"/>
      <c r="N532" s="21"/>
      <c r="O532" s="31"/>
      <c r="P532" s="20"/>
      <c r="Q532" s="31"/>
      <c r="R532" s="20"/>
      <c r="S532" s="20"/>
      <c r="T532" s="20"/>
      <c r="U532" s="20"/>
      <c r="V532" s="20"/>
      <c r="W532" s="20"/>
      <c r="X532" s="20"/>
      <c r="Y532" s="20"/>
      <c r="Z532" s="20"/>
    </row>
    <row r="533" spans="1:26" ht="9.75" customHeight="1" x14ac:dyDescent="0.25">
      <c r="A533" s="20"/>
      <c r="B533" s="21"/>
      <c r="C533" s="20"/>
      <c r="D533" s="22"/>
      <c r="E533" s="20"/>
      <c r="F533" s="20"/>
      <c r="G533" s="20"/>
      <c r="H533" s="20"/>
      <c r="I533" s="22"/>
      <c r="J533" s="20"/>
      <c r="K533" s="20"/>
      <c r="L533" s="20"/>
      <c r="M533" s="20"/>
      <c r="N533" s="21"/>
      <c r="O533" s="31"/>
      <c r="P533" s="20"/>
      <c r="Q533" s="31"/>
      <c r="R533" s="20"/>
      <c r="S533" s="20"/>
      <c r="T533" s="20"/>
      <c r="U533" s="20"/>
      <c r="V533" s="20"/>
      <c r="W533" s="20"/>
      <c r="X533" s="20"/>
      <c r="Y533" s="20"/>
      <c r="Z533" s="20"/>
    </row>
    <row r="534" spans="1:26" ht="9.75" customHeight="1" x14ac:dyDescent="0.25">
      <c r="A534" s="20"/>
      <c r="B534" s="21"/>
      <c r="C534" s="20"/>
      <c r="D534" s="22"/>
      <c r="E534" s="20"/>
      <c r="F534" s="20"/>
      <c r="G534" s="20"/>
      <c r="H534" s="20"/>
      <c r="I534" s="22"/>
      <c r="J534" s="20"/>
      <c r="K534" s="20"/>
      <c r="L534" s="20"/>
      <c r="M534" s="20"/>
      <c r="N534" s="21"/>
      <c r="O534" s="31"/>
      <c r="P534" s="20"/>
      <c r="Q534" s="31"/>
      <c r="R534" s="20"/>
      <c r="S534" s="20"/>
      <c r="T534" s="20"/>
      <c r="U534" s="20"/>
      <c r="V534" s="20"/>
      <c r="W534" s="20"/>
      <c r="X534" s="20"/>
      <c r="Y534" s="20"/>
      <c r="Z534" s="20"/>
    </row>
    <row r="535" spans="1:26" ht="9.75" customHeight="1" x14ac:dyDescent="0.25">
      <c r="A535" s="20"/>
      <c r="B535" s="21"/>
      <c r="C535" s="20"/>
      <c r="D535" s="22"/>
      <c r="E535" s="20"/>
      <c r="F535" s="20"/>
      <c r="G535" s="20"/>
      <c r="H535" s="20"/>
      <c r="I535" s="22"/>
      <c r="J535" s="20"/>
      <c r="K535" s="20"/>
      <c r="L535" s="20"/>
      <c r="M535" s="20"/>
      <c r="N535" s="21"/>
      <c r="O535" s="31"/>
      <c r="P535" s="20"/>
      <c r="Q535" s="31"/>
      <c r="R535" s="20"/>
      <c r="S535" s="20"/>
      <c r="T535" s="20"/>
      <c r="U535" s="20"/>
      <c r="V535" s="20"/>
      <c r="W535" s="20"/>
      <c r="X535" s="20"/>
      <c r="Y535" s="20"/>
      <c r="Z535" s="20"/>
    </row>
    <row r="536" spans="1:26" ht="9.75" customHeight="1" x14ac:dyDescent="0.25">
      <c r="A536" s="20"/>
      <c r="B536" s="21"/>
      <c r="C536" s="20"/>
      <c r="D536" s="22"/>
      <c r="E536" s="20"/>
      <c r="F536" s="20"/>
      <c r="G536" s="20"/>
      <c r="H536" s="20"/>
      <c r="I536" s="22"/>
      <c r="J536" s="20"/>
      <c r="K536" s="20"/>
      <c r="L536" s="20"/>
      <c r="M536" s="20"/>
      <c r="N536" s="21"/>
      <c r="O536" s="31"/>
      <c r="P536" s="20"/>
      <c r="Q536" s="31"/>
      <c r="R536" s="20"/>
      <c r="S536" s="20"/>
      <c r="T536" s="20"/>
      <c r="U536" s="20"/>
      <c r="V536" s="20"/>
      <c r="W536" s="20"/>
      <c r="X536" s="20"/>
      <c r="Y536" s="20"/>
      <c r="Z536" s="20"/>
    </row>
    <row r="537" spans="1:26" ht="9.75" customHeight="1" x14ac:dyDescent="0.25">
      <c r="A537" s="20"/>
      <c r="B537" s="21"/>
      <c r="C537" s="20"/>
      <c r="D537" s="22"/>
      <c r="E537" s="20"/>
      <c r="F537" s="20"/>
      <c r="G537" s="20"/>
      <c r="H537" s="20"/>
      <c r="I537" s="22"/>
      <c r="J537" s="20"/>
      <c r="K537" s="20"/>
      <c r="L537" s="20"/>
      <c r="M537" s="20"/>
      <c r="N537" s="21"/>
      <c r="O537" s="31"/>
      <c r="P537" s="20"/>
      <c r="Q537" s="31"/>
      <c r="R537" s="20"/>
      <c r="S537" s="20"/>
      <c r="T537" s="20"/>
      <c r="U537" s="20"/>
      <c r="V537" s="20"/>
      <c r="W537" s="20"/>
      <c r="X537" s="20"/>
      <c r="Y537" s="20"/>
      <c r="Z537" s="20"/>
    </row>
    <row r="538" spans="1:26" ht="9.75" customHeight="1" x14ac:dyDescent="0.25">
      <c r="A538" s="20"/>
      <c r="B538" s="21"/>
      <c r="C538" s="20"/>
      <c r="D538" s="22"/>
      <c r="E538" s="20"/>
      <c r="F538" s="20"/>
      <c r="G538" s="20"/>
      <c r="H538" s="20"/>
      <c r="I538" s="22"/>
      <c r="J538" s="20"/>
      <c r="K538" s="20"/>
      <c r="L538" s="20"/>
      <c r="M538" s="20"/>
      <c r="N538" s="21"/>
      <c r="O538" s="31"/>
      <c r="P538" s="20"/>
      <c r="Q538" s="31"/>
      <c r="R538" s="20"/>
      <c r="S538" s="20"/>
      <c r="T538" s="20"/>
      <c r="U538" s="20"/>
      <c r="V538" s="20"/>
      <c r="W538" s="20"/>
      <c r="X538" s="20"/>
      <c r="Y538" s="20"/>
      <c r="Z538" s="20"/>
    </row>
    <row r="539" spans="1:26" ht="9.75" customHeight="1" x14ac:dyDescent="0.25">
      <c r="A539" s="20"/>
      <c r="B539" s="21"/>
      <c r="C539" s="20"/>
      <c r="D539" s="22"/>
      <c r="E539" s="20"/>
      <c r="F539" s="20"/>
      <c r="G539" s="20"/>
      <c r="H539" s="20"/>
      <c r="I539" s="22"/>
      <c r="J539" s="20"/>
      <c r="K539" s="20"/>
      <c r="L539" s="20"/>
      <c r="M539" s="20"/>
      <c r="N539" s="21"/>
      <c r="O539" s="31"/>
      <c r="P539" s="20"/>
      <c r="Q539" s="31"/>
      <c r="R539" s="20"/>
      <c r="S539" s="20"/>
      <c r="T539" s="20"/>
      <c r="U539" s="20"/>
      <c r="V539" s="20"/>
      <c r="W539" s="20"/>
      <c r="X539" s="20"/>
      <c r="Y539" s="20"/>
      <c r="Z539" s="20"/>
    </row>
    <row r="540" spans="1:26" ht="9.75" customHeight="1" x14ac:dyDescent="0.25">
      <c r="A540" s="20"/>
      <c r="B540" s="21"/>
      <c r="C540" s="20"/>
      <c r="D540" s="22"/>
      <c r="E540" s="20"/>
      <c r="F540" s="20"/>
      <c r="G540" s="20"/>
      <c r="H540" s="20"/>
      <c r="I540" s="22"/>
      <c r="J540" s="20"/>
      <c r="K540" s="20"/>
      <c r="L540" s="20"/>
      <c r="M540" s="20"/>
      <c r="N540" s="21"/>
      <c r="O540" s="31"/>
      <c r="P540" s="20"/>
      <c r="Q540" s="31"/>
      <c r="R540" s="20"/>
      <c r="S540" s="20"/>
      <c r="T540" s="20"/>
      <c r="U540" s="20"/>
      <c r="V540" s="20"/>
      <c r="W540" s="20"/>
      <c r="X540" s="20"/>
      <c r="Y540" s="20"/>
      <c r="Z540" s="20"/>
    </row>
    <row r="541" spans="1:26" ht="9.75" customHeight="1" x14ac:dyDescent="0.25">
      <c r="A541" s="20"/>
      <c r="B541" s="21"/>
      <c r="C541" s="20"/>
      <c r="D541" s="22"/>
      <c r="E541" s="20"/>
      <c r="F541" s="20"/>
      <c r="G541" s="20"/>
      <c r="H541" s="20"/>
      <c r="I541" s="22"/>
      <c r="J541" s="20"/>
      <c r="K541" s="20"/>
      <c r="L541" s="20"/>
      <c r="M541" s="20"/>
      <c r="N541" s="21"/>
      <c r="O541" s="31"/>
      <c r="P541" s="20"/>
      <c r="Q541" s="31"/>
      <c r="R541" s="20"/>
      <c r="S541" s="20"/>
      <c r="T541" s="20"/>
      <c r="U541" s="20"/>
      <c r="V541" s="20"/>
      <c r="W541" s="20"/>
      <c r="X541" s="20"/>
      <c r="Y541" s="20"/>
      <c r="Z541" s="20"/>
    </row>
    <row r="542" spans="1:26" ht="9.75" customHeight="1" x14ac:dyDescent="0.25">
      <c r="A542" s="20"/>
      <c r="B542" s="21"/>
      <c r="C542" s="20"/>
      <c r="D542" s="22"/>
      <c r="E542" s="20"/>
      <c r="F542" s="20"/>
      <c r="G542" s="20"/>
      <c r="H542" s="20"/>
      <c r="I542" s="22"/>
      <c r="J542" s="20"/>
      <c r="K542" s="20"/>
      <c r="L542" s="20"/>
      <c r="M542" s="20"/>
      <c r="N542" s="21"/>
      <c r="O542" s="31"/>
      <c r="P542" s="20"/>
      <c r="Q542" s="31"/>
      <c r="R542" s="20"/>
      <c r="S542" s="20"/>
      <c r="T542" s="20"/>
      <c r="U542" s="20"/>
      <c r="V542" s="20"/>
      <c r="W542" s="20"/>
      <c r="X542" s="20"/>
      <c r="Y542" s="20"/>
      <c r="Z542" s="20"/>
    </row>
    <row r="543" spans="1:26" ht="9.75" customHeight="1" x14ac:dyDescent="0.25">
      <c r="A543" s="20"/>
      <c r="B543" s="21"/>
      <c r="C543" s="20"/>
      <c r="D543" s="22"/>
      <c r="E543" s="20"/>
      <c r="F543" s="20"/>
      <c r="G543" s="20"/>
      <c r="H543" s="20"/>
      <c r="I543" s="22"/>
      <c r="J543" s="20"/>
      <c r="K543" s="20"/>
      <c r="L543" s="20"/>
      <c r="M543" s="20"/>
      <c r="N543" s="21"/>
      <c r="O543" s="31"/>
      <c r="P543" s="20"/>
      <c r="Q543" s="31"/>
      <c r="R543" s="20"/>
      <c r="S543" s="20"/>
      <c r="T543" s="20"/>
      <c r="U543" s="20"/>
      <c r="V543" s="20"/>
      <c r="W543" s="20"/>
      <c r="X543" s="20"/>
      <c r="Y543" s="20"/>
      <c r="Z543" s="20"/>
    </row>
    <row r="544" spans="1:26" ht="9.75" customHeight="1" x14ac:dyDescent="0.25">
      <c r="A544" s="20"/>
      <c r="B544" s="21"/>
      <c r="C544" s="20"/>
      <c r="D544" s="22"/>
      <c r="E544" s="20"/>
      <c r="F544" s="20"/>
      <c r="G544" s="20"/>
      <c r="H544" s="20"/>
      <c r="I544" s="22"/>
      <c r="J544" s="20"/>
      <c r="K544" s="20"/>
      <c r="L544" s="20"/>
      <c r="M544" s="20"/>
      <c r="N544" s="21"/>
      <c r="O544" s="31"/>
      <c r="P544" s="20"/>
      <c r="Q544" s="31"/>
      <c r="R544" s="20"/>
      <c r="S544" s="20"/>
      <c r="T544" s="20"/>
      <c r="U544" s="20"/>
      <c r="V544" s="20"/>
      <c r="W544" s="20"/>
      <c r="X544" s="20"/>
      <c r="Y544" s="20"/>
      <c r="Z544" s="20"/>
    </row>
    <row r="545" spans="1:26" ht="9.75" customHeight="1" x14ac:dyDescent="0.25">
      <c r="A545" s="20"/>
      <c r="B545" s="21"/>
      <c r="C545" s="20"/>
      <c r="D545" s="22"/>
      <c r="E545" s="20"/>
      <c r="F545" s="20"/>
      <c r="G545" s="20"/>
      <c r="H545" s="20"/>
      <c r="I545" s="22"/>
      <c r="J545" s="20"/>
      <c r="K545" s="20"/>
      <c r="L545" s="20"/>
      <c r="M545" s="20"/>
      <c r="N545" s="21"/>
      <c r="O545" s="31"/>
      <c r="P545" s="20"/>
      <c r="Q545" s="31"/>
      <c r="R545" s="20"/>
      <c r="S545" s="20"/>
      <c r="T545" s="20"/>
      <c r="U545" s="20"/>
      <c r="V545" s="20"/>
      <c r="W545" s="20"/>
      <c r="X545" s="20"/>
      <c r="Y545" s="20"/>
      <c r="Z545" s="20"/>
    </row>
    <row r="546" spans="1:26" ht="9.75" customHeight="1" x14ac:dyDescent="0.25">
      <c r="A546" s="20"/>
      <c r="B546" s="21"/>
      <c r="C546" s="20"/>
      <c r="D546" s="22"/>
      <c r="E546" s="20"/>
      <c r="F546" s="20"/>
      <c r="G546" s="20"/>
      <c r="H546" s="20"/>
      <c r="I546" s="22"/>
      <c r="J546" s="20"/>
      <c r="K546" s="20"/>
      <c r="L546" s="20"/>
      <c r="M546" s="20"/>
      <c r="N546" s="21"/>
      <c r="O546" s="31"/>
      <c r="P546" s="20"/>
      <c r="Q546" s="31"/>
      <c r="R546" s="20"/>
      <c r="S546" s="20"/>
      <c r="T546" s="20"/>
      <c r="U546" s="20"/>
      <c r="V546" s="20"/>
      <c r="W546" s="20"/>
      <c r="X546" s="20"/>
      <c r="Y546" s="20"/>
      <c r="Z546" s="20"/>
    </row>
    <row r="547" spans="1:26" ht="9.75" customHeight="1" x14ac:dyDescent="0.25">
      <c r="A547" s="20"/>
      <c r="B547" s="21"/>
      <c r="C547" s="20"/>
      <c r="D547" s="22"/>
      <c r="E547" s="20"/>
      <c r="F547" s="20"/>
      <c r="G547" s="20"/>
      <c r="H547" s="20"/>
      <c r="I547" s="22"/>
      <c r="J547" s="20"/>
      <c r="K547" s="20"/>
      <c r="L547" s="20"/>
      <c r="M547" s="20"/>
      <c r="N547" s="21"/>
      <c r="O547" s="31"/>
      <c r="P547" s="20"/>
      <c r="Q547" s="31"/>
      <c r="R547" s="20"/>
      <c r="S547" s="20"/>
      <c r="T547" s="20"/>
      <c r="U547" s="20"/>
      <c r="V547" s="20"/>
      <c r="W547" s="20"/>
      <c r="X547" s="20"/>
      <c r="Y547" s="20"/>
      <c r="Z547" s="20"/>
    </row>
    <row r="548" spans="1:26" ht="9.75" customHeight="1" x14ac:dyDescent="0.25">
      <c r="A548" s="20"/>
      <c r="B548" s="21"/>
      <c r="C548" s="20"/>
      <c r="D548" s="22"/>
      <c r="E548" s="20"/>
      <c r="F548" s="20"/>
      <c r="G548" s="20"/>
      <c r="H548" s="20"/>
      <c r="I548" s="22"/>
      <c r="J548" s="20"/>
      <c r="K548" s="20"/>
      <c r="L548" s="20"/>
      <c r="M548" s="20"/>
      <c r="N548" s="21"/>
      <c r="O548" s="31"/>
      <c r="P548" s="20"/>
      <c r="Q548" s="31"/>
      <c r="R548" s="20"/>
      <c r="S548" s="20"/>
      <c r="T548" s="20"/>
      <c r="U548" s="20"/>
      <c r="V548" s="20"/>
      <c r="W548" s="20"/>
      <c r="X548" s="20"/>
      <c r="Y548" s="20"/>
      <c r="Z548" s="20"/>
    </row>
    <row r="549" spans="1:26" ht="9.75" customHeight="1" x14ac:dyDescent="0.25">
      <c r="A549" s="20"/>
      <c r="B549" s="21"/>
      <c r="C549" s="20"/>
      <c r="D549" s="22"/>
      <c r="E549" s="20"/>
      <c r="F549" s="20"/>
      <c r="G549" s="20"/>
      <c r="H549" s="20"/>
      <c r="I549" s="22"/>
      <c r="J549" s="20"/>
      <c r="K549" s="20"/>
      <c r="L549" s="20"/>
      <c r="M549" s="20"/>
      <c r="N549" s="21"/>
      <c r="O549" s="31"/>
      <c r="P549" s="20"/>
      <c r="Q549" s="31"/>
      <c r="R549" s="20"/>
      <c r="S549" s="20"/>
      <c r="T549" s="20"/>
      <c r="U549" s="20"/>
      <c r="V549" s="20"/>
      <c r="W549" s="20"/>
      <c r="X549" s="20"/>
      <c r="Y549" s="20"/>
      <c r="Z549" s="20"/>
    </row>
    <row r="550" spans="1:26" ht="9.75" customHeight="1" x14ac:dyDescent="0.25">
      <c r="A550" s="20"/>
      <c r="B550" s="21"/>
      <c r="C550" s="20"/>
      <c r="D550" s="22"/>
      <c r="E550" s="20"/>
      <c r="F550" s="20"/>
      <c r="G550" s="20"/>
      <c r="H550" s="20"/>
      <c r="I550" s="22"/>
      <c r="J550" s="20"/>
      <c r="K550" s="20"/>
      <c r="L550" s="20"/>
      <c r="M550" s="20"/>
      <c r="N550" s="21"/>
      <c r="O550" s="31"/>
      <c r="P550" s="20"/>
      <c r="Q550" s="31"/>
      <c r="R550" s="20"/>
      <c r="S550" s="20"/>
      <c r="T550" s="20"/>
      <c r="U550" s="20"/>
      <c r="V550" s="20"/>
      <c r="W550" s="20"/>
      <c r="X550" s="20"/>
      <c r="Y550" s="20"/>
      <c r="Z550" s="20"/>
    </row>
    <row r="551" spans="1:26" ht="9.75" customHeight="1" x14ac:dyDescent="0.25">
      <c r="A551" s="20"/>
      <c r="B551" s="21"/>
      <c r="C551" s="20"/>
      <c r="D551" s="22"/>
      <c r="E551" s="20"/>
      <c r="F551" s="20"/>
      <c r="G551" s="20"/>
      <c r="H551" s="20"/>
      <c r="I551" s="22"/>
      <c r="J551" s="20"/>
      <c r="K551" s="20"/>
      <c r="L551" s="20"/>
      <c r="M551" s="20"/>
      <c r="N551" s="21"/>
      <c r="O551" s="31"/>
      <c r="P551" s="20"/>
      <c r="Q551" s="31"/>
      <c r="R551" s="20"/>
      <c r="S551" s="20"/>
      <c r="T551" s="20"/>
      <c r="U551" s="20"/>
      <c r="V551" s="20"/>
      <c r="W551" s="20"/>
      <c r="X551" s="20"/>
      <c r="Y551" s="20"/>
      <c r="Z551" s="20"/>
    </row>
    <row r="552" spans="1:26" ht="9.75" customHeight="1" x14ac:dyDescent="0.25">
      <c r="A552" s="20"/>
      <c r="B552" s="21"/>
      <c r="C552" s="20"/>
      <c r="D552" s="22"/>
      <c r="E552" s="20"/>
      <c r="F552" s="20"/>
      <c r="G552" s="20"/>
      <c r="H552" s="20"/>
      <c r="I552" s="22"/>
      <c r="J552" s="20"/>
      <c r="K552" s="20"/>
      <c r="L552" s="20"/>
      <c r="M552" s="20"/>
      <c r="N552" s="21"/>
      <c r="O552" s="31"/>
      <c r="P552" s="20"/>
      <c r="Q552" s="31"/>
      <c r="R552" s="20"/>
      <c r="S552" s="20"/>
      <c r="T552" s="20"/>
      <c r="U552" s="20"/>
      <c r="V552" s="20"/>
      <c r="W552" s="20"/>
      <c r="X552" s="20"/>
      <c r="Y552" s="20"/>
      <c r="Z552" s="20"/>
    </row>
    <row r="553" spans="1:26" ht="9.75" customHeight="1" x14ac:dyDescent="0.25">
      <c r="A553" s="20"/>
      <c r="B553" s="21"/>
      <c r="C553" s="20"/>
      <c r="D553" s="22"/>
      <c r="E553" s="20"/>
      <c r="F553" s="20"/>
      <c r="G553" s="20"/>
      <c r="H553" s="20"/>
      <c r="I553" s="22"/>
      <c r="J553" s="20"/>
      <c r="K553" s="20"/>
      <c r="L553" s="20"/>
      <c r="M553" s="20"/>
      <c r="N553" s="21"/>
      <c r="O553" s="31"/>
      <c r="P553" s="20"/>
      <c r="Q553" s="31"/>
      <c r="R553" s="20"/>
      <c r="S553" s="20"/>
      <c r="T553" s="20"/>
      <c r="U553" s="20"/>
      <c r="V553" s="20"/>
      <c r="W553" s="20"/>
      <c r="X553" s="20"/>
      <c r="Y553" s="20"/>
      <c r="Z553" s="20"/>
    </row>
    <row r="554" spans="1:26" ht="9.75" customHeight="1" x14ac:dyDescent="0.25">
      <c r="A554" s="20"/>
      <c r="B554" s="21"/>
      <c r="C554" s="20"/>
      <c r="D554" s="22"/>
      <c r="E554" s="20"/>
      <c r="F554" s="20"/>
      <c r="G554" s="20"/>
      <c r="H554" s="20"/>
      <c r="I554" s="22"/>
      <c r="J554" s="20"/>
      <c r="K554" s="20"/>
      <c r="L554" s="20"/>
      <c r="M554" s="20"/>
      <c r="N554" s="21"/>
      <c r="O554" s="31"/>
      <c r="P554" s="20"/>
      <c r="Q554" s="31"/>
      <c r="R554" s="20"/>
      <c r="S554" s="20"/>
      <c r="T554" s="20"/>
      <c r="U554" s="20"/>
      <c r="V554" s="20"/>
      <c r="W554" s="20"/>
      <c r="X554" s="20"/>
      <c r="Y554" s="20"/>
      <c r="Z554" s="20"/>
    </row>
    <row r="555" spans="1:26" ht="9.75" customHeight="1" x14ac:dyDescent="0.25">
      <c r="A555" s="20"/>
      <c r="B555" s="21"/>
      <c r="C555" s="20"/>
      <c r="D555" s="22"/>
      <c r="E555" s="20"/>
      <c r="F555" s="20"/>
      <c r="G555" s="20"/>
      <c r="H555" s="20"/>
      <c r="I555" s="22"/>
      <c r="J555" s="20"/>
      <c r="K555" s="20"/>
      <c r="L555" s="20"/>
      <c r="M555" s="20"/>
      <c r="N555" s="21"/>
      <c r="O555" s="31"/>
      <c r="P555" s="20"/>
      <c r="Q555" s="31"/>
      <c r="R555" s="20"/>
      <c r="S555" s="20"/>
      <c r="T555" s="20"/>
      <c r="U555" s="20"/>
      <c r="V555" s="20"/>
      <c r="W555" s="20"/>
      <c r="X555" s="20"/>
      <c r="Y555" s="20"/>
      <c r="Z555" s="20"/>
    </row>
    <row r="556" spans="1:26" ht="9.75" customHeight="1" x14ac:dyDescent="0.25">
      <c r="A556" s="20"/>
      <c r="B556" s="21"/>
      <c r="C556" s="20"/>
      <c r="D556" s="22"/>
      <c r="E556" s="20"/>
      <c r="F556" s="20"/>
      <c r="G556" s="20"/>
      <c r="H556" s="20"/>
      <c r="I556" s="22"/>
      <c r="J556" s="20"/>
      <c r="K556" s="20"/>
      <c r="L556" s="20"/>
      <c r="M556" s="20"/>
      <c r="N556" s="21"/>
      <c r="O556" s="31"/>
      <c r="P556" s="20"/>
      <c r="Q556" s="31"/>
      <c r="R556" s="20"/>
      <c r="S556" s="20"/>
      <c r="T556" s="20"/>
      <c r="U556" s="20"/>
      <c r="V556" s="20"/>
      <c r="W556" s="20"/>
      <c r="X556" s="20"/>
      <c r="Y556" s="20"/>
      <c r="Z556" s="20"/>
    </row>
    <row r="557" spans="1:26" ht="9.75" customHeight="1" x14ac:dyDescent="0.25">
      <c r="A557" s="20"/>
      <c r="B557" s="21"/>
      <c r="C557" s="20"/>
      <c r="D557" s="22"/>
      <c r="E557" s="20"/>
      <c r="F557" s="20"/>
      <c r="G557" s="20"/>
      <c r="H557" s="20"/>
      <c r="I557" s="22"/>
      <c r="J557" s="20"/>
      <c r="K557" s="20"/>
      <c r="L557" s="20"/>
      <c r="M557" s="20"/>
      <c r="N557" s="21"/>
      <c r="O557" s="31"/>
      <c r="P557" s="20"/>
      <c r="Q557" s="31"/>
      <c r="R557" s="20"/>
      <c r="S557" s="20"/>
      <c r="T557" s="20"/>
      <c r="U557" s="20"/>
      <c r="V557" s="20"/>
      <c r="W557" s="20"/>
      <c r="X557" s="20"/>
      <c r="Y557" s="20"/>
      <c r="Z557" s="20"/>
    </row>
    <row r="558" spans="1:26" ht="9.75" customHeight="1" x14ac:dyDescent="0.25">
      <c r="A558" s="20"/>
      <c r="B558" s="21"/>
      <c r="C558" s="20"/>
      <c r="D558" s="22"/>
      <c r="E558" s="20"/>
      <c r="F558" s="20"/>
      <c r="G558" s="20"/>
      <c r="H558" s="20"/>
      <c r="I558" s="22"/>
      <c r="J558" s="20"/>
      <c r="K558" s="20"/>
      <c r="L558" s="20"/>
      <c r="M558" s="20"/>
      <c r="N558" s="21"/>
      <c r="O558" s="31"/>
      <c r="P558" s="20"/>
      <c r="Q558" s="31"/>
      <c r="R558" s="20"/>
      <c r="S558" s="20"/>
      <c r="T558" s="20"/>
      <c r="U558" s="20"/>
      <c r="V558" s="20"/>
      <c r="W558" s="20"/>
      <c r="X558" s="20"/>
      <c r="Y558" s="20"/>
      <c r="Z558" s="20"/>
    </row>
    <row r="559" spans="1:26" ht="9.75" customHeight="1" x14ac:dyDescent="0.25">
      <c r="A559" s="20"/>
      <c r="B559" s="21"/>
      <c r="C559" s="20"/>
      <c r="D559" s="22"/>
      <c r="E559" s="20"/>
      <c r="F559" s="20"/>
      <c r="G559" s="20"/>
      <c r="H559" s="20"/>
      <c r="I559" s="22"/>
      <c r="J559" s="20"/>
      <c r="K559" s="20"/>
      <c r="L559" s="20"/>
      <c r="M559" s="20"/>
      <c r="N559" s="21"/>
      <c r="O559" s="31"/>
      <c r="P559" s="20"/>
      <c r="Q559" s="31"/>
      <c r="R559" s="20"/>
      <c r="S559" s="20"/>
      <c r="T559" s="20"/>
      <c r="U559" s="20"/>
      <c r="V559" s="20"/>
      <c r="W559" s="20"/>
      <c r="X559" s="20"/>
      <c r="Y559" s="20"/>
      <c r="Z559" s="20"/>
    </row>
    <row r="560" spans="1:26" ht="9.75" customHeight="1" x14ac:dyDescent="0.25">
      <c r="A560" s="20"/>
      <c r="B560" s="21"/>
      <c r="C560" s="20"/>
      <c r="D560" s="22"/>
      <c r="E560" s="20"/>
      <c r="F560" s="20"/>
      <c r="G560" s="20"/>
      <c r="H560" s="20"/>
      <c r="I560" s="22"/>
      <c r="J560" s="20"/>
      <c r="K560" s="20"/>
      <c r="L560" s="20"/>
      <c r="M560" s="20"/>
      <c r="N560" s="21"/>
      <c r="O560" s="31"/>
      <c r="P560" s="20"/>
      <c r="Q560" s="31"/>
      <c r="R560" s="20"/>
      <c r="S560" s="20"/>
      <c r="T560" s="20"/>
      <c r="U560" s="20"/>
      <c r="V560" s="20"/>
      <c r="W560" s="20"/>
      <c r="X560" s="20"/>
      <c r="Y560" s="20"/>
      <c r="Z560" s="20"/>
    </row>
    <row r="561" spans="1:26" ht="9.75" customHeight="1" x14ac:dyDescent="0.25">
      <c r="A561" s="20"/>
      <c r="B561" s="21"/>
      <c r="C561" s="20"/>
      <c r="D561" s="22"/>
      <c r="E561" s="20"/>
      <c r="F561" s="20"/>
      <c r="G561" s="20"/>
      <c r="H561" s="20"/>
      <c r="I561" s="22"/>
      <c r="J561" s="20"/>
      <c r="K561" s="20"/>
      <c r="L561" s="20"/>
      <c r="M561" s="20"/>
      <c r="N561" s="21"/>
      <c r="O561" s="31"/>
      <c r="P561" s="20"/>
      <c r="Q561" s="31"/>
      <c r="R561" s="20"/>
      <c r="S561" s="20"/>
      <c r="T561" s="20"/>
      <c r="U561" s="20"/>
      <c r="V561" s="20"/>
      <c r="W561" s="20"/>
      <c r="X561" s="20"/>
      <c r="Y561" s="20"/>
      <c r="Z561" s="20"/>
    </row>
    <row r="562" spans="1:26" ht="9.75" customHeight="1" x14ac:dyDescent="0.25">
      <c r="A562" s="20"/>
      <c r="B562" s="21"/>
      <c r="C562" s="20"/>
      <c r="D562" s="22"/>
      <c r="E562" s="20"/>
      <c r="F562" s="20"/>
      <c r="G562" s="20"/>
      <c r="H562" s="20"/>
      <c r="I562" s="22"/>
      <c r="J562" s="20"/>
      <c r="K562" s="20"/>
      <c r="L562" s="20"/>
      <c r="M562" s="20"/>
      <c r="N562" s="21"/>
      <c r="O562" s="31"/>
      <c r="P562" s="20"/>
      <c r="Q562" s="31"/>
      <c r="R562" s="20"/>
      <c r="S562" s="20"/>
      <c r="T562" s="20"/>
      <c r="U562" s="20"/>
      <c r="V562" s="20"/>
      <c r="W562" s="20"/>
      <c r="X562" s="20"/>
      <c r="Y562" s="20"/>
      <c r="Z562" s="20"/>
    </row>
    <row r="563" spans="1:26" ht="9.75" customHeight="1" x14ac:dyDescent="0.25">
      <c r="A563" s="20"/>
      <c r="B563" s="21"/>
      <c r="C563" s="20"/>
      <c r="D563" s="22"/>
      <c r="E563" s="20"/>
      <c r="F563" s="20"/>
      <c r="G563" s="20"/>
      <c r="H563" s="20"/>
      <c r="I563" s="22"/>
      <c r="J563" s="20"/>
      <c r="K563" s="20"/>
      <c r="L563" s="20"/>
      <c r="M563" s="20"/>
      <c r="N563" s="21"/>
      <c r="O563" s="31"/>
      <c r="P563" s="20"/>
      <c r="Q563" s="31"/>
      <c r="R563" s="20"/>
      <c r="S563" s="20"/>
      <c r="T563" s="20"/>
      <c r="U563" s="20"/>
      <c r="V563" s="20"/>
      <c r="W563" s="20"/>
      <c r="X563" s="20"/>
      <c r="Y563" s="20"/>
      <c r="Z563" s="20"/>
    </row>
    <row r="564" spans="1:26" ht="9.75" customHeight="1" x14ac:dyDescent="0.25">
      <c r="A564" s="20"/>
      <c r="B564" s="21"/>
      <c r="C564" s="20"/>
      <c r="D564" s="22"/>
      <c r="E564" s="20"/>
      <c r="F564" s="20"/>
      <c r="G564" s="20"/>
      <c r="H564" s="20"/>
      <c r="I564" s="22"/>
      <c r="J564" s="20"/>
      <c r="K564" s="20"/>
      <c r="L564" s="20"/>
      <c r="M564" s="20"/>
      <c r="N564" s="21"/>
      <c r="O564" s="31"/>
      <c r="P564" s="20"/>
      <c r="Q564" s="31"/>
      <c r="R564" s="20"/>
      <c r="S564" s="20"/>
      <c r="T564" s="20"/>
      <c r="U564" s="20"/>
      <c r="V564" s="20"/>
      <c r="W564" s="20"/>
      <c r="X564" s="20"/>
      <c r="Y564" s="20"/>
      <c r="Z564" s="20"/>
    </row>
    <row r="565" spans="1:26" ht="9.75" customHeight="1" x14ac:dyDescent="0.25">
      <c r="A565" s="20"/>
      <c r="B565" s="21"/>
      <c r="C565" s="20"/>
      <c r="D565" s="22"/>
      <c r="E565" s="20"/>
      <c r="F565" s="20"/>
      <c r="G565" s="20"/>
      <c r="H565" s="20"/>
      <c r="I565" s="22"/>
      <c r="J565" s="20"/>
      <c r="K565" s="20"/>
      <c r="L565" s="20"/>
      <c r="M565" s="20"/>
      <c r="N565" s="21"/>
      <c r="O565" s="31"/>
      <c r="P565" s="20"/>
      <c r="Q565" s="31"/>
      <c r="R565" s="20"/>
      <c r="S565" s="20"/>
      <c r="T565" s="20"/>
      <c r="U565" s="20"/>
      <c r="V565" s="20"/>
      <c r="W565" s="20"/>
      <c r="X565" s="20"/>
      <c r="Y565" s="20"/>
      <c r="Z565" s="20"/>
    </row>
    <row r="566" spans="1:26" ht="9.75" customHeight="1" x14ac:dyDescent="0.25">
      <c r="A566" s="20"/>
      <c r="B566" s="21"/>
      <c r="C566" s="20"/>
      <c r="D566" s="22"/>
      <c r="E566" s="20"/>
      <c r="F566" s="20"/>
      <c r="G566" s="20"/>
      <c r="H566" s="20"/>
      <c r="I566" s="22"/>
      <c r="J566" s="20"/>
      <c r="K566" s="20"/>
      <c r="L566" s="20"/>
      <c r="M566" s="20"/>
      <c r="N566" s="21"/>
      <c r="O566" s="31"/>
      <c r="P566" s="20"/>
      <c r="Q566" s="31"/>
      <c r="R566" s="20"/>
      <c r="S566" s="20"/>
      <c r="T566" s="20"/>
      <c r="U566" s="20"/>
      <c r="V566" s="20"/>
      <c r="W566" s="20"/>
      <c r="X566" s="20"/>
      <c r="Y566" s="20"/>
      <c r="Z566" s="20"/>
    </row>
    <row r="567" spans="1:26" ht="9.75" customHeight="1" x14ac:dyDescent="0.25">
      <c r="A567" s="20"/>
      <c r="B567" s="21"/>
      <c r="C567" s="20"/>
      <c r="D567" s="22"/>
      <c r="E567" s="20"/>
      <c r="F567" s="20"/>
      <c r="G567" s="20"/>
      <c r="H567" s="20"/>
      <c r="I567" s="22"/>
      <c r="J567" s="20"/>
      <c r="K567" s="20"/>
      <c r="L567" s="20"/>
      <c r="M567" s="20"/>
      <c r="N567" s="21"/>
      <c r="O567" s="31"/>
      <c r="P567" s="20"/>
      <c r="Q567" s="31"/>
      <c r="R567" s="20"/>
      <c r="S567" s="20"/>
      <c r="T567" s="20"/>
      <c r="U567" s="20"/>
      <c r="V567" s="20"/>
      <c r="W567" s="20"/>
      <c r="X567" s="20"/>
      <c r="Y567" s="20"/>
      <c r="Z567" s="20"/>
    </row>
    <row r="568" spans="1:26" ht="9.75" customHeight="1" x14ac:dyDescent="0.25">
      <c r="A568" s="20"/>
      <c r="B568" s="21"/>
      <c r="C568" s="20"/>
      <c r="D568" s="22"/>
      <c r="E568" s="20"/>
      <c r="F568" s="20"/>
      <c r="G568" s="20"/>
      <c r="H568" s="20"/>
      <c r="I568" s="22"/>
      <c r="J568" s="20"/>
      <c r="K568" s="20"/>
      <c r="L568" s="20"/>
      <c r="M568" s="20"/>
      <c r="N568" s="21"/>
      <c r="O568" s="31"/>
      <c r="P568" s="20"/>
      <c r="Q568" s="31"/>
      <c r="R568" s="20"/>
      <c r="S568" s="20"/>
      <c r="T568" s="20"/>
      <c r="U568" s="20"/>
      <c r="V568" s="20"/>
      <c r="W568" s="20"/>
      <c r="X568" s="20"/>
      <c r="Y568" s="20"/>
      <c r="Z568" s="20"/>
    </row>
    <row r="569" spans="1:26" ht="9.75" customHeight="1" x14ac:dyDescent="0.25">
      <c r="A569" s="20"/>
      <c r="B569" s="21"/>
      <c r="C569" s="20"/>
      <c r="D569" s="22"/>
      <c r="E569" s="20"/>
      <c r="F569" s="20"/>
      <c r="G569" s="20"/>
      <c r="H569" s="20"/>
      <c r="I569" s="22"/>
      <c r="J569" s="20"/>
      <c r="K569" s="20"/>
      <c r="L569" s="20"/>
      <c r="M569" s="20"/>
      <c r="N569" s="21"/>
      <c r="O569" s="31"/>
      <c r="P569" s="20"/>
      <c r="Q569" s="31"/>
      <c r="R569" s="20"/>
      <c r="S569" s="20"/>
      <c r="T569" s="20"/>
      <c r="U569" s="20"/>
      <c r="V569" s="20"/>
      <c r="W569" s="20"/>
      <c r="X569" s="20"/>
      <c r="Y569" s="20"/>
      <c r="Z569" s="20"/>
    </row>
    <row r="570" spans="1:26" ht="9.75" customHeight="1" x14ac:dyDescent="0.25">
      <c r="A570" s="20"/>
      <c r="B570" s="21"/>
      <c r="C570" s="20"/>
      <c r="D570" s="22"/>
      <c r="E570" s="20"/>
      <c r="F570" s="20"/>
      <c r="G570" s="20"/>
      <c r="H570" s="20"/>
      <c r="I570" s="22"/>
      <c r="J570" s="20"/>
      <c r="K570" s="20"/>
      <c r="L570" s="20"/>
      <c r="M570" s="20"/>
      <c r="N570" s="21"/>
      <c r="O570" s="31"/>
      <c r="P570" s="20"/>
      <c r="Q570" s="31"/>
      <c r="R570" s="20"/>
      <c r="S570" s="20"/>
      <c r="T570" s="20"/>
      <c r="U570" s="20"/>
      <c r="V570" s="20"/>
      <c r="W570" s="20"/>
      <c r="X570" s="20"/>
      <c r="Y570" s="20"/>
      <c r="Z570" s="20"/>
    </row>
    <row r="571" spans="1:26" ht="9.75" customHeight="1" x14ac:dyDescent="0.25">
      <c r="A571" s="20"/>
      <c r="B571" s="21"/>
      <c r="C571" s="20"/>
      <c r="D571" s="22"/>
      <c r="E571" s="20"/>
      <c r="F571" s="20"/>
      <c r="G571" s="20"/>
      <c r="H571" s="20"/>
      <c r="I571" s="22"/>
      <c r="J571" s="20"/>
      <c r="K571" s="20"/>
      <c r="L571" s="20"/>
      <c r="M571" s="20"/>
      <c r="N571" s="21"/>
      <c r="O571" s="31"/>
      <c r="P571" s="20"/>
      <c r="Q571" s="31"/>
      <c r="R571" s="20"/>
      <c r="S571" s="20"/>
      <c r="T571" s="20"/>
      <c r="U571" s="20"/>
      <c r="V571" s="20"/>
      <c r="W571" s="20"/>
      <c r="X571" s="20"/>
      <c r="Y571" s="20"/>
      <c r="Z571" s="20"/>
    </row>
    <row r="572" spans="1:26" ht="9.75" customHeight="1" x14ac:dyDescent="0.25">
      <c r="A572" s="20"/>
      <c r="B572" s="21"/>
      <c r="C572" s="20"/>
      <c r="D572" s="22"/>
      <c r="E572" s="20"/>
      <c r="F572" s="20"/>
      <c r="G572" s="20"/>
      <c r="H572" s="20"/>
      <c r="I572" s="22"/>
      <c r="J572" s="20"/>
      <c r="K572" s="20"/>
      <c r="L572" s="20"/>
      <c r="M572" s="20"/>
      <c r="N572" s="21"/>
      <c r="O572" s="31"/>
      <c r="P572" s="20"/>
      <c r="Q572" s="31"/>
      <c r="R572" s="20"/>
      <c r="S572" s="20"/>
      <c r="T572" s="20"/>
      <c r="U572" s="20"/>
      <c r="V572" s="20"/>
      <c r="W572" s="20"/>
      <c r="X572" s="20"/>
      <c r="Y572" s="20"/>
      <c r="Z572" s="20"/>
    </row>
    <row r="573" spans="1:26" ht="9.75" customHeight="1" x14ac:dyDescent="0.25">
      <c r="A573" s="20"/>
      <c r="B573" s="21"/>
      <c r="C573" s="20"/>
      <c r="D573" s="22"/>
      <c r="E573" s="20"/>
      <c r="F573" s="20"/>
      <c r="G573" s="20"/>
      <c r="H573" s="20"/>
      <c r="I573" s="22"/>
      <c r="J573" s="20"/>
      <c r="K573" s="20"/>
      <c r="L573" s="20"/>
      <c r="M573" s="20"/>
      <c r="N573" s="21"/>
      <c r="O573" s="31"/>
      <c r="P573" s="20"/>
      <c r="Q573" s="31"/>
      <c r="R573" s="20"/>
      <c r="S573" s="20"/>
      <c r="T573" s="20"/>
      <c r="U573" s="20"/>
      <c r="V573" s="20"/>
      <c r="W573" s="20"/>
      <c r="X573" s="20"/>
      <c r="Y573" s="20"/>
      <c r="Z573" s="20"/>
    </row>
    <row r="574" spans="1:26" ht="9.75" customHeight="1" x14ac:dyDescent="0.25">
      <c r="A574" s="20"/>
      <c r="B574" s="21"/>
      <c r="C574" s="20"/>
      <c r="D574" s="22"/>
      <c r="E574" s="20"/>
      <c r="F574" s="20"/>
      <c r="G574" s="20"/>
      <c r="H574" s="20"/>
      <c r="I574" s="22"/>
      <c r="J574" s="20"/>
      <c r="K574" s="20"/>
      <c r="L574" s="20"/>
      <c r="M574" s="20"/>
      <c r="N574" s="21"/>
      <c r="O574" s="31"/>
      <c r="P574" s="20"/>
      <c r="Q574" s="31"/>
      <c r="R574" s="20"/>
      <c r="S574" s="20"/>
      <c r="T574" s="20"/>
      <c r="U574" s="20"/>
      <c r="V574" s="20"/>
      <c r="W574" s="20"/>
      <c r="X574" s="20"/>
      <c r="Y574" s="20"/>
      <c r="Z574" s="20"/>
    </row>
    <row r="575" spans="1:26" ht="9.75" customHeight="1" x14ac:dyDescent="0.25">
      <c r="A575" s="20"/>
      <c r="B575" s="21"/>
      <c r="C575" s="20"/>
      <c r="D575" s="22"/>
      <c r="E575" s="20"/>
      <c r="F575" s="20"/>
      <c r="G575" s="20"/>
      <c r="H575" s="20"/>
      <c r="I575" s="22"/>
      <c r="J575" s="20"/>
      <c r="K575" s="20"/>
      <c r="L575" s="20"/>
      <c r="M575" s="20"/>
      <c r="N575" s="21"/>
      <c r="O575" s="31"/>
      <c r="P575" s="20"/>
      <c r="Q575" s="31"/>
      <c r="R575" s="20"/>
      <c r="S575" s="20"/>
      <c r="T575" s="20"/>
      <c r="U575" s="20"/>
      <c r="V575" s="20"/>
      <c r="W575" s="20"/>
      <c r="X575" s="20"/>
      <c r="Y575" s="20"/>
      <c r="Z575" s="20"/>
    </row>
    <row r="576" spans="1:26" ht="9.75" customHeight="1" x14ac:dyDescent="0.25">
      <c r="A576" s="20"/>
      <c r="B576" s="21"/>
      <c r="C576" s="20"/>
      <c r="D576" s="22"/>
      <c r="E576" s="20"/>
      <c r="F576" s="20"/>
      <c r="G576" s="20"/>
      <c r="H576" s="20"/>
      <c r="I576" s="22"/>
      <c r="J576" s="20"/>
      <c r="K576" s="20"/>
      <c r="L576" s="20"/>
      <c r="M576" s="20"/>
      <c r="N576" s="21"/>
      <c r="O576" s="31"/>
      <c r="P576" s="20"/>
      <c r="Q576" s="31"/>
      <c r="R576" s="20"/>
      <c r="S576" s="20"/>
      <c r="T576" s="20"/>
      <c r="U576" s="20"/>
      <c r="V576" s="20"/>
      <c r="W576" s="20"/>
      <c r="X576" s="20"/>
      <c r="Y576" s="20"/>
      <c r="Z576" s="20"/>
    </row>
    <row r="577" spans="1:26" ht="9.75" customHeight="1" x14ac:dyDescent="0.25">
      <c r="A577" s="20"/>
      <c r="B577" s="21"/>
      <c r="C577" s="20"/>
      <c r="D577" s="22"/>
      <c r="E577" s="20"/>
      <c r="F577" s="20"/>
      <c r="G577" s="20"/>
      <c r="H577" s="20"/>
      <c r="I577" s="22"/>
      <c r="J577" s="20"/>
      <c r="K577" s="20"/>
      <c r="L577" s="20"/>
      <c r="M577" s="20"/>
      <c r="N577" s="21"/>
      <c r="O577" s="31"/>
      <c r="P577" s="20"/>
      <c r="Q577" s="31"/>
      <c r="R577" s="20"/>
      <c r="S577" s="20"/>
      <c r="T577" s="20"/>
      <c r="U577" s="20"/>
      <c r="V577" s="20"/>
      <c r="W577" s="20"/>
      <c r="X577" s="20"/>
      <c r="Y577" s="20"/>
      <c r="Z577" s="20"/>
    </row>
    <row r="578" spans="1:26" ht="9.75" customHeight="1" x14ac:dyDescent="0.25">
      <c r="A578" s="20"/>
      <c r="B578" s="21"/>
      <c r="C578" s="20"/>
      <c r="D578" s="22"/>
      <c r="E578" s="20"/>
      <c r="F578" s="20"/>
      <c r="G578" s="20"/>
      <c r="H578" s="20"/>
      <c r="I578" s="22"/>
      <c r="J578" s="20"/>
      <c r="K578" s="20"/>
      <c r="L578" s="20"/>
      <c r="M578" s="20"/>
      <c r="N578" s="21"/>
      <c r="O578" s="31"/>
      <c r="P578" s="20"/>
      <c r="Q578" s="31"/>
      <c r="R578" s="20"/>
      <c r="S578" s="20"/>
      <c r="T578" s="20"/>
      <c r="U578" s="20"/>
      <c r="V578" s="20"/>
      <c r="W578" s="20"/>
      <c r="X578" s="20"/>
      <c r="Y578" s="20"/>
      <c r="Z578" s="20"/>
    </row>
    <row r="579" spans="1:26" ht="9.75" customHeight="1" x14ac:dyDescent="0.25">
      <c r="A579" s="20"/>
      <c r="B579" s="21"/>
      <c r="C579" s="20"/>
      <c r="D579" s="22"/>
      <c r="E579" s="20"/>
      <c r="F579" s="20"/>
      <c r="G579" s="20"/>
      <c r="H579" s="20"/>
      <c r="I579" s="22"/>
      <c r="J579" s="20"/>
      <c r="K579" s="20"/>
      <c r="L579" s="20"/>
      <c r="M579" s="20"/>
      <c r="N579" s="21"/>
      <c r="O579" s="31"/>
      <c r="P579" s="20"/>
      <c r="Q579" s="31"/>
      <c r="R579" s="20"/>
      <c r="S579" s="20"/>
      <c r="T579" s="20"/>
      <c r="U579" s="20"/>
      <c r="V579" s="20"/>
      <c r="W579" s="20"/>
      <c r="X579" s="20"/>
      <c r="Y579" s="20"/>
      <c r="Z579" s="20"/>
    </row>
    <row r="580" spans="1:26" ht="9.75" customHeight="1" x14ac:dyDescent="0.25">
      <c r="A580" s="20"/>
      <c r="B580" s="21"/>
      <c r="C580" s="20"/>
      <c r="D580" s="22"/>
      <c r="E580" s="20"/>
      <c r="F580" s="20"/>
      <c r="G580" s="20"/>
      <c r="H580" s="20"/>
      <c r="I580" s="22"/>
      <c r="J580" s="20"/>
      <c r="K580" s="20"/>
      <c r="L580" s="20"/>
      <c r="M580" s="20"/>
      <c r="N580" s="21"/>
      <c r="O580" s="31"/>
      <c r="P580" s="20"/>
      <c r="Q580" s="31"/>
      <c r="R580" s="20"/>
      <c r="S580" s="20"/>
      <c r="T580" s="20"/>
      <c r="U580" s="20"/>
      <c r="V580" s="20"/>
      <c r="W580" s="20"/>
      <c r="X580" s="20"/>
      <c r="Y580" s="20"/>
      <c r="Z580" s="20"/>
    </row>
    <row r="581" spans="1:26" ht="9.75" customHeight="1" x14ac:dyDescent="0.25">
      <c r="A581" s="20"/>
      <c r="B581" s="21"/>
      <c r="C581" s="20"/>
      <c r="D581" s="22"/>
      <c r="E581" s="20"/>
      <c r="F581" s="20"/>
      <c r="G581" s="20"/>
      <c r="H581" s="20"/>
      <c r="I581" s="22"/>
      <c r="J581" s="20"/>
      <c r="K581" s="20"/>
      <c r="L581" s="20"/>
      <c r="M581" s="20"/>
      <c r="N581" s="21"/>
      <c r="O581" s="31"/>
      <c r="P581" s="20"/>
      <c r="Q581" s="31"/>
      <c r="R581" s="20"/>
      <c r="S581" s="20"/>
      <c r="T581" s="20"/>
      <c r="U581" s="20"/>
      <c r="V581" s="20"/>
      <c r="W581" s="20"/>
      <c r="X581" s="20"/>
      <c r="Y581" s="20"/>
      <c r="Z581" s="20"/>
    </row>
    <row r="582" spans="1:26" ht="9.75" customHeight="1" x14ac:dyDescent="0.25">
      <c r="A582" s="20"/>
      <c r="B582" s="21"/>
      <c r="C582" s="20"/>
      <c r="D582" s="22"/>
      <c r="E582" s="20"/>
      <c r="F582" s="20"/>
      <c r="G582" s="20"/>
      <c r="H582" s="20"/>
      <c r="I582" s="22"/>
      <c r="J582" s="20"/>
      <c r="K582" s="20"/>
      <c r="L582" s="20"/>
      <c r="M582" s="20"/>
      <c r="N582" s="21"/>
      <c r="O582" s="31"/>
      <c r="P582" s="20"/>
      <c r="Q582" s="31"/>
      <c r="R582" s="20"/>
      <c r="S582" s="20"/>
      <c r="T582" s="20"/>
      <c r="U582" s="20"/>
      <c r="V582" s="20"/>
      <c r="W582" s="20"/>
      <c r="X582" s="20"/>
      <c r="Y582" s="20"/>
      <c r="Z582" s="20"/>
    </row>
    <row r="583" spans="1:26" ht="9.75" customHeight="1" x14ac:dyDescent="0.25">
      <c r="A583" s="20"/>
      <c r="B583" s="21"/>
      <c r="C583" s="20"/>
      <c r="D583" s="22"/>
      <c r="E583" s="20"/>
      <c r="F583" s="20"/>
      <c r="G583" s="20"/>
      <c r="H583" s="20"/>
      <c r="I583" s="22"/>
      <c r="J583" s="20"/>
      <c r="K583" s="20"/>
      <c r="L583" s="20"/>
      <c r="M583" s="20"/>
      <c r="N583" s="21"/>
      <c r="O583" s="31"/>
      <c r="P583" s="20"/>
      <c r="Q583" s="31"/>
      <c r="R583" s="20"/>
      <c r="S583" s="20"/>
      <c r="T583" s="20"/>
      <c r="U583" s="20"/>
      <c r="V583" s="20"/>
      <c r="W583" s="20"/>
      <c r="X583" s="20"/>
      <c r="Y583" s="20"/>
      <c r="Z583" s="20"/>
    </row>
    <row r="584" spans="1:26" ht="9.75" customHeight="1" x14ac:dyDescent="0.25">
      <c r="A584" s="20"/>
      <c r="B584" s="21"/>
      <c r="C584" s="20"/>
      <c r="D584" s="22"/>
      <c r="E584" s="20"/>
      <c r="F584" s="20"/>
      <c r="G584" s="20"/>
      <c r="H584" s="20"/>
      <c r="I584" s="22"/>
      <c r="J584" s="20"/>
      <c r="K584" s="20"/>
      <c r="L584" s="20"/>
      <c r="M584" s="20"/>
      <c r="N584" s="21"/>
      <c r="O584" s="31"/>
      <c r="P584" s="20"/>
      <c r="Q584" s="31"/>
      <c r="R584" s="20"/>
      <c r="S584" s="20"/>
      <c r="T584" s="20"/>
      <c r="U584" s="20"/>
      <c r="V584" s="20"/>
      <c r="W584" s="20"/>
      <c r="X584" s="20"/>
      <c r="Y584" s="20"/>
      <c r="Z584" s="20"/>
    </row>
    <row r="585" spans="1:26" ht="9.75" customHeight="1" x14ac:dyDescent="0.25">
      <c r="A585" s="20"/>
      <c r="B585" s="21"/>
      <c r="C585" s="20"/>
      <c r="D585" s="22"/>
      <c r="E585" s="20"/>
      <c r="F585" s="20"/>
      <c r="G585" s="20"/>
      <c r="H585" s="20"/>
      <c r="I585" s="22"/>
      <c r="J585" s="20"/>
      <c r="K585" s="20"/>
      <c r="L585" s="20"/>
      <c r="M585" s="20"/>
      <c r="N585" s="21"/>
      <c r="O585" s="31"/>
      <c r="P585" s="20"/>
      <c r="Q585" s="31"/>
      <c r="R585" s="20"/>
      <c r="S585" s="20"/>
      <c r="T585" s="20"/>
      <c r="U585" s="20"/>
      <c r="V585" s="20"/>
      <c r="W585" s="20"/>
      <c r="X585" s="20"/>
      <c r="Y585" s="20"/>
      <c r="Z585" s="20"/>
    </row>
    <row r="586" spans="1:26" ht="9.75" customHeight="1" x14ac:dyDescent="0.25">
      <c r="A586" s="20"/>
      <c r="B586" s="21"/>
      <c r="C586" s="20"/>
      <c r="D586" s="22"/>
      <c r="E586" s="20"/>
      <c r="F586" s="20"/>
      <c r="G586" s="20"/>
      <c r="H586" s="20"/>
      <c r="I586" s="22"/>
      <c r="J586" s="20"/>
      <c r="K586" s="20"/>
      <c r="L586" s="20"/>
      <c r="M586" s="20"/>
      <c r="N586" s="21"/>
      <c r="O586" s="31"/>
      <c r="P586" s="20"/>
      <c r="Q586" s="31"/>
      <c r="R586" s="20"/>
      <c r="S586" s="20"/>
      <c r="T586" s="20"/>
      <c r="U586" s="20"/>
      <c r="V586" s="20"/>
      <c r="W586" s="20"/>
      <c r="X586" s="20"/>
      <c r="Y586" s="20"/>
      <c r="Z586" s="20"/>
    </row>
    <row r="587" spans="1:26" ht="9.75" customHeight="1" x14ac:dyDescent="0.25">
      <c r="A587" s="20"/>
      <c r="B587" s="21"/>
      <c r="C587" s="20"/>
      <c r="D587" s="22"/>
      <c r="E587" s="20"/>
      <c r="F587" s="20"/>
      <c r="G587" s="20"/>
      <c r="H587" s="20"/>
      <c r="I587" s="22"/>
      <c r="J587" s="20"/>
      <c r="K587" s="20"/>
      <c r="L587" s="20"/>
      <c r="M587" s="20"/>
      <c r="N587" s="21"/>
      <c r="O587" s="31"/>
      <c r="P587" s="20"/>
      <c r="Q587" s="31"/>
      <c r="R587" s="20"/>
      <c r="S587" s="20"/>
      <c r="T587" s="20"/>
      <c r="U587" s="20"/>
      <c r="V587" s="20"/>
      <c r="W587" s="20"/>
      <c r="X587" s="20"/>
      <c r="Y587" s="20"/>
      <c r="Z587" s="20"/>
    </row>
    <row r="588" spans="1:26" ht="9.75" customHeight="1" x14ac:dyDescent="0.25">
      <c r="A588" s="20"/>
      <c r="B588" s="21"/>
      <c r="C588" s="20"/>
      <c r="D588" s="22"/>
      <c r="E588" s="20"/>
      <c r="F588" s="20"/>
      <c r="G588" s="20"/>
      <c r="H588" s="20"/>
      <c r="I588" s="22"/>
      <c r="J588" s="20"/>
      <c r="K588" s="20"/>
      <c r="L588" s="20"/>
      <c r="M588" s="20"/>
      <c r="N588" s="21"/>
      <c r="O588" s="31"/>
      <c r="P588" s="20"/>
      <c r="Q588" s="31"/>
      <c r="R588" s="20"/>
      <c r="S588" s="20"/>
      <c r="T588" s="20"/>
      <c r="U588" s="20"/>
      <c r="V588" s="20"/>
      <c r="W588" s="20"/>
      <c r="X588" s="20"/>
      <c r="Y588" s="20"/>
      <c r="Z588" s="20"/>
    </row>
    <row r="589" spans="1:26" ht="9.75" customHeight="1" x14ac:dyDescent="0.25">
      <c r="A589" s="20"/>
      <c r="B589" s="21"/>
      <c r="C589" s="20"/>
      <c r="D589" s="22"/>
      <c r="E589" s="20"/>
      <c r="F589" s="20"/>
      <c r="G589" s="20"/>
      <c r="H589" s="20"/>
      <c r="I589" s="22"/>
      <c r="J589" s="20"/>
      <c r="K589" s="20"/>
      <c r="L589" s="20"/>
      <c r="M589" s="20"/>
      <c r="N589" s="21"/>
      <c r="O589" s="31"/>
      <c r="P589" s="20"/>
      <c r="Q589" s="31"/>
      <c r="R589" s="20"/>
      <c r="S589" s="20"/>
      <c r="T589" s="20"/>
      <c r="U589" s="20"/>
      <c r="V589" s="20"/>
      <c r="W589" s="20"/>
      <c r="X589" s="20"/>
      <c r="Y589" s="20"/>
      <c r="Z589" s="20"/>
    </row>
    <row r="590" spans="1:26" ht="9.75" customHeight="1" x14ac:dyDescent="0.25">
      <c r="A590" s="20"/>
      <c r="B590" s="21"/>
      <c r="C590" s="20"/>
      <c r="D590" s="22"/>
      <c r="E590" s="20"/>
      <c r="F590" s="20"/>
      <c r="G590" s="20"/>
      <c r="H590" s="20"/>
      <c r="I590" s="22"/>
      <c r="J590" s="20"/>
      <c r="K590" s="20"/>
      <c r="L590" s="20"/>
      <c r="M590" s="20"/>
      <c r="N590" s="21"/>
      <c r="O590" s="31"/>
      <c r="P590" s="20"/>
      <c r="Q590" s="31"/>
      <c r="R590" s="20"/>
      <c r="S590" s="20"/>
      <c r="T590" s="20"/>
      <c r="U590" s="20"/>
      <c r="V590" s="20"/>
      <c r="W590" s="20"/>
      <c r="X590" s="20"/>
      <c r="Y590" s="20"/>
      <c r="Z590" s="20"/>
    </row>
    <row r="591" spans="1:26" ht="9.75" customHeight="1" x14ac:dyDescent="0.25">
      <c r="A591" s="20"/>
      <c r="B591" s="21"/>
      <c r="C591" s="20"/>
      <c r="D591" s="22"/>
      <c r="E591" s="20"/>
      <c r="F591" s="20"/>
      <c r="G591" s="20"/>
      <c r="H591" s="20"/>
      <c r="I591" s="22"/>
      <c r="J591" s="20"/>
      <c r="K591" s="20"/>
      <c r="L591" s="20"/>
      <c r="M591" s="20"/>
      <c r="N591" s="21"/>
      <c r="O591" s="31"/>
      <c r="P591" s="20"/>
      <c r="Q591" s="31"/>
      <c r="R591" s="20"/>
      <c r="S591" s="20"/>
      <c r="T591" s="20"/>
      <c r="U591" s="20"/>
      <c r="V591" s="20"/>
      <c r="W591" s="20"/>
      <c r="X591" s="20"/>
      <c r="Y591" s="20"/>
      <c r="Z591" s="20"/>
    </row>
    <row r="592" spans="1:26" ht="9.75" customHeight="1" x14ac:dyDescent="0.25">
      <c r="A592" s="20"/>
      <c r="B592" s="21"/>
      <c r="C592" s="20"/>
      <c r="D592" s="22"/>
      <c r="E592" s="20"/>
      <c r="F592" s="20"/>
      <c r="G592" s="20"/>
      <c r="H592" s="20"/>
      <c r="I592" s="22"/>
      <c r="J592" s="20"/>
      <c r="K592" s="20"/>
      <c r="L592" s="20"/>
      <c r="M592" s="20"/>
      <c r="N592" s="21"/>
      <c r="O592" s="31"/>
      <c r="P592" s="20"/>
      <c r="Q592" s="31"/>
      <c r="R592" s="20"/>
      <c r="S592" s="20"/>
      <c r="T592" s="20"/>
      <c r="U592" s="20"/>
      <c r="V592" s="20"/>
      <c r="W592" s="20"/>
      <c r="X592" s="20"/>
      <c r="Y592" s="20"/>
      <c r="Z592" s="20"/>
    </row>
    <row r="593" spans="1:26" ht="9.75" customHeight="1" x14ac:dyDescent="0.25">
      <c r="A593" s="20"/>
      <c r="B593" s="21"/>
      <c r="C593" s="20"/>
      <c r="D593" s="22"/>
      <c r="E593" s="20"/>
      <c r="F593" s="20"/>
      <c r="G593" s="20"/>
      <c r="H593" s="20"/>
      <c r="I593" s="22"/>
      <c r="J593" s="20"/>
      <c r="K593" s="20"/>
      <c r="L593" s="20"/>
      <c r="M593" s="20"/>
      <c r="N593" s="21"/>
      <c r="O593" s="31"/>
      <c r="P593" s="20"/>
      <c r="Q593" s="31"/>
      <c r="R593" s="20"/>
      <c r="S593" s="20"/>
      <c r="T593" s="20"/>
      <c r="U593" s="20"/>
      <c r="V593" s="20"/>
      <c r="W593" s="20"/>
      <c r="X593" s="20"/>
      <c r="Y593" s="20"/>
      <c r="Z593" s="20"/>
    </row>
    <row r="594" spans="1:26" ht="9.75" customHeight="1" x14ac:dyDescent="0.25">
      <c r="A594" s="20"/>
      <c r="B594" s="21"/>
      <c r="C594" s="20"/>
      <c r="D594" s="22"/>
      <c r="E594" s="20"/>
      <c r="F594" s="20"/>
      <c r="G594" s="20"/>
      <c r="H594" s="20"/>
      <c r="I594" s="22"/>
      <c r="J594" s="20"/>
      <c r="K594" s="20"/>
      <c r="L594" s="20"/>
      <c r="M594" s="20"/>
      <c r="N594" s="21"/>
      <c r="O594" s="31"/>
      <c r="P594" s="20"/>
      <c r="Q594" s="31"/>
      <c r="R594" s="20"/>
      <c r="S594" s="20"/>
      <c r="T594" s="20"/>
      <c r="U594" s="20"/>
      <c r="V594" s="20"/>
      <c r="W594" s="20"/>
      <c r="X594" s="20"/>
      <c r="Y594" s="20"/>
      <c r="Z594" s="20"/>
    </row>
    <row r="595" spans="1:26" ht="9.75" customHeight="1" x14ac:dyDescent="0.25">
      <c r="A595" s="20"/>
      <c r="B595" s="21"/>
      <c r="C595" s="20"/>
      <c r="D595" s="22"/>
      <c r="E595" s="20"/>
      <c r="F595" s="20"/>
      <c r="G595" s="20"/>
      <c r="H595" s="20"/>
      <c r="I595" s="22"/>
      <c r="J595" s="20"/>
      <c r="K595" s="20"/>
      <c r="L595" s="20"/>
      <c r="M595" s="20"/>
      <c r="N595" s="21"/>
      <c r="O595" s="31"/>
      <c r="P595" s="20"/>
      <c r="Q595" s="31"/>
      <c r="R595" s="20"/>
      <c r="S595" s="20"/>
      <c r="T595" s="20"/>
      <c r="U595" s="20"/>
      <c r="V595" s="20"/>
      <c r="W595" s="20"/>
      <c r="X595" s="20"/>
      <c r="Y595" s="20"/>
      <c r="Z595" s="20"/>
    </row>
    <row r="596" spans="1:26" ht="9.75" customHeight="1" x14ac:dyDescent="0.25">
      <c r="A596" s="20"/>
      <c r="B596" s="21"/>
      <c r="C596" s="20"/>
      <c r="D596" s="22"/>
      <c r="E596" s="20"/>
      <c r="F596" s="20"/>
      <c r="G596" s="20"/>
      <c r="H596" s="20"/>
      <c r="I596" s="22"/>
      <c r="J596" s="20"/>
      <c r="K596" s="20"/>
      <c r="L596" s="20"/>
      <c r="M596" s="20"/>
      <c r="N596" s="21"/>
      <c r="O596" s="31"/>
      <c r="P596" s="20"/>
      <c r="Q596" s="31"/>
      <c r="R596" s="20"/>
      <c r="S596" s="20"/>
      <c r="T596" s="20"/>
      <c r="U596" s="20"/>
      <c r="V596" s="20"/>
      <c r="W596" s="20"/>
      <c r="X596" s="20"/>
      <c r="Y596" s="20"/>
      <c r="Z596" s="20"/>
    </row>
    <row r="597" spans="1:26" ht="9.75" customHeight="1" x14ac:dyDescent="0.25">
      <c r="A597" s="20"/>
      <c r="B597" s="21"/>
      <c r="C597" s="20"/>
      <c r="D597" s="22"/>
      <c r="E597" s="20"/>
      <c r="F597" s="20"/>
      <c r="G597" s="20"/>
      <c r="H597" s="20"/>
      <c r="I597" s="22"/>
      <c r="J597" s="20"/>
      <c r="K597" s="20"/>
      <c r="L597" s="20"/>
      <c r="M597" s="20"/>
      <c r="N597" s="21"/>
      <c r="O597" s="31"/>
      <c r="P597" s="20"/>
      <c r="Q597" s="31"/>
      <c r="R597" s="20"/>
      <c r="S597" s="20"/>
      <c r="T597" s="20"/>
      <c r="U597" s="20"/>
      <c r="V597" s="20"/>
      <c r="W597" s="20"/>
      <c r="X597" s="20"/>
      <c r="Y597" s="20"/>
      <c r="Z597" s="20"/>
    </row>
    <row r="598" spans="1:26" ht="9.75" customHeight="1" x14ac:dyDescent="0.25">
      <c r="A598" s="20"/>
      <c r="B598" s="21"/>
      <c r="C598" s="20"/>
      <c r="D598" s="22"/>
      <c r="E598" s="20"/>
      <c r="F598" s="20"/>
      <c r="G598" s="20"/>
      <c r="H598" s="20"/>
      <c r="I598" s="22"/>
      <c r="J598" s="20"/>
      <c r="K598" s="20"/>
      <c r="L598" s="20"/>
      <c r="M598" s="20"/>
      <c r="N598" s="21"/>
      <c r="O598" s="31"/>
      <c r="P598" s="20"/>
      <c r="Q598" s="31"/>
      <c r="R598" s="20"/>
      <c r="S598" s="20"/>
      <c r="T598" s="20"/>
      <c r="U598" s="20"/>
      <c r="V598" s="20"/>
      <c r="W598" s="20"/>
      <c r="X598" s="20"/>
      <c r="Y598" s="20"/>
      <c r="Z598" s="20"/>
    </row>
    <row r="599" spans="1:26" ht="9.75" customHeight="1" x14ac:dyDescent="0.25">
      <c r="A599" s="20"/>
      <c r="B599" s="21"/>
      <c r="C599" s="20"/>
      <c r="D599" s="22"/>
      <c r="E599" s="20"/>
      <c r="F599" s="20"/>
      <c r="G599" s="20"/>
      <c r="H599" s="20"/>
      <c r="I599" s="22"/>
      <c r="J599" s="20"/>
      <c r="K599" s="20"/>
      <c r="L599" s="20"/>
      <c r="M599" s="20"/>
      <c r="N599" s="21"/>
      <c r="O599" s="31"/>
      <c r="P599" s="20"/>
      <c r="Q599" s="31"/>
      <c r="R599" s="20"/>
      <c r="S599" s="20"/>
      <c r="T599" s="20"/>
      <c r="U599" s="20"/>
      <c r="V599" s="20"/>
      <c r="W599" s="20"/>
      <c r="X599" s="20"/>
      <c r="Y599" s="20"/>
      <c r="Z599" s="20"/>
    </row>
    <row r="600" spans="1:26" ht="9.75" customHeight="1" x14ac:dyDescent="0.25">
      <c r="A600" s="20"/>
      <c r="B600" s="21"/>
      <c r="C600" s="20"/>
      <c r="D600" s="22"/>
      <c r="E600" s="20"/>
      <c r="F600" s="20"/>
      <c r="G600" s="20"/>
      <c r="H600" s="20"/>
      <c r="I600" s="22"/>
      <c r="J600" s="20"/>
      <c r="K600" s="20"/>
      <c r="L600" s="20"/>
      <c r="M600" s="20"/>
      <c r="N600" s="21"/>
      <c r="O600" s="31"/>
      <c r="P600" s="20"/>
      <c r="Q600" s="31"/>
      <c r="R600" s="20"/>
      <c r="S600" s="20"/>
      <c r="T600" s="20"/>
      <c r="U600" s="20"/>
      <c r="V600" s="20"/>
      <c r="W600" s="20"/>
      <c r="X600" s="20"/>
      <c r="Y600" s="20"/>
      <c r="Z600" s="20"/>
    </row>
    <row r="601" spans="1:26" ht="9.75" customHeight="1" x14ac:dyDescent="0.25">
      <c r="A601" s="20"/>
      <c r="B601" s="21"/>
      <c r="C601" s="20"/>
      <c r="D601" s="22"/>
      <c r="E601" s="20"/>
      <c r="F601" s="20"/>
      <c r="G601" s="20"/>
      <c r="H601" s="20"/>
      <c r="I601" s="22"/>
      <c r="J601" s="20"/>
      <c r="K601" s="20"/>
      <c r="L601" s="20"/>
      <c r="M601" s="20"/>
      <c r="N601" s="21"/>
      <c r="O601" s="31"/>
      <c r="P601" s="20"/>
      <c r="Q601" s="31"/>
      <c r="R601" s="20"/>
      <c r="S601" s="20"/>
      <c r="T601" s="20"/>
      <c r="U601" s="20"/>
      <c r="V601" s="20"/>
      <c r="W601" s="20"/>
      <c r="X601" s="20"/>
      <c r="Y601" s="20"/>
      <c r="Z601" s="20"/>
    </row>
    <row r="602" spans="1:26" ht="9.75" customHeight="1" x14ac:dyDescent="0.25">
      <c r="A602" s="20"/>
      <c r="B602" s="21"/>
      <c r="C602" s="20"/>
      <c r="D602" s="22"/>
      <c r="E602" s="20"/>
      <c r="F602" s="20"/>
      <c r="G602" s="20"/>
      <c r="H602" s="20"/>
      <c r="I602" s="22"/>
      <c r="J602" s="20"/>
      <c r="K602" s="20"/>
      <c r="L602" s="20"/>
      <c r="M602" s="20"/>
      <c r="N602" s="21"/>
      <c r="O602" s="31"/>
      <c r="P602" s="20"/>
      <c r="Q602" s="31"/>
      <c r="R602" s="20"/>
      <c r="S602" s="20"/>
      <c r="T602" s="20"/>
      <c r="U602" s="20"/>
      <c r="V602" s="20"/>
      <c r="W602" s="20"/>
      <c r="X602" s="20"/>
      <c r="Y602" s="20"/>
      <c r="Z602" s="20"/>
    </row>
    <row r="603" spans="1:26" ht="9.75" customHeight="1" x14ac:dyDescent="0.25">
      <c r="A603" s="20"/>
      <c r="B603" s="21"/>
      <c r="C603" s="20"/>
      <c r="D603" s="22"/>
      <c r="E603" s="20"/>
      <c r="F603" s="20"/>
      <c r="G603" s="20"/>
      <c r="H603" s="20"/>
      <c r="I603" s="22"/>
      <c r="J603" s="20"/>
      <c r="K603" s="20"/>
      <c r="L603" s="20"/>
      <c r="M603" s="20"/>
      <c r="N603" s="21"/>
      <c r="O603" s="31"/>
      <c r="P603" s="20"/>
      <c r="Q603" s="31"/>
      <c r="R603" s="20"/>
      <c r="S603" s="20"/>
      <c r="T603" s="20"/>
      <c r="U603" s="20"/>
      <c r="V603" s="20"/>
      <c r="W603" s="20"/>
      <c r="X603" s="20"/>
      <c r="Y603" s="20"/>
      <c r="Z603" s="20"/>
    </row>
    <row r="604" spans="1:26" ht="9.75" customHeight="1" x14ac:dyDescent="0.25">
      <c r="A604" s="20"/>
      <c r="B604" s="21"/>
      <c r="C604" s="20"/>
      <c r="D604" s="22"/>
      <c r="E604" s="20"/>
      <c r="F604" s="20"/>
      <c r="G604" s="20"/>
      <c r="H604" s="20"/>
      <c r="I604" s="22"/>
      <c r="J604" s="20"/>
      <c r="K604" s="20"/>
      <c r="L604" s="20"/>
      <c r="M604" s="20"/>
      <c r="N604" s="21"/>
      <c r="O604" s="31"/>
      <c r="P604" s="20"/>
      <c r="Q604" s="31"/>
      <c r="R604" s="20"/>
      <c r="S604" s="20"/>
      <c r="T604" s="20"/>
      <c r="U604" s="20"/>
      <c r="V604" s="20"/>
      <c r="W604" s="20"/>
      <c r="X604" s="20"/>
      <c r="Y604" s="20"/>
      <c r="Z604" s="20"/>
    </row>
    <row r="605" spans="1:26" ht="9.75" customHeight="1" x14ac:dyDescent="0.25">
      <c r="A605" s="20"/>
      <c r="B605" s="21"/>
      <c r="C605" s="20"/>
      <c r="D605" s="22"/>
      <c r="E605" s="20"/>
      <c r="F605" s="20"/>
      <c r="G605" s="20"/>
      <c r="H605" s="20"/>
      <c r="I605" s="22"/>
      <c r="J605" s="20"/>
      <c r="K605" s="20"/>
      <c r="L605" s="20"/>
      <c r="M605" s="20"/>
      <c r="N605" s="21"/>
      <c r="O605" s="31"/>
      <c r="P605" s="20"/>
      <c r="Q605" s="31"/>
      <c r="R605" s="20"/>
      <c r="S605" s="20"/>
      <c r="T605" s="20"/>
      <c r="U605" s="20"/>
      <c r="V605" s="20"/>
      <c r="W605" s="20"/>
      <c r="X605" s="20"/>
      <c r="Y605" s="20"/>
      <c r="Z605" s="20"/>
    </row>
    <row r="606" spans="1:26" ht="9.75" customHeight="1" x14ac:dyDescent="0.25">
      <c r="A606" s="20"/>
      <c r="B606" s="21"/>
      <c r="C606" s="20"/>
      <c r="D606" s="22"/>
      <c r="E606" s="20"/>
      <c r="F606" s="20"/>
      <c r="G606" s="20"/>
      <c r="H606" s="20"/>
      <c r="I606" s="22"/>
      <c r="J606" s="20"/>
      <c r="K606" s="20"/>
      <c r="L606" s="20"/>
      <c r="M606" s="20"/>
      <c r="N606" s="21"/>
      <c r="O606" s="31"/>
      <c r="P606" s="20"/>
      <c r="Q606" s="31"/>
      <c r="R606" s="20"/>
      <c r="S606" s="20"/>
      <c r="T606" s="20"/>
      <c r="U606" s="20"/>
      <c r="V606" s="20"/>
      <c r="W606" s="20"/>
      <c r="X606" s="20"/>
      <c r="Y606" s="20"/>
      <c r="Z606" s="20"/>
    </row>
    <row r="607" spans="1:26" ht="9.75" customHeight="1" x14ac:dyDescent="0.25">
      <c r="A607" s="20"/>
      <c r="B607" s="21"/>
      <c r="C607" s="20"/>
      <c r="D607" s="22"/>
      <c r="E607" s="20"/>
      <c r="F607" s="20"/>
      <c r="G607" s="20"/>
      <c r="H607" s="20"/>
      <c r="I607" s="22"/>
      <c r="J607" s="20"/>
      <c r="K607" s="20"/>
      <c r="L607" s="20"/>
      <c r="M607" s="20"/>
      <c r="N607" s="21"/>
      <c r="O607" s="31"/>
      <c r="P607" s="20"/>
      <c r="Q607" s="31"/>
      <c r="R607" s="20"/>
      <c r="S607" s="20"/>
      <c r="T607" s="20"/>
      <c r="U607" s="20"/>
      <c r="V607" s="20"/>
      <c r="W607" s="20"/>
      <c r="X607" s="20"/>
      <c r="Y607" s="20"/>
      <c r="Z607" s="20"/>
    </row>
    <row r="608" spans="1:26" ht="9.75" customHeight="1" x14ac:dyDescent="0.25">
      <c r="A608" s="20"/>
      <c r="B608" s="21"/>
      <c r="C608" s="20"/>
      <c r="D608" s="22"/>
      <c r="E608" s="20"/>
      <c r="F608" s="20"/>
      <c r="G608" s="20"/>
      <c r="H608" s="20"/>
      <c r="I608" s="22"/>
      <c r="J608" s="20"/>
      <c r="K608" s="20"/>
      <c r="L608" s="20"/>
      <c r="M608" s="20"/>
      <c r="N608" s="21"/>
      <c r="O608" s="31"/>
      <c r="P608" s="20"/>
      <c r="Q608" s="31"/>
      <c r="R608" s="20"/>
      <c r="S608" s="20"/>
      <c r="T608" s="20"/>
      <c r="U608" s="20"/>
      <c r="V608" s="20"/>
      <c r="W608" s="20"/>
      <c r="X608" s="20"/>
      <c r="Y608" s="20"/>
      <c r="Z608" s="20"/>
    </row>
    <row r="609" spans="1:26" ht="9.75" customHeight="1" x14ac:dyDescent="0.25">
      <c r="A609" s="20"/>
      <c r="B609" s="21"/>
      <c r="C609" s="20"/>
      <c r="D609" s="22"/>
      <c r="E609" s="20"/>
      <c r="F609" s="20"/>
      <c r="G609" s="20"/>
      <c r="H609" s="20"/>
      <c r="I609" s="22"/>
      <c r="J609" s="20"/>
      <c r="K609" s="20"/>
      <c r="L609" s="20"/>
      <c r="M609" s="20"/>
      <c r="N609" s="21"/>
      <c r="O609" s="31"/>
      <c r="P609" s="20"/>
      <c r="Q609" s="31"/>
      <c r="R609" s="20"/>
      <c r="S609" s="20"/>
      <c r="T609" s="20"/>
      <c r="U609" s="20"/>
      <c r="V609" s="20"/>
      <c r="W609" s="20"/>
      <c r="X609" s="20"/>
      <c r="Y609" s="20"/>
      <c r="Z609" s="20"/>
    </row>
    <row r="610" spans="1:26" ht="9.75" customHeight="1" x14ac:dyDescent="0.25">
      <c r="A610" s="20"/>
      <c r="B610" s="21"/>
      <c r="C610" s="20"/>
      <c r="D610" s="22"/>
      <c r="E610" s="20"/>
      <c r="F610" s="20"/>
      <c r="G610" s="20"/>
      <c r="H610" s="20"/>
      <c r="I610" s="22"/>
      <c r="J610" s="20"/>
      <c r="K610" s="20"/>
      <c r="L610" s="20"/>
      <c r="M610" s="20"/>
      <c r="N610" s="21"/>
      <c r="O610" s="31"/>
      <c r="P610" s="20"/>
      <c r="Q610" s="31"/>
      <c r="R610" s="20"/>
      <c r="S610" s="20"/>
      <c r="T610" s="20"/>
      <c r="U610" s="20"/>
      <c r="V610" s="20"/>
      <c r="W610" s="20"/>
      <c r="X610" s="20"/>
      <c r="Y610" s="20"/>
      <c r="Z610" s="20"/>
    </row>
    <row r="611" spans="1:26" ht="9.75" customHeight="1" x14ac:dyDescent="0.25">
      <c r="A611" s="20"/>
      <c r="B611" s="21"/>
      <c r="C611" s="20"/>
      <c r="D611" s="22"/>
      <c r="E611" s="20"/>
      <c r="F611" s="20"/>
      <c r="G611" s="20"/>
      <c r="H611" s="20"/>
      <c r="I611" s="22"/>
      <c r="J611" s="20"/>
      <c r="K611" s="20"/>
      <c r="L611" s="20"/>
      <c r="M611" s="20"/>
      <c r="N611" s="21"/>
      <c r="O611" s="31"/>
      <c r="P611" s="20"/>
      <c r="Q611" s="31"/>
      <c r="R611" s="20"/>
      <c r="S611" s="20"/>
      <c r="T611" s="20"/>
      <c r="U611" s="20"/>
      <c r="V611" s="20"/>
      <c r="W611" s="20"/>
      <c r="X611" s="20"/>
      <c r="Y611" s="20"/>
      <c r="Z611" s="20"/>
    </row>
    <row r="612" spans="1:26" ht="9.75" customHeight="1" x14ac:dyDescent="0.25">
      <c r="A612" s="20"/>
      <c r="B612" s="21"/>
      <c r="C612" s="20"/>
      <c r="D612" s="22"/>
      <c r="E612" s="20"/>
      <c r="F612" s="20"/>
      <c r="G612" s="20"/>
      <c r="H612" s="20"/>
      <c r="I612" s="22"/>
      <c r="J612" s="20"/>
      <c r="K612" s="20"/>
      <c r="L612" s="20"/>
      <c r="M612" s="20"/>
      <c r="N612" s="21"/>
      <c r="O612" s="31"/>
      <c r="P612" s="20"/>
      <c r="Q612" s="31"/>
      <c r="R612" s="20"/>
      <c r="S612" s="20"/>
      <c r="T612" s="20"/>
      <c r="U612" s="20"/>
      <c r="V612" s="20"/>
      <c r="W612" s="20"/>
      <c r="X612" s="20"/>
      <c r="Y612" s="20"/>
      <c r="Z612" s="20"/>
    </row>
    <row r="613" spans="1:26" ht="9.75" customHeight="1" x14ac:dyDescent="0.25">
      <c r="A613" s="20"/>
      <c r="B613" s="21"/>
      <c r="C613" s="20"/>
      <c r="D613" s="22"/>
      <c r="E613" s="20"/>
      <c r="F613" s="20"/>
      <c r="G613" s="20"/>
      <c r="H613" s="20"/>
      <c r="I613" s="22"/>
      <c r="J613" s="20"/>
      <c r="K613" s="20"/>
      <c r="L613" s="20"/>
      <c r="M613" s="20"/>
      <c r="N613" s="21"/>
      <c r="O613" s="31"/>
      <c r="P613" s="20"/>
      <c r="Q613" s="31"/>
      <c r="R613" s="20"/>
      <c r="S613" s="20"/>
      <c r="T613" s="20"/>
      <c r="U613" s="20"/>
      <c r="V613" s="20"/>
      <c r="W613" s="20"/>
      <c r="X613" s="20"/>
      <c r="Y613" s="20"/>
      <c r="Z613" s="20"/>
    </row>
    <row r="614" spans="1:26" ht="9.75" customHeight="1" x14ac:dyDescent="0.25">
      <c r="A614" s="20"/>
      <c r="B614" s="21"/>
      <c r="C614" s="20"/>
      <c r="D614" s="22"/>
      <c r="E614" s="20"/>
      <c r="F614" s="20"/>
      <c r="G614" s="20"/>
      <c r="H614" s="20"/>
      <c r="I614" s="22"/>
      <c r="J614" s="20"/>
      <c r="K614" s="20"/>
      <c r="L614" s="20"/>
      <c r="M614" s="20"/>
      <c r="N614" s="21"/>
      <c r="O614" s="31"/>
      <c r="P614" s="20"/>
      <c r="Q614" s="31"/>
      <c r="R614" s="20"/>
      <c r="S614" s="20"/>
      <c r="T614" s="20"/>
      <c r="U614" s="20"/>
      <c r="V614" s="20"/>
      <c r="W614" s="20"/>
      <c r="X614" s="20"/>
      <c r="Y614" s="20"/>
      <c r="Z614" s="20"/>
    </row>
    <row r="615" spans="1:26" ht="9.75" customHeight="1" x14ac:dyDescent="0.25">
      <c r="A615" s="20"/>
      <c r="B615" s="21"/>
      <c r="C615" s="20"/>
      <c r="D615" s="22"/>
      <c r="E615" s="20"/>
      <c r="F615" s="20"/>
      <c r="G615" s="20"/>
      <c r="H615" s="20"/>
      <c r="I615" s="22"/>
      <c r="J615" s="20"/>
      <c r="K615" s="20"/>
      <c r="L615" s="20"/>
      <c r="M615" s="20"/>
      <c r="N615" s="21"/>
      <c r="O615" s="31"/>
      <c r="P615" s="20"/>
      <c r="Q615" s="31"/>
      <c r="R615" s="20"/>
      <c r="S615" s="20"/>
      <c r="T615" s="20"/>
      <c r="U615" s="20"/>
      <c r="V615" s="20"/>
      <c r="W615" s="20"/>
      <c r="X615" s="20"/>
      <c r="Y615" s="20"/>
      <c r="Z615" s="20"/>
    </row>
    <row r="616" spans="1:26" ht="9.75" customHeight="1" x14ac:dyDescent="0.25">
      <c r="A616" s="20"/>
      <c r="B616" s="21"/>
      <c r="C616" s="20"/>
      <c r="D616" s="22"/>
      <c r="E616" s="20"/>
      <c r="F616" s="20"/>
      <c r="G616" s="20"/>
      <c r="H616" s="20"/>
      <c r="I616" s="22"/>
      <c r="J616" s="20"/>
      <c r="K616" s="20"/>
      <c r="L616" s="20"/>
      <c r="M616" s="20"/>
      <c r="N616" s="21"/>
      <c r="O616" s="31"/>
      <c r="P616" s="20"/>
      <c r="Q616" s="31"/>
      <c r="R616" s="20"/>
      <c r="S616" s="20"/>
      <c r="T616" s="20"/>
      <c r="U616" s="20"/>
      <c r="V616" s="20"/>
      <c r="W616" s="20"/>
      <c r="X616" s="20"/>
      <c r="Y616" s="20"/>
      <c r="Z616" s="20"/>
    </row>
    <row r="617" spans="1:26" ht="9.75" customHeight="1" x14ac:dyDescent="0.25">
      <c r="A617" s="20"/>
      <c r="B617" s="21"/>
      <c r="C617" s="20"/>
      <c r="D617" s="22"/>
      <c r="E617" s="20"/>
      <c r="F617" s="20"/>
      <c r="G617" s="20"/>
      <c r="H617" s="20"/>
      <c r="I617" s="22"/>
      <c r="J617" s="20"/>
      <c r="K617" s="20"/>
      <c r="L617" s="20"/>
      <c r="M617" s="20"/>
      <c r="N617" s="21"/>
      <c r="O617" s="31"/>
      <c r="P617" s="20"/>
      <c r="Q617" s="31"/>
      <c r="R617" s="20"/>
      <c r="S617" s="20"/>
      <c r="T617" s="20"/>
      <c r="U617" s="20"/>
      <c r="V617" s="20"/>
      <c r="W617" s="20"/>
      <c r="X617" s="20"/>
      <c r="Y617" s="20"/>
      <c r="Z617" s="20"/>
    </row>
    <row r="618" spans="1:26" ht="9.75" customHeight="1" x14ac:dyDescent="0.25">
      <c r="A618" s="20"/>
      <c r="B618" s="21"/>
      <c r="C618" s="20"/>
      <c r="D618" s="22"/>
      <c r="E618" s="20"/>
      <c r="F618" s="20"/>
      <c r="G618" s="20"/>
      <c r="H618" s="20"/>
      <c r="I618" s="22"/>
      <c r="J618" s="20"/>
      <c r="K618" s="20"/>
      <c r="L618" s="20"/>
      <c r="M618" s="20"/>
      <c r="N618" s="21"/>
      <c r="O618" s="31"/>
      <c r="P618" s="20"/>
      <c r="Q618" s="31"/>
      <c r="R618" s="20"/>
      <c r="S618" s="20"/>
      <c r="T618" s="20"/>
      <c r="U618" s="20"/>
      <c r="V618" s="20"/>
      <c r="W618" s="20"/>
      <c r="X618" s="20"/>
      <c r="Y618" s="20"/>
      <c r="Z618" s="20"/>
    </row>
    <row r="619" spans="1:26" ht="9.75" customHeight="1" x14ac:dyDescent="0.25">
      <c r="A619" s="20"/>
      <c r="B619" s="21"/>
      <c r="C619" s="20"/>
      <c r="D619" s="22"/>
      <c r="E619" s="20"/>
      <c r="F619" s="20"/>
      <c r="G619" s="20"/>
      <c r="H619" s="20"/>
      <c r="I619" s="22"/>
      <c r="J619" s="20"/>
      <c r="K619" s="20"/>
      <c r="L619" s="20"/>
      <c r="M619" s="20"/>
      <c r="N619" s="21"/>
      <c r="O619" s="31"/>
      <c r="P619" s="20"/>
      <c r="Q619" s="31"/>
      <c r="R619" s="20"/>
      <c r="S619" s="20"/>
      <c r="T619" s="20"/>
      <c r="U619" s="20"/>
      <c r="V619" s="20"/>
      <c r="W619" s="20"/>
      <c r="X619" s="20"/>
      <c r="Y619" s="20"/>
      <c r="Z619" s="20"/>
    </row>
    <row r="620" spans="1:26" ht="9.75" customHeight="1" x14ac:dyDescent="0.25">
      <c r="A620" s="20"/>
      <c r="B620" s="21"/>
      <c r="C620" s="20"/>
      <c r="D620" s="22"/>
      <c r="E620" s="20"/>
      <c r="F620" s="20"/>
      <c r="G620" s="20"/>
      <c r="H620" s="20"/>
      <c r="I620" s="22"/>
      <c r="J620" s="20"/>
      <c r="K620" s="20"/>
      <c r="L620" s="20"/>
      <c r="M620" s="20"/>
      <c r="N620" s="21"/>
      <c r="O620" s="31"/>
      <c r="P620" s="20"/>
      <c r="Q620" s="31"/>
      <c r="R620" s="20"/>
      <c r="S620" s="20"/>
      <c r="T620" s="20"/>
      <c r="U620" s="20"/>
      <c r="V620" s="20"/>
      <c r="W620" s="20"/>
      <c r="X620" s="20"/>
      <c r="Y620" s="20"/>
      <c r="Z620" s="20"/>
    </row>
    <row r="621" spans="1:26" ht="9.75" customHeight="1" x14ac:dyDescent="0.25">
      <c r="A621" s="20"/>
      <c r="B621" s="21"/>
      <c r="C621" s="20"/>
      <c r="D621" s="22"/>
      <c r="E621" s="20"/>
      <c r="F621" s="20"/>
      <c r="G621" s="20"/>
      <c r="H621" s="20"/>
      <c r="I621" s="22"/>
      <c r="J621" s="20"/>
      <c r="K621" s="20"/>
      <c r="L621" s="20"/>
      <c r="M621" s="20"/>
      <c r="N621" s="21"/>
      <c r="O621" s="31"/>
      <c r="P621" s="20"/>
      <c r="Q621" s="31"/>
      <c r="R621" s="20"/>
      <c r="S621" s="20"/>
      <c r="T621" s="20"/>
      <c r="U621" s="20"/>
      <c r="V621" s="20"/>
      <c r="W621" s="20"/>
      <c r="X621" s="20"/>
      <c r="Y621" s="20"/>
      <c r="Z621" s="20"/>
    </row>
    <row r="622" spans="1:26" ht="9.75" customHeight="1" x14ac:dyDescent="0.25">
      <c r="A622" s="20"/>
      <c r="B622" s="21"/>
      <c r="C622" s="20"/>
      <c r="D622" s="22"/>
      <c r="E622" s="20"/>
      <c r="F622" s="20"/>
      <c r="G622" s="20"/>
      <c r="H622" s="20"/>
      <c r="I622" s="22"/>
      <c r="J622" s="20"/>
      <c r="K622" s="20"/>
      <c r="L622" s="20"/>
      <c r="M622" s="20"/>
      <c r="N622" s="21"/>
      <c r="O622" s="31"/>
      <c r="P622" s="20"/>
      <c r="Q622" s="31"/>
      <c r="R622" s="20"/>
      <c r="S622" s="20"/>
      <c r="T622" s="20"/>
      <c r="U622" s="20"/>
      <c r="V622" s="20"/>
      <c r="W622" s="20"/>
      <c r="X622" s="20"/>
      <c r="Y622" s="20"/>
      <c r="Z622" s="20"/>
    </row>
    <row r="623" spans="1:26" ht="9.75" customHeight="1" x14ac:dyDescent="0.25">
      <c r="A623" s="20"/>
      <c r="B623" s="21"/>
      <c r="C623" s="20"/>
      <c r="D623" s="22"/>
      <c r="E623" s="20"/>
      <c r="F623" s="20"/>
      <c r="G623" s="20"/>
      <c r="H623" s="20"/>
      <c r="I623" s="22"/>
      <c r="J623" s="20"/>
      <c r="K623" s="20"/>
      <c r="L623" s="20"/>
      <c r="M623" s="20"/>
      <c r="N623" s="21"/>
      <c r="O623" s="31"/>
      <c r="P623" s="20"/>
      <c r="Q623" s="31"/>
      <c r="R623" s="20"/>
      <c r="S623" s="20"/>
      <c r="T623" s="20"/>
      <c r="U623" s="20"/>
      <c r="V623" s="20"/>
      <c r="W623" s="20"/>
      <c r="X623" s="20"/>
      <c r="Y623" s="20"/>
      <c r="Z623" s="20"/>
    </row>
    <row r="624" spans="1:26" ht="9.75" customHeight="1" x14ac:dyDescent="0.25">
      <c r="A624" s="20"/>
      <c r="B624" s="21"/>
      <c r="C624" s="20"/>
      <c r="D624" s="22"/>
      <c r="E624" s="20"/>
      <c r="F624" s="20"/>
      <c r="G624" s="20"/>
      <c r="H624" s="20"/>
      <c r="I624" s="22"/>
      <c r="J624" s="20"/>
      <c r="K624" s="20"/>
      <c r="L624" s="20"/>
      <c r="M624" s="20"/>
      <c r="N624" s="21"/>
      <c r="O624" s="31"/>
      <c r="P624" s="20"/>
      <c r="Q624" s="31"/>
      <c r="R624" s="20"/>
      <c r="S624" s="20"/>
      <c r="T624" s="20"/>
      <c r="U624" s="20"/>
      <c r="V624" s="20"/>
      <c r="W624" s="20"/>
      <c r="X624" s="20"/>
      <c r="Y624" s="20"/>
      <c r="Z624" s="20"/>
    </row>
    <row r="625" spans="1:26" ht="9.75" customHeight="1" x14ac:dyDescent="0.25">
      <c r="A625" s="20"/>
      <c r="B625" s="21"/>
      <c r="C625" s="20"/>
      <c r="D625" s="22"/>
      <c r="E625" s="20"/>
      <c r="F625" s="20"/>
      <c r="G625" s="20"/>
      <c r="H625" s="20"/>
      <c r="I625" s="22"/>
      <c r="J625" s="20"/>
      <c r="K625" s="20"/>
      <c r="L625" s="20"/>
      <c r="M625" s="20"/>
      <c r="N625" s="21"/>
      <c r="O625" s="31"/>
      <c r="P625" s="20"/>
      <c r="Q625" s="31"/>
      <c r="R625" s="20"/>
      <c r="S625" s="20"/>
      <c r="T625" s="20"/>
      <c r="U625" s="20"/>
      <c r="V625" s="20"/>
      <c r="W625" s="20"/>
      <c r="X625" s="20"/>
      <c r="Y625" s="20"/>
      <c r="Z625" s="20"/>
    </row>
    <row r="626" spans="1:26" ht="9.75" customHeight="1" x14ac:dyDescent="0.25">
      <c r="A626" s="20"/>
      <c r="B626" s="21"/>
      <c r="C626" s="20"/>
      <c r="D626" s="22"/>
      <c r="E626" s="20"/>
      <c r="F626" s="20"/>
      <c r="G626" s="20"/>
      <c r="H626" s="20"/>
      <c r="I626" s="22"/>
      <c r="J626" s="20"/>
      <c r="K626" s="20"/>
      <c r="L626" s="20"/>
      <c r="M626" s="20"/>
      <c r="N626" s="21"/>
      <c r="O626" s="31"/>
      <c r="P626" s="20"/>
      <c r="Q626" s="31"/>
      <c r="R626" s="20"/>
      <c r="S626" s="20"/>
      <c r="T626" s="20"/>
      <c r="U626" s="20"/>
      <c r="V626" s="20"/>
      <c r="W626" s="20"/>
      <c r="X626" s="20"/>
      <c r="Y626" s="20"/>
      <c r="Z626" s="20"/>
    </row>
    <row r="627" spans="1:26" ht="9.75" customHeight="1" x14ac:dyDescent="0.25">
      <c r="A627" s="20"/>
      <c r="B627" s="21"/>
      <c r="C627" s="20"/>
      <c r="D627" s="22"/>
      <c r="E627" s="20"/>
      <c r="F627" s="20"/>
      <c r="G627" s="20"/>
      <c r="H627" s="20"/>
      <c r="I627" s="22"/>
      <c r="J627" s="20"/>
      <c r="K627" s="20"/>
      <c r="L627" s="20"/>
      <c r="M627" s="20"/>
      <c r="N627" s="21"/>
      <c r="O627" s="31"/>
      <c r="P627" s="20"/>
      <c r="Q627" s="31"/>
      <c r="R627" s="20"/>
      <c r="S627" s="20"/>
      <c r="T627" s="20"/>
      <c r="U627" s="20"/>
      <c r="V627" s="20"/>
      <c r="W627" s="20"/>
      <c r="X627" s="20"/>
      <c r="Y627" s="20"/>
      <c r="Z627" s="20"/>
    </row>
    <row r="628" spans="1:26" ht="9.75" customHeight="1" x14ac:dyDescent="0.25">
      <c r="A628" s="20"/>
      <c r="B628" s="21"/>
      <c r="C628" s="20"/>
      <c r="D628" s="22"/>
      <c r="E628" s="20"/>
      <c r="F628" s="20"/>
      <c r="G628" s="20"/>
      <c r="H628" s="20"/>
      <c r="I628" s="22"/>
      <c r="J628" s="20"/>
      <c r="K628" s="20"/>
      <c r="L628" s="20"/>
      <c r="M628" s="20"/>
      <c r="N628" s="21"/>
      <c r="O628" s="31"/>
      <c r="P628" s="20"/>
      <c r="Q628" s="31"/>
      <c r="R628" s="20"/>
      <c r="S628" s="20"/>
      <c r="T628" s="20"/>
      <c r="U628" s="20"/>
      <c r="V628" s="20"/>
      <c r="W628" s="20"/>
      <c r="X628" s="20"/>
      <c r="Y628" s="20"/>
      <c r="Z628" s="20"/>
    </row>
    <row r="629" spans="1:26" ht="9.75" customHeight="1" x14ac:dyDescent="0.25">
      <c r="A629" s="20"/>
      <c r="B629" s="21"/>
      <c r="C629" s="20"/>
      <c r="D629" s="22"/>
      <c r="E629" s="20"/>
      <c r="F629" s="20"/>
      <c r="G629" s="20"/>
      <c r="H629" s="20"/>
      <c r="I629" s="22"/>
      <c r="J629" s="20"/>
      <c r="K629" s="20"/>
      <c r="L629" s="20"/>
      <c r="M629" s="20"/>
      <c r="N629" s="21"/>
      <c r="O629" s="31"/>
      <c r="P629" s="20"/>
      <c r="Q629" s="31"/>
      <c r="R629" s="20"/>
      <c r="S629" s="20"/>
      <c r="T629" s="20"/>
      <c r="U629" s="20"/>
      <c r="V629" s="20"/>
      <c r="W629" s="20"/>
      <c r="X629" s="20"/>
      <c r="Y629" s="20"/>
      <c r="Z629" s="20"/>
    </row>
    <row r="630" spans="1:26" ht="9.75" customHeight="1" x14ac:dyDescent="0.25">
      <c r="A630" s="20"/>
      <c r="B630" s="21"/>
      <c r="C630" s="20"/>
      <c r="D630" s="22"/>
      <c r="E630" s="20"/>
      <c r="F630" s="20"/>
      <c r="G630" s="20"/>
      <c r="H630" s="20"/>
      <c r="I630" s="22"/>
      <c r="J630" s="20"/>
      <c r="K630" s="20"/>
      <c r="L630" s="20"/>
      <c r="M630" s="20"/>
      <c r="N630" s="21"/>
      <c r="O630" s="31"/>
      <c r="P630" s="20"/>
      <c r="Q630" s="31"/>
      <c r="R630" s="20"/>
      <c r="S630" s="20"/>
      <c r="T630" s="20"/>
      <c r="U630" s="20"/>
      <c r="V630" s="20"/>
      <c r="W630" s="20"/>
      <c r="X630" s="20"/>
      <c r="Y630" s="20"/>
      <c r="Z630" s="20"/>
    </row>
    <row r="631" spans="1:26" ht="9.75" customHeight="1" x14ac:dyDescent="0.25">
      <c r="A631" s="20"/>
      <c r="B631" s="21"/>
      <c r="C631" s="20"/>
      <c r="D631" s="22"/>
      <c r="E631" s="20"/>
      <c r="F631" s="20"/>
      <c r="G631" s="20"/>
      <c r="H631" s="20"/>
      <c r="I631" s="22"/>
      <c r="J631" s="20"/>
      <c r="K631" s="20"/>
      <c r="L631" s="20"/>
      <c r="M631" s="20"/>
      <c r="N631" s="21"/>
      <c r="O631" s="31"/>
      <c r="P631" s="20"/>
      <c r="Q631" s="31"/>
      <c r="R631" s="20"/>
      <c r="S631" s="20"/>
      <c r="T631" s="20"/>
      <c r="U631" s="20"/>
      <c r="V631" s="20"/>
      <c r="W631" s="20"/>
      <c r="X631" s="20"/>
      <c r="Y631" s="20"/>
      <c r="Z631" s="20"/>
    </row>
    <row r="632" spans="1:26" ht="9.75" customHeight="1" x14ac:dyDescent="0.25">
      <c r="A632" s="20"/>
      <c r="B632" s="21"/>
      <c r="C632" s="20"/>
      <c r="D632" s="22"/>
      <c r="E632" s="20"/>
      <c r="F632" s="20"/>
      <c r="G632" s="20"/>
      <c r="H632" s="20"/>
      <c r="I632" s="22"/>
      <c r="J632" s="20"/>
      <c r="K632" s="20"/>
      <c r="L632" s="20"/>
      <c r="M632" s="20"/>
      <c r="N632" s="21"/>
      <c r="O632" s="31"/>
      <c r="P632" s="20"/>
      <c r="Q632" s="31"/>
      <c r="R632" s="20"/>
      <c r="S632" s="20"/>
      <c r="T632" s="20"/>
      <c r="U632" s="20"/>
      <c r="V632" s="20"/>
      <c r="W632" s="20"/>
      <c r="X632" s="20"/>
      <c r="Y632" s="20"/>
      <c r="Z632" s="20"/>
    </row>
    <row r="633" spans="1:26" ht="9.75" customHeight="1" x14ac:dyDescent="0.25">
      <c r="A633" s="20"/>
      <c r="B633" s="21"/>
      <c r="C633" s="20"/>
      <c r="D633" s="22"/>
      <c r="E633" s="20"/>
      <c r="F633" s="20"/>
      <c r="G633" s="20"/>
      <c r="H633" s="20"/>
      <c r="I633" s="22"/>
      <c r="J633" s="20"/>
      <c r="K633" s="20"/>
      <c r="L633" s="20"/>
      <c r="M633" s="20"/>
      <c r="N633" s="21"/>
      <c r="O633" s="31"/>
      <c r="P633" s="20"/>
      <c r="Q633" s="31"/>
      <c r="R633" s="20"/>
      <c r="S633" s="20"/>
      <c r="T633" s="20"/>
      <c r="U633" s="20"/>
      <c r="V633" s="20"/>
      <c r="W633" s="20"/>
      <c r="X633" s="20"/>
      <c r="Y633" s="20"/>
      <c r="Z633" s="20"/>
    </row>
    <row r="634" spans="1:26" ht="9.75" customHeight="1" x14ac:dyDescent="0.25">
      <c r="A634" s="20"/>
      <c r="B634" s="21"/>
      <c r="C634" s="20"/>
      <c r="D634" s="22"/>
      <c r="E634" s="20"/>
      <c r="F634" s="20"/>
      <c r="G634" s="20"/>
      <c r="H634" s="20"/>
      <c r="I634" s="22"/>
      <c r="J634" s="20"/>
      <c r="K634" s="20"/>
      <c r="L634" s="20"/>
      <c r="M634" s="20"/>
      <c r="N634" s="21"/>
      <c r="O634" s="31"/>
      <c r="P634" s="20"/>
      <c r="Q634" s="31"/>
      <c r="R634" s="20"/>
      <c r="S634" s="20"/>
      <c r="T634" s="20"/>
      <c r="U634" s="20"/>
      <c r="V634" s="20"/>
      <c r="W634" s="20"/>
      <c r="X634" s="20"/>
      <c r="Y634" s="20"/>
      <c r="Z634" s="20"/>
    </row>
    <row r="635" spans="1:26" ht="9.75" customHeight="1" x14ac:dyDescent="0.25">
      <c r="A635" s="20"/>
      <c r="B635" s="21"/>
      <c r="C635" s="20"/>
      <c r="D635" s="22"/>
      <c r="E635" s="20"/>
      <c r="F635" s="20"/>
      <c r="G635" s="20"/>
      <c r="H635" s="20"/>
      <c r="I635" s="22"/>
      <c r="J635" s="20"/>
      <c r="K635" s="20"/>
      <c r="L635" s="20"/>
      <c r="M635" s="20"/>
      <c r="N635" s="21"/>
      <c r="O635" s="31"/>
      <c r="P635" s="20"/>
      <c r="Q635" s="31"/>
      <c r="R635" s="20"/>
      <c r="S635" s="20"/>
      <c r="T635" s="20"/>
      <c r="U635" s="20"/>
      <c r="V635" s="20"/>
      <c r="W635" s="20"/>
      <c r="X635" s="20"/>
      <c r="Y635" s="20"/>
      <c r="Z635" s="20"/>
    </row>
    <row r="636" spans="1:26" ht="9.75" customHeight="1" x14ac:dyDescent="0.25">
      <c r="A636" s="20"/>
      <c r="B636" s="21"/>
      <c r="C636" s="20"/>
      <c r="D636" s="22"/>
      <c r="E636" s="20"/>
      <c r="F636" s="20"/>
      <c r="G636" s="20"/>
      <c r="H636" s="20"/>
      <c r="I636" s="22"/>
      <c r="J636" s="20"/>
      <c r="K636" s="20"/>
      <c r="L636" s="20"/>
      <c r="M636" s="20"/>
      <c r="N636" s="21"/>
      <c r="O636" s="31"/>
      <c r="P636" s="20"/>
      <c r="Q636" s="31"/>
      <c r="R636" s="20"/>
      <c r="S636" s="20"/>
      <c r="T636" s="20"/>
      <c r="U636" s="20"/>
      <c r="V636" s="20"/>
      <c r="W636" s="20"/>
      <c r="X636" s="20"/>
      <c r="Y636" s="20"/>
      <c r="Z636" s="20"/>
    </row>
    <row r="637" spans="1:26" ht="9.75" customHeight="1" x14ac:dyDescent="0.25">
      <c r="A637" s="20"/>
      <c r="B637" s="21"/>
      <c r="C637" s="20"/>
      <c r="D637" s="22"/>
      <c r="E637" s="20"/>
      <c r="F637" s="20"/>
      <c r="G637" s="20"/>
      <c r="H637" s="20"/>
      <c r="I637" s="22"/>
      <c r="J637" s="20"/>
      <c r="K637" s="20"/>
      <c r="L637" s="20"/>
      <c r="M637" s="20"/>
      <c r="N637" s="21"/>
      <c r="O637" s="31"/>
      <c r="P637" s="20"/>
      <c r="Q637" s="31"/>
      <c r="R637" s="20"/>
      <c r="S637" s="20"/>
      <c r="T637" s="20"/>
      <c r="U637" s="20"/>
      <c r="V637" s="20"/>
      <c r="W637" s="20"/>
      <c r="X637" s="20"/>
      <c r="Y637" s="20"/>
      <c r="Z637" s="20"/>
    </row>
    <row r="638" spans="1:26" ht="9.75" customHeight="1" x14ac:dyDescent="0.25">
      <c r="A638" s="20"/>
      <c r="B638" s="21"/>
      <c r="C638" s="20"/>
      <c r="D638" s="22"/>
      <c r="E638" s="20"/>
      <c r="F638" s="20"/>
      <c r="G638" s="20"/>
      <c r="H638" s="20"/>
      <c r="I638" s="22"/>
      <c r="J638" s="20"/>
      <c r="K638" s="20"/>
      <c r="L638" s="20"/>
      <c r="M638" s="20"/>
      <c r="N638" s="21"/>
      <c r="O638" s="31"/>
      <c r="P638" s="20"/>
      <c r="Q638" s="31"/>
      <c r="R638" s="20"/>
      <c r="S638" s="20"/>
      <c r="T638" s="20"/>
      <c r="U638" s="20"/>
      <c r="V638" s="20"/>
      <c r="W638" s="20"/>
      <c r="X638" s="20"/>
      <c r="Y638" s="20"/>
      <c r="Z638" s="20"/>
    </row>
    <row r="639" spans="1:26" ht="9.75" customHeight="1" x14ac:dyDescent="0.25">
      <c r="A639" s="20"/>
      <c r="B639" s="21"/>
      <c r="C639" s="20"/>
      <c r="D639" s="22"/>
      <c r="E639" s="20"/>
      <c r="F639" s="20"/>
      <c r="G639" s="20"/>
      <c r="H639" s="20"/>
      <c r="I639" s="22"/>
      <c r="J639" s="20"/>
      <c r="K639" s="20"/>
      <c r="L639" s="20"/>
      <c r="M639" s="20"/>
      <c r="N639" s="21"/>
      <c r="O639" s="31"/>
      <c r="P639" s="20"/>
      <c r="Q639" s="31"/>
      <c r="R639" s="20"/>
      <c r="S639" s="20"/>
      <c r="T639" s="20"/>
      <c r="U639" s="20"/>
      <c r="V639" s="20"/>
      <c r="W639" s="20"/>
      <c r="X639" s="20"/>
      <c r="Y639" s="20"/>
      <c r="Z639" s="20"/>
    </row>
    <row r="640" spans="1:26" ht="9.75" customHeight="1" x14ac:dyDescent="0.25">
      <c r="A640" s="20"/>
      <c r="B640" s="21"/>
      <c r="C640" s="20"/>
      <c r="D640" s="22"/>
      <c r="E640" s="20"/>
      <c r="F640" s="20"/>
      <c r="G640" s="20"/>
      <c r="H640" s="20"/>
      <c r="I640" s="22"/>
      <c r="J640" s="20"/>
      <c r="K640" s="20"/>
      <c r="L640" s="20"/>
      <c r="M640" s="20"/>
      <c r="N640" s="21"/>
      <c r="O640" s="31"/>
      <c r="P640" s="20"/>
      <c r="Q640" s="31"/>
      <c r="R640" s="20"/>
      <c r="S640" s="20"/>
      <c r="T640" s="20"/>
      <c r="U640" s="20"/>
      <c r="V640" s="20"/>
      <c r="W640" s="20"/>
      <c r="X640" s="20"/>
      <c r="Y640" s="20"/>
      <c r="Z640" s="20"/>
    </row>
    <row r="641" spans="1:26" ht="9.75" customHeight="1" x14ac:dyDescent="0.25">
      <c r="A641" s="20"/>
      <c r="B641" s="21"/>
      <c r="C641" s="20"/>
      <c r="D641" s="22"/>
      <c r="E641" s="20"/>
      <c r="F641" s="20"/>
      <c r="G641" s="20"/>
      <c r="H641" s="20"/>
      <c r="I641" s="22"/>
      <c r="J641" s="20"/>
      <c r="K641" s="20"/>
      <c r="L641" s="20"/>
      <c r="M641" s="20"/>
      <c r="N641" s="21"/>
      <c r="O641" s="31"/>
      <c r="P641" s="20"/>
      <c r="Q641" s="31"/>
      <c r="R641" s="20"/>
      <c r="S641" s="20"/>
      <c r="T641" s="20"/>
      <c r="U641" s="20"/>
      <c r="V641" s="20"/>
      <c r="W641" s="20"/>
      <c r="X641" s="20"/>
      <c r="Y641" s="20"/>
      <c r="Z641" s="20"/>
    </row>
    <row r="642" spans="1:26" ht="9.75" customHeight="1" x14ac:dyDescent="0.25">
      <c r="A642" s="20"/>
      <c r="B642" s="21"/>
      <c r="C642" s="20"/>
      <c r="D642" s="22"/>
      <c r="E642" s="20"/>
      <c r="F642" s="20"/>
      <c r="G642" s="20"/>
      <c r="H642" s="20"/>
      <c r="I642" s="22"/>
      <c r="J642" s="20"/>
      <c r="K642" s="20"/>
      <c r="L642" s="20"/>
      <c r="M642" s="20"/>
      <c r="N642" s="21"/>
      <c r="O642" s="31"/>
      <c r="P642" s="20"/>
      <c r="Q642" s="31"/>
      <c r="R642" s="20"/>
      <c r="S642" s="20"/>
      <c r="T642" s="20"/>
      <c r="U642" s="20"/>
      <c r="V642" s="20"/>
      <c r="W642" s="20"/>
      <c r="X642" s="20"/>
      <c r="Y642" s="20"/>
      <c r="Z642" s="20"/>
    </row>
    <row r="643" spans="1:26" ht="9.75" customHeight="1" x14ac:dyDescent="0.25">
      <c r="A643" s="20"/>
      <c r="B643" s="21"/>
      <c r="C643" s="20"/>
      <c r="D643" s="22"/>
      <c r="E643" s="20"/>
      <c r="F643" s="20"/>
      <c r="G643" s="20"/>
      <c r="H643" s="20"/>
      <c r="I643" s="22"/>
      <c r="J643" s="20"/>
      <c r="K643" s="20"/>
      <c r="L643" s="20"/>
      <c r="M643" s="20"/>
      <c r="N643" s="21"/>
      <c r="O643" s="31"/>
      <c r="P643" s="20"/>
      <c r="Q643" s="31"/>
      <c r="R643" s="20"/>
      <c r="S643" s="20"/>
      <c r="T643" s="20"/>
      <c r="U643" s="20"/>
      <c r="V643" s="20"/>
      <c r="W643" s="20"/>
      <c r="X643" s="20"/>
      <c r="Y643" s="20"/>
      <c r="Z643" s="20"/>
    </row>
    <row r="644" spans="1:26" ht="9.75" customHeight="1" x14ac:dyDescent="0.25">
      <c r="A644" s="20"/>
      <c r="B644" s="21"/>
      <c r="C644" s="20"/>
      <c r="D644" s="22"/>
      <c r="E644" s="20"/>
      <c r="F644" s="20"/>
      <c r="G644" s="20"/>
      <c r="H644" s="20"/>
      <c r="I644" s="22"/>
      <c r="J644" s="20"/>
      <c r="K644" s="20"/>
      <c r="L644" s="20"/>
      <c r="M644" s="20"/>
      <c r="N644" s="21"/>
      <c r="O644" s="31"/>
      <c r="P644" s="20"/>
      <c r="Q644" s="31"/>
      <c r="R644" s="20"/>
      <c r="S644" s="20"/>
      <c r="T644" s="20"/>
      <c r="U644" s="20"/>
      <c r="V644" s="20"/>
      <c r="W644" s="20"/>
      <c r="X644" s="20"/>
      <c r="Y644" s="20"/>
      <c r="Z644" s="20"/>
    </row>
    <row r="645" spans="1:26" ht="9.75" customHeight="1" x14ac:dyDescent="0.25">
      <c r="A645" s="20"/>
      <c r="B645" s="21"/>
      <c r="C645" s="20"/>
      <c r="D645" s="22"/>
      <c r="E645" s="20"/>
      <c r="F645" s="20"/>
      <c r="G645" s="20"/>
      <c r="H645" s="20"/>
      <c r="I645" s="22"/>
      <c r="J645" s="20"/>
      <c r="K645" s="20"/>
      <c r="L645" s="20"/>
      <c r="M645" s="20"/>
      <c r="N645" s="21"/>
      <c r="O645" s="31"/>
      <c r="P645" s="20"/>
      <c r="Q645" s="31"/>
      <c r="R645" s="20"/>
      <c r="S645" s="20"/>
      <c r="T645" s="20"/>
      <c r="U645" s="20"/>
      <c r="V645" s="20"/>
      <c r="W645" s="20"/>
      <c r="X645" s="20"/>
      <c r="Y645" s="20"/>
      <c r="Z645" s="20"/>
    </row>
    <row r="646" spans="1:26" ht="9.75" customHeight="1" x14ac:dyDescent="0.25">
      <c r="A646" s="20"/>
      <c r="B646" s="21"/>
      <c r="C646" s="20"/>
      <c r="D646" s="22"/>
      <c r="E646" s="20"/>
      <c r="F646" s="20"/>
      <c r="G646" s="20"/>
      <c r="H646" s="20"/>
      <c r="I646" s="22"/>
      <c r="J646" s="20"/>
      <c r="K646" s="20"/>
      <c r="L646" s="20"/>
      <c r="M646" s="20"/>
      <c r="N646" s="21"/>
      <c r="O646" s="31"/>
      <c r="P646" s="20"/>
      <c r="Q646" s="31"/>
      <c r="R646" s="20"/>
      <c r="S646" s="20"/>
      <c r="T646" s="20"/>
      <c r="U646" s="20"/>
      <c r="V646" s="20"/>
      <c r="W646" s="20"/>
      <c r="X646" s="20"/>
      <c r="Y646" s="20"/>
      <c r="Z646" s="20"/>
    </row>
    <row r="647" spans="1:26" ht="9.75" customHeight="1" x14ac:dyDescent="0.25">
      <c r="A647" s="20"/>
      <c r="B647" s="21"/>
      <c r="C647" s="20"/>
      <c r="D647" s="22"/>
      <c r="E647" s="20"/>
      <c r="F647" s="20"/>
      <c r="G647" s="20"/>
      <c r="H647" s="20"/>
      <c r="I647" s="22"/>
      <c r="J647" s="20"/>
      <c r="K647" s="20"/>
      <c r="L647" s="20"/>
      <c r="M647" s="20"/>
      <c r="N647" s="21"/>
      <c r="O647" s="31"/>
      <c r="P647" s="20"/>
      <c r="Q647" s="31"/>
      <c r="R647" s="20"/>
      <c r="S647" s="20"/>
      <c r="T647" s="20"/>
      <c r="U647" s="20"/>
      <c r="V647" s="20"/>
      <c r="W647" s="20"/>
      <c r="X647" s="20"/>
      <c r="Y647" s="20"/>
      <c r="Z647" s="20"/>
    </row>
    <row r="648" spans="1:26" ht="9.75" customHeight="1" x14ac:dyDescent="0.25">
      <c r="A648" s="20"/>
      <c r="B648" s="21"/>
      <c r="C648" s="20"/>
      <c r="D648" s="22"/>
      <c r="E648" s="20"/>
      <c r="F648" s="20"/>
      <c r="G648" s="20"/>
      <c r="H648" s="20"/>
      <c r="I648" s="22"/>
      <c r="J648" s="20"/>
      <c r="K648" s="20"/>
      <c r="L648" s="20"/>
      <c r="M648" s="20"/>
      <c r="N648" s="21"/>
      <c r="O648" s="31"/>
      <c r="P648" s="20"/>
      <c r="Q648" s="31"/>
      <c r="R648" s="20"/>
      <c r="S648" s="20"/>
      <c r="T648" s="20"/>
      <c r="U648" s="20"/>
      <c r="V648" s="20"/>
      <c r="W648" s="20"/>
      <c r="X648" s="20"/>
      <c r="Y648" s="20"/>
      <c r="Z648" s="20"/>
    </row>
    <row r="649" spans="1:26" ht="9.75" customHeight="1" x14ac:dyDescent="0.25">
      <c r="A649" s="20"/>
      <c r="B649" s="21"/>
      <c r="C649" s="20"/>
      <c r="D649" s="22"/>
      <c r="E649" s="20"/>
      <c r="F649" s="20"/>
      <c r="G649" s="20"/>
      <c r="H649" s="20"/>
      <c r="I649" s="22"/>
      <c r="J649" s="20"/>
      <c r="K649" s="20"/>
      <c r="L649" s="20"/>
      <c r="M649" s="20"/>
      <c r="N649" s="21"/>
      <c r="O649" s="31"/>
      <c r="P649" s="20"/>
      <c r="Q649" s="31"/>
      <c r="R649" s="20"/>
      <c r="S649" s="20"/>
      <c r="T649" s="20"/>
      <c r="U649" s="20"/>
      <c r="V649" s="20"/>
      <c r="W649" s="20"/>
      <c r="X649" s="20"/>
      <c r="Y649" s="20"/>
      <c r="Z649" s="20"/>
    </row>
    <row r="650" spans="1:26" ht="9.75" customHeight="1" x14ac:dyDescent="0.25">
      <c r="A650" s="20"/>
      <c r="B650" s="21"/>
      <c r="C650" s="20"/>
      <c r="D650" s="22"/>
      <c r="E650" s="20"/>
      <c r="F650" s="20"/>
      <c r="G650" s="20"/>
      <c r="H650" s="20"/>
      <c r="I650" s="22"/>
      <c r="J650" s="20"/>
      <c r="K650" s="20"/>
      <c r="L650" s="20"/>
      <c r="M650" s="20"/>
      <c r="N650" s="21"/>
      <c r="O650" s="31"/>
      <c r="P650" s="20"/>
      <c r="Q650" s="31"/>
      <c r="R650" s="20"/>
      <c r="S650" s="20"/>
      <c r="T650" s="20"/>
      <c r="U650" s="20"/>
      <c r="V650" s="20"/>
      <c r="W650" s="20"/>
      <c r="X650" s="20"/>
      <c r="Y650" s="20"/>
      <c r="Z650" s="20"/>
    </row>
    <row r="651" spans="1:26" ht="9.75" customHeight="1" x14ac:dyDescent="0.25">
      <c r="A651" s="20"/>
      <c r="B651" s="21"/>
      <c r="C651" s="20"/>
      <c r="D651" s="22"/>
      <c r="E651" s="20"/>
      <c r="F651" s="20"/>
      <c r="G651" s="20"/>
      <c r="H651" s="20"/>
      <c r="I651" s="22"/>
      <c r="J651" s="20"/>
      <c r="K651" s="20"/>
      <c r="L651" s="20"/>
      <c r="M651" s="20"/>
      <c r="N651" s="21"/>
      <c r="O651" s="31"/>
      <c r="P651" s="20"/>
      <c r="Q651" s="31"/>
      <c r="R651" s="20"/>
      <c r="S651" s="20"/>
      <c r="T651" s="20"/>
      <c r="U651" s="20"/>
      <c r="V651" s="20"/>
      <c r="W651" s="20"/>
      <c r="X651" s="20"/>
      <c r="Y651" s="20"/>
      <c r="Z651" s="20"/>
    </row>
    <row r="652" spans="1:26" ht="9.75" customHeight="1" x14ac:dyDescent="0.25">
      <c r="A652" s="20"/>
      <c r="B652" s="21"/>
      <c r="C652" s="20"/>
      <c r="D652" s="22"/>
      <c r="E652" s="20"/>
      <c r="F652" s="20"/>
      <c r="G652" s="20"/>
      <c r="H652" s="20"/>
      <c r="I652" s="22"/>
      <c r="J652" s="20"/>
      <c r="K652" s="20"/>
      <c r="L652" s="20"/>
      <c r="M652" s="20"/>
      <c r="N652" s="21"/>
      <c r="O652" s="31"/>
      <c r="P652" s="20"/>
      <c r="Q652" s="31"/>
      <c r="R652" s="20"/>
      <c r="S652" s="20"/>
      <c r="T652" s="20"/>
      <c r="U652" s="20"/>
      <c r="V652" s="20"/>
      <c r="W652" s="20"/>
      <c r="X652" s="20"/>
      <c r="Y652" s="20"/>
      <c r="Z652" s="20"/>
    </row>
    <row r="653" spans="1:26" ht="9.75" customHeight="1" x14ac:dyDescent="0.25">
      <c r="A653" s="20"/>
      <c r="B653" s="21"/>
      <c r="C653" s="20"/>
      <c r="D653" s="22"/>
      <c r="E653" s="20"/>
      <c r="F653" s="20"/>
      <c r="G653" s="20"/>
      <c r="H653" s="20"/>
      <c r="I653" s="22"/>
      <c r="J653" s="20"/>
      <c r="K653" s="20"/>
      <c r="L653" s="20"/>
      <c r="M653" s="20"/>
      <c r="N653" s="21"/>
      <c r="O653" s="31"/>
      <c r="P653" s="20"/>
      <c r="Q653" s="31"/>
      <c r="R653" s="20"/>
      <c r="S653" s="20"/>
      <c r="T653" s="20"/>
      <c r="U653" s="20"/>
      <c r="V653" s="20"/>
      <c r="W653" s="20"/>
      <c r="X653" s="20"/>
      <c r="Y653" s="20"/>
      <c r="Z653" s="20"/>
    </row>
    <row r="654" spans="1:26" ht="9.75" customHeight="1" x14ac:dyDescent="0.25">
      <c r="A654" s="20"/>
      <c r="B654" s="21"/>
      <c r="C654" s="20"/>
      <c r="D654" s="22"/>
      <c r="E654" s="20"/>
      <c r="F654" s="20"/>
      <c r="G654" s="20"/>
      <c r="H654" s="20"/>
      <c r="I654" s="22"/>
      <c r="J654" s="20"/>
      <c r="K654" s="20"/>
      <c r="L654" s="20"/>
      <c r="M654" s="20"/>
      <c r="N654" s="21"/>
      <c r="O654" s="31"/>
      <c r="P654" s="20"/>
      <c r="Q654" s="31"/>
      <c r="R654" s="20"/>
      <c r="S654" s="20"/>
      <c r="T654" s="20"/>
      <c r="U654" s="20"/>
      <c r="V654" s="20"/>
      <c r="W654" s="20"/>
      <c r="X654" s="20"/>
      <c r="Y654" s="20"/>
      <c r="Z654" s="20"/>
    </row>
    <row r="655" spans="1:26" ht="9.75" customHeight="1" x14ac:dyDescent="0.25">
      <c r="A655" s="20"/>
      <c r="B655" s="21"/>
      <c r="C655" s="20"/>
      <c r="D655" s="22"/>
      <c r="E655" s="20"/>
      <c r="F655" s="20"/>
      <c r="G655" s="20"/>
      <c r="H655" s="20"/>
      <c r="I655" s="22"/>
      <c r="J655" s="20"/>
      <c r="K655" s="20"/>
      <c r="L655" s="20"/>
      <c r="M655" s="20"/>
      <c r="N655" s="21"/>
      <c r="O655" s="31"/>
      <c r="P655" s="20"/>
      <c r="Q655" s="31"/>
      <c r="R655" s="20"/>
      <c r="S655" s="20"/>
      <c r="T655" s="20"/>
      <c r="U655" s="20"/>
      <c r="V655" s="20"/>
      <c r="W655" s="20"/>
      <c r="X655" s="20"/>
      <c r="Y655" s="20"/>
      <c r="Z655" s="20"/>
    </row>
    <row r="656" spans="1:26" ht="9.75" customHeight="1" x14ac:dyDescent="0.25">
      <c r="A656" s="20"/>
      <c r="B656" s="21"/>
      <c r="C656" s="20"/>
      <c r="D656" s="22"/>
      <c r="E656" s="20"/>
      <c r="F656" s="20"/>
      <c r="G656" s="20"/>
      <c r="H656" s="20"/>
      <c r="I656" s="22"/>
      <c r="J656" s="20"/>
      <c r="K656" s="20"/>
      <c r="L656" s="20"/>
      <c r="M656" s="20"/>
      <c r="N656" s="21"/>
      <c r="O656" s="31"/>
      <c r="P656" s="20"/>
      <c r="Q656" s="31"/>
      <c r="R656" s="20"/>
      <c r="S656" s="20"/>
      <c r="T656" s="20"/>
      <c r="U656" s="20"/>
      <c r="V656" s="20"/>
      <c r="W656" s="20"/>
      <c r="X656" s="20"/>
      <c r="Y656" s="20"/>
      <c r="Z656" s="20"/>
    </row>
    <row r="657" spans="1:26" ht="9.75" customHeight="1" x14ac:dyDescent="0.25">
      <c r="A657" s="20"/>
      <c r="B657" s="21"/>
      <c r="C657" s="20"/>
      <c r="D657" s="22"/>
      <c r="E657" s="20"/>
      <c r="F657" s="20"/>
      <c r="G657" s="20"/>
      <c r="H657" s="20"/>
      <c r="I657" s="22"/>
      <c r="J657" s="20"/>
      <c r="K657" s="20"/>
      <c r="L657" s="20"/>
      <c r="M657" s="20"/>
      <c r="N657" s="21"/>
      <c r="O657" s="31"/>
      <c r="P657" s="20"/>
      <c r="Q657" s="31"/>
      <c r="R657" s="20"/>
      <c r="S657" s="20"/>
      <c r="T657" s="20"/>
      <c r="U657" s="20"/>
      <c r="V657" s="20"/>
      <c r="W657" s="20"/>
      <c r="X657" s="20"/>
      <c r="Y657" s="20"/>
      <c r="Z657" s="20"/>
    </row>
    <row r="658" spans="1:26" ht="9.75" customHeight="1" x14ac:dyDescent="0.25">
      <c r="A658" s="20"/>
      <c r="B658" s="21"/>
      <c r="C658" s="20"/>
      <c r="D658" s="22"/>
      <c r="E658" s="20"/>
      <c r="F658" s="20"/>
      <c r="G658" s="20"/>
      <c r="H658" s="20"/>
      <c r="I658" s="22"/>
      <c r="J658" s="20"/>
      <c r="K658" s="20"/>
      <c r="L658" s="20"/>
      <c r="M658" s="20"/>
      <c r="N658" s="21"/>
      <c r="O658" s="31"/>
      <c r="P658" s="20"/>
      <c r="Q658" s="31"/>
      <c r="R658" s="20"/>
      <c r="S658" s="20"/>
      <c r="T658" s="20"/>
      <c r="U658" s="20"/>
      <c r="V658" s="20"/>
      <c r="W658" s="20"/>
      <c r="X658" s="20"/>
      <c r="Y658" s="20"/>
      <c r="Z658" s="20"/>
    </row>
    <row r="659" spans="1:26" ht="9.75" customHeight="1" x14ac:dyDescent="0.25">
      <c r="A659" s="20"/>
      <c r="B659" s="21"/>
      <c r="C659" s="20"/>
      <c r="D659" s="22"/>
      <c r="E659" s="20"/>
      <c r="F659" s="20"/>
      <c r="G659" s="20"/>
      <c r="H659" s="20"/>
      <c r="I659" s="22"/>
      <c r="J659" s="20"/>
      <c r="K659" s="20"/>
      <c r="L659" s="20"/>
      <c r="M659" s="20"/>
      <c r="N659" s="21"/>
      <c r="O659" s="31"/>
      <c r="P659" s="20"/>
      <c r="Q659" s="31"/>
      <c r="R659" s="20"/>
      <c r="S659" s="20"/>
      <c r="T659" s="20"/>
      <c r="U659" s="20"/>
      <c r="V659" s="20"/>
      <c r="W659" s="20"/>
      <c r="X659" s="20"/>
      <c r="Y659" s="20"/>
      <c r="Z659" s="20"/>
    </row>
    <row r="660" spans="1:26" ht="9.75" customHeight="1" x14ac:dyDescent="0.25">
      <c r="A660" s="20"/>
      <c r="B660" s="21"/>
      <c r="C660" s="20"/>
      <c r="D660" s="22"/>
      <c r="E660" s="20"/>
      <c r="F660" s="20"/>
      <c r="G660" s="20"/>
      <c r="H660" s="20"/>
      <c r="I660" s="22"/>
      <c r="J660" s="20"/>
      <c r="K660" s="20"/>
      <c r="L660" s="20"/>
      <c r="M660" s="20"/>
      <c r="N660" s="21"/>
      <c r="O660" s="31"/>
      <c r="P660" s="20"/>
      <c r="Q660" s="31"/>
      <c r="R660" s="20"/>
      <c r="S660" s="20"/>
      <c r="T660" s="20"/>
      <c r="U660" s="20"/>
      <c r="V660" s="20"/>
      <c r="W660" s="20"/>
      <c r="X660" s="20"/>
      <c r="Y660" s="20"/>
      <c r="Z660" s="20"/>
    </row>
    <row r="661" spans="1:26" ht="9.75" customHeight="1" x14ac:dyDescent="0.25">
      <c r="A661" s="20"/>
      <c r="B661" s="21"/>
      <c r="C661" s="20"/>
      <c r="D661" s="22"/>
      <c r="E661" s="20"/>
      <c r="F661" s="20"/>
      <c r="G661" s="20"/>
      <c r="H661" s="20"/>
      <c r="I661" s="22"/>
      <c r="J661" s="20"/>
      <c r="K661" s="20"/>
      <c r="L661" s="20"/>
      <c r="M661" s="20"/>
      <c r="N661" s="21"/>
      <c r="O661" s="31"/>
      <c r="P661" s="20"/>
      <c r="Q661" s="31"/>
      <c r="R661" s="20"/>
      <c r="S661" s="20"/>
      <c r="T661" s="20"/>
      <c r="U661" s="20"/>
      <c r="V661" s="20"/>
      <c r="W661" s="20"/>
      <c r="X661" s="20"/>
      <c r="Y661" s="20"/>
      <c r="Z661" s="20"/>
    </row>
    <row r="662" spans="1:26" ht="9.75" customHeight="1" x14ac:dyDescent="0.25">
      <c r="A662" s="20"/>
      <c r="B662" s="21"/>
      <c r="C662" s="20"/>
      <c r="D662" s="22"/>
      <c r="E662" s="20"/>
      <c r="F662" s="20"/>
      <c r="G662" s="20"/>
      <c r="H662" s="20"/>
      <c r="I662" s="22"/>
      <c r="J662" s="20"/>
      <c r="K662" s="20"/>
      <c r="L662" s="20"/>
      <c r="M662" s="20"/>
      <c r="N662" s="21"/>
      <c r="O662" s="31"/>
      <c r="P662" s="20"/>
      <c r="Q662" s="31"/>
      <c r="R662" s="20"/>
      <c r="S662" s="20"/>
      <c r="T662" s="20"/>
      <c r="U662" s="20"/>
      <c r="V662" s="20"/>
      <c r="W662" s="20"/>
      <c r="X662" s="20"/>
      <c r="Y662" s="20"/>
      <c r="Z662" s="20"/>
    </row>
    <row r="663" spans="1:26" ht="9.75" customHeight="1" x14ac:dyDescent="0.25">
      <c r="A663" s="20"/>
      <c r="B663" s="21"/>
      <c r="C663" s="20"/>
      <c r="D663" s="22"/>
      <c r="E663" s="20"/>
      <c r="F663" s="20"/>
      <c r="G663" s="20"/>
      <c r="H663" s="20"/>
      <c r="I663" s="22"/>
      <c r="J663" s="20"/>
      <c r="K663" s="20"/>
      <c r="L663" s="20"/>
      <c r="M663" s="20"/>
      <c r="N663" s="21"/>
      <c r="O663" s="31"/>
      <c r="P663" s="20"/>
      <c r="Q663" s="31"/>
      <c r="R663" s="20"/>
      <c r="S663" s="20"/>
      <c r="T663" s="20"/>
      <c r="U663" s="20"/>
      <c r="V663" s="20"/>
      <c r="W663" s="20"/>
      <c r="X663" s="20"/>
      <c r="Y663" s="20"/>
      <c r="Z663" s="20"/>
    </row>
    <row r="664" spans="1:26" ht="9.75" customHeight="1" x14ac:dyDescent="0.25">
      <c r="A664" s="20"/>
      <c r="B664" s="21"/>
      <c r="C664" s="20"/>
      <c r="D664" s="22"/>
      <c r="E664" s="20"/>
      <c r="F664" s="20"/>
      <c r="G664" s="20"/>
      <c r="H664" s="20"/>
      <c r="I664" s="22"/>
      <c r="J664" s="20"/>
      <c r="K664" s="20"/>
      <c r="L664" s="20"/>
      <c r="M664" s="20"/>
      <c r="N664" s="21"/>
      <c r="O664" s="31"/>
      <c r="P664" s="20"/>
      <c r="Q664" s="31"/>
      <c r="R664" s="20"/>
      <c r="S664" s="20"/>
      <c r="T664" s="20"/>
      <c r="U664" s="20"/>
      <c r="V664" s="20"/>
      <c r="W664" s="20"/>
      <c r="X664" s="20"/>
      <c r="Y664" s="20"/>
      <c r="Z664" s="20"/>
    </row>
    <row r="665" spans="1:26" ht="9.75" customHeight="1" x14ac:dyDescent="0.25">
      <c r="A665" s="20"/>
      <c r="B665" s="21"/>
      <c r="C665" s="20"/>
      <c r="D665" s="22"/>
      <c r="E665" s="20"/>
      <c r="F665" s="20"/>
      <c r="G665" s="20"/>
      <c r="H665" s="20"/>
      <c r="I665" s="22"/>
      <c r="J665" s="20"/>
      <c r="K665" s="20"/>
      <c r="L665" s="20"/>
      <c r="M665" s="20"/>
      <c r="N665" s="21"/>
      <c r="O665" s="31"/>
      <c r="P665" s="20"/>
      <c r="Q665" s="31"/>
      <c r="R665" s="20"/>
      <c r="S665" s="20"/>
      <c r="T665" s="20"/>
      <c r="U665" s="20"/>
      <c r="V665" s="20"/>
      <c r="W665" s="20"/>
      <c r="X665" s="20"/>
      <c r="Y665" s="20"/>
      <c r="Z665" s="20"/>
    </row>
    <row r="666" spans="1:26" ht="9.75" customHeight="1" x14ac:dyDescent="0.25">
      <c r="A666" s="20"/>
      <c r="B666" s="21"/>
      <c r="C666" s="20"/>
      <c r="D666" s="22"/>
      <c r="E666" s="20"/>
      <c r="F666" s="20"/>
      <c r="G666" s="20"/>
      <c r="H666" s="20"/>
      <c r="I666" s="22"/>
      <c r="J666" s="20"/>
      <c r="K666" s="20"/>
      <c r="L666" s="20"/>
      <c r="M666" s="20"/>
      <c r="N666" s="21"/>
      <c r="O666" s="31"/>
      <c r="P666" s="20"/>
      <c r="Q666" s="31"/>
      <c r="R666" s="20"/>
      <c r="S666" s="20"/>
      <c r="T666" s="20"/>
      <c r="U666" s="20"/>
      <c r="V666" s="20"/>
      <c r="W666" s="20"/>
      <c r="X666" s="20"/>
      <c r="Y666" s="20"/>
      <c r="Z666" s="20"/>
    </row>
    <row r="667" spans="1:26" ht="9.75" customHeight="1" x14ac:dyDescent="0.25">
      <c r="A667" s="20"/>
      <c r="B667" s="21"/>
      <c r="C667" s="20"/>
      <c r="D667" s="22"/>
      <c r="E667" s="20"/>
      <c r="F667" s="20"/>
      <c r="G667" s="20"/>
      <c r="H667" s="20"/>
      <c r="I667" s="22"/>
      <c r="J667" s="20"/>
      <c r="K667" s="20"/>
      <c r="L667" s="20"/>
      <c r="M667" s="20"/>
      <c r="N667" s="21"/>
      <c r="O667" s="31"/>
      <c r="P667" s="20"/>
      <c r="Q667" s="31"/>
      <c r="R667" s="20"/>
      <c r="S667" s="20"/>
      <c r="T667" s="20"/>
      <c r="U667" s="20"/>
      <c r="V667" s="20"/>
      <c r="W667" s="20"/>
      <c r="X667" s="20"/>
      <c r="Y667" s="20"/>
      <c r="Z667" s="20"/>
    </row>
    <row r="668" spans="1:26" ht="9.75" customHeight="1" x14ac:dyDescent="0.25">
      <c r="A668" s="20"/>
      <c r="B668" s="21"/>
      <c r="C668" s="20"/>
      <c r="D668" s="22"/>
      <c r="E668" s="20"/>
      <c r="F668" s="20"/>
      <c r="G668" s="20"/>
      <c r="H668" s="20"/>
      <c r="I668" s="22"/>
      <c r="J668" s="20"/>
      <c r="K668" s="20"/>
      <c r="L668" s="20"/>
      <c r="M668" s="20"/>
      <c r="N668" s="21"/>
      <c r="O668" s="31"/>
      <c r="P668" s="20"/>
      <c r="Q668" s="31"/>
      <c r="R668" s="20"/>
      <c r="S668" s="20"/>
      <c r="T668" s="20"/>
      <c r="U668" s="20"/>
      <c r="V668" s="20"/>
      <c r="W668" s="20"/>
      <c r="X668" s="20"/>
      <c r="Y668" s="20"/>
      <c r="Z668" s="20"/>
    </row>
    <row r="669" spans="1:26" ht="9.75" customHeight="1" x14ac:dyDescent="0.25">
      <c r="A669" s="20"/>
      <c r="B669" s="21"/>
      <c r="C669" s="20"/>
      <c r="D669" s="22"/>
      <c r="E669" s="20"/>
      <c r="F669" s="20"/>
      <c r="G669" s="20"/>
      <c r="H669" s="20"/>
      <c r="I669" s="22"/>
      <c r="J669" s="20"/>
      <c r="K669" s="20"/>
      <c r="L669" s="20"/>
      <c r="M669" s="20"/>
      <c r="N669" s="21"/>
      <c r="O669" s="31"/>
      <c r="P669" s="20"/>
      <c r="Q669" s="31"/>
      <c r="R669" s="20"/>
      <c r="S669" s="20"/>
      <c r="T669" s="20"/>
      <c r="U669" s="20"/>
      <c r="V669" s="20"/>
      <c r="W669" s="20"/>
      <c r="X669" s="20"/>
      <c r="Y669" s="20"/>
      <c r="Z669" s="20"/>
    </row>
    <row r="670" spans="1:26" ht="9.75" customHeight="1" x14ac:dyDescent="0.25">
      <c r="A670" s="20"/>
      <c r="B670" s="21"/>
      <c r="C670" s="20"/>
      <c r="D670" s="22"/>
      <c r="E670" s="20"/>
      <c r="F670" s="20"/>
      <c r="G670" s="20"/>
      <c r="H670" s="20"/>
      <c r="I670" s="22"/>
      <c r="J670" s="20"/>
      <c r="K670" s="20"/>
      <c r="L670" s="20"/>
      <c r="M670" s="20"/>
      <c r="N670" s="21"/>
      <c r="O670" s="31"/>
      <c r="P670" s="20"/>
      <c r="Q670" s="31"/>
      <c r="R670" s="20"/>
      <c r="S670" s="20"/>
      <c r="T670" s="20"/>
      <c r="U670" s="20"/>
      <c r="V670" s="20"/>
      <c r="W670" s="20"/>
      <c r="X670" s="20"/>
      <c r="Y670" s="20"/>
      <c r="Z670" s="20"/>
    </row>
    <row r="671" spans="1:26" ht="9.75" customHeight="1" x14ac:dyDescent="0.25">
      <c r="A671" s="20"/>
      <c r="B671" s="21"/>
      <c r="C671" s="20"/>
      <c r="D671" s="22"/>
      <c r="E671" s="20"/>
      <c r="F671" s="20"/>
      <c r="G671" s="20"/>
      <c r="H671" s="20"/>
      <c r="I671" s="22"/>
      <c r="J671" s="20"/>
      <c r="K671" s="20"/>
      <c r="L671" s="20"/>
      <c r="M671" s="20"/>
      <c r="N671" s="21"/>
      <c r="O671" s="31"/>
      <c r="P671" s="20"/>
      <c r="Q671" s="31"/>
      <c r="R671" s="20"/>
      <c r="S671" s="20"/>
      <c r="T671" s="20"/>
      <c r="U671" s="20"/>
      <c r="V671" s="20"/>
      <c r="W671" s="20"/>
      <c r="X671" s="20"/>
      <c r="Y671" s="20"/>
      <c r="Z671" s="20"/>
    </row>
    <row r="672" spans="1:26" ht="9.75" customHeight="1" x14ac:dyDescent="0.25">
      <c r="A672" s="20"/>
      <c r="B672" s="21"/>
      <c r="C672" s="20"/>
      <c r="D672" s="22"/>
      <c r="E672" s="20"/>
      <c r="F672" s="20"/>
      <c r="G672" s="20"/>
      <c r="H672" s="20"/>
      <c r="I672" s="22"/>
      <c r="J672" s="20"/>
      <c r="K672" s="20"/>
      <c r="L672" s="20"/>
      <c r="M672" s="20"/>
      <c r="N672" s="21"/>
      <c r="O672" s="31"/>
      <c r="P672" s="20"/>
      <c r="Q672" s="31"/>
      <c r="R672" s="20"/>
      <c r="S672" s="20"/>
      <c r="T672" s="20"/>
      <c r="U672" s="20"/>
      <c r="V672" s="20"/>
      <c r="W672" s="20"/>
      <c r="X672" s="20"/>
      <c r="Y672" s="20"/>
      <c r="Z672" s="20"/>
    </row>
    <row r="673" spans="1:26" ht="9.75" customHeight="1" x14ac:dyDescent="0.25">
      <c r="A673" s="20"/>
      <c r="B673" s="21"/>
      <c r="C673" s="20"/>
      <c r="D673" s="22"/>
      <c r="E673" s="20"/>
      <c r="F673" s="20"/>
      <c r="G673" s="20"/>
      <c r="H673" s="20"/>
      <c r="I673" s="22"/>
      <c r="J673" s="20"/>
      <c r="K673" s="20"/>
      <c r="L673" s="20"/>
      <c r="M673" s="20"/>
      <c r="N673" s="21"/>
      <c r="O673" s="31"/>
      <c r="P673" s="20"/>
      <c r="Q673" s="31"/>
      <c r="R673" s="20"/>
      <c r="S673" s="20"/>
      <c r="T673" s="20"/>
      <c r="U673" s="20"/>
      <c r="V673" s="20"/>
      <c r="W673" s="20"/>
      <c r="X673" s="20"/>
      <c r="Y673" s="20"/>
      <c r="Z673" s="20"/>
    </row>
    <row r="674" spans="1:26" ht="9.75" customHeight="1" x14ac:dyDescent="0.25">
      <c r="A674" s="20"/>
      <c r="B674" s="21"/>
      <c r="C674" s="20"/>
      <c r="D674" s="22"/>
      <c r="E674" s="20"/>
      <c r="F674" s="20"/>
      <c r="G674" s="20"/>
      <c r="H674" s="20"/>
      <c r="I674" s="22"/>
      <c r="J674" s="20"/>
      <c r="K674" s="20"/>
      <c r="L674" s="20"/>
      <c r="M674" s="20"/>
      <c r="N674" s="21"/>
      <c r="O674" s="31"/>
      <c r="P674" s="20"/>
      <c r="Q674" s="31"/>
      <c r="R674" s="20"/>
      <c r="S674" s="20"/>
      <c r="T674" s="20"/>
      <c r="U674" s="20"/>
      <c r="V674" s="20"/>
      <c r="W674" s="20"/>
      <c r="X674" s="20"/>
      <c r="Y674" s="20"/>
      <c r="Z674" s="20"/>
    </row>
    <row r="675" spans="1:26" ht="9.75" customHeight="1" x14ac:dyDescent="0.25">
      <c r="A675" s="20"/>
      <c r="B675" s="21"/>
      <c r="C675" s="20"/>
      <c r="D675" s="22"/>
      <c r="E675" s="20"/>
      <c r="F675" s="20"/>
      <c r="G675" s="20"/>
      <c r="H675" s="20"/>
      <c r="I675" s="22"/>
      <c r="J675" s="20"/>
      <c r="K675" s="20"/>
      <c r="L675" s="20"/>
      <c r="M675" s="20"/>
      <c r="N675" s="21"/>
      <c r="O675" s="31"/>
      <c r="P675" s="20"/>
      <c r="Q675" s="31"/>
      <c r="R675" s="20"/>
      <c r="S675" s="20"/>
      <c r="T675" s="20"/>
      <c r="U675" s="20"/>
      <c r="V675" s="20"/>
      <c r="W675" s="20"/>
      <c r="X675" s="20"/>
      <c r="Y675" s="20"/>
      <c r="Z675" s="20"/>
    </row>
    <row r="676" spans="1:26" ht="9.75" customHeight="1" x14ac:dyDescent="0.25">
      <c r="A676" s="20"/>
      <c r="B676" s="21"/>
      <c r="C676" s="20"/>
      <c r="D676" s="22"/>
      <c r="E676" s="20"/>
      <c r="F676" s="20"/>
      <c r="G676" s="20"/>
      <c r="H676" s="20"/>
      <c r="I676" s="22"/>
      <c r="J676" s="20"/>
      <c r="K676" s="20"/>
      <c r="L676" s="20"/>
      <c r="M676" s="20"/>
      <c r="N676" s="21"/>
      <c r="O676" s="31"/>
      <c r="P676" s="20"/>
      <c r="Q676" s="31"/>
      <c r="R676" s="20"/>
      <c r="S676" s="20"/>
      <c r="T676" s="20"/>
      <c r="U676" s="20"/>
      <c r="V676" s="20"/>
      <c r="W676" s="20"/>
      <c r="X676" s="20"/>
      <c r="Y676" s="20"/>
      <c r="Z676" s="20"/>
    </row>
    <row r="677" spans="1:26" ht="9.75" customHeight="1" x14ac:dyDescent="0.25">
      <c r="A677" s="20"/>
      <c r="B677" s="21"/>
      <c r="C677" s="20"/>
      <c r="D677" s="22"/>
      <c r="E677" s="20"/>
      <c r="F677" s="20"/>
      <c r="G677" s="20"/>
      <c r="H677" s="20"/>
      <c r="I677" s="22"/>
      <c r="J677" s="20"/>
      <c r="K677" s="20"/>
      <c r="L677" s="20"/>
      <c r="M677" s="20"/>
      <c r="N677" s="21"/>
      <c r="O677" s="31"/>
      <c r="P677" s="20"/>
      <c r="Q677" s="31"/>
      <c r="R677" s="20"/>
      <c r="S677" s="20"/>
      <c r="T677" s="20"/>
      <c r="U677" s="20"/>
      <c r="V677" s="20"/>
      <c r="W677" s="20"/>
      <c r="X677" s="20"/>
      <c r="Y677" s="20"/>
      <c r="Z677" s="20"/>
    </row>
    <row r="678" spans="1:26" ht="9.75" customHeight="1" x14ac:dyDescent="0.25">
      <c r="A678" s="20"/>
      <c r="B678" s="21"/>
      <c r="C678" s="20"/>
      <c r="D678" s="22"/>
      <c r="E678" s="20"/>
      <c r="F678" s="20"/>
      <c r="G678" s="20"/>
      <c r="H678" s="20"/>
      <c r="I678" s="22"/>
      <c r="J678" s="20"/>
      <c r="K678" s="20"/>
      <c r="L678" s="20"/>
      <c r="M678" s="20"/>
      <c r="N678" s="21"/>
      <c r="O678" s="31"/>
      <c r="P678" s="20"/>
      <c r="Q678" s="31"/>
      <c r="R678" s="20"/>
      <c r="S678" s="20"/>
      <c r="T678" s="20"/>
      <c r="U678" s="20"/>
      <c r="V678" s="20"/>
      <c r="W678" s="20"/>
      <c r="X678" s="20"/>
      <c r="Y678" s="20"/>
      <c r="Z678" s="20"/>
    </row>
    <row r="679" spans="1:26" ht="9.75" customHeight="1" x14ac:dyDescent="0.25">
      <c r="A679" s="20"/>
      <c r="B679" s="21"/>
      <c r="C679" s="20"/>
      <c r="D679" s="22"/>
      <c r="E679" s="20"/>
      <c r="F679" s="20"/>
      <c r="G679" s="20"/>
      <c r="H679" s="20"/>
      <c r="I679" s="22"/>
      <c r="J679" s="20"/>
      <c r="K679" s="20"/>
      <c r="L679" s="20"/>
      <c r="M679" s="20"/>
      <c r="N679" s="21"/>
      <c r="O679" s="31"/>
      <c r="P679" s="20"/>
      <c r="Q679" s="31"/>
      <c r="R679" s="20"/>
      <c r="S679" s="20"/>
      <c r="T679" s="20"/>
      <c r="U679" s="20"/>
      <c r="V679" s="20"/>
      <c r="W679" s="20"/>
      <c r="X679" s="20"/>
      <c r="Y679" s="20"/>
      <c r="Z679" s="20"/>
    </row>
    <row r="680" spans="1:26" ht="9.75" customHeight="1" x14ac:dyDescent="0.25">
      <c r="A680" s="20"/>
      <c r="B680" s="21"/>
      <c r="C680" s="20"/>
      <c r="D680" s="22"/>
      <c r="E680" s="20"/>
      <c r="F680" s="20"/>
      <c r="G680" s="20"/>
      <c r="H680" s="20"/>
      <c r="I680" s="22"/>
      <c r="J680" s="20"/>
      <c r="K680" s="20"/>
      <c r="L680" s="20"/>
      <c r="M680" s="20"/>
      <c r="N680" s="21"/>
      <c r="O680" s="31"/>
      <c r="P680" s="20"/>
      <c r="Q680" s="31"/>
      <c r="R680" s="20"/>
      <c r="S680" s="20"/>
      <c r="T680" s="20"/>
      <c r="U680" s="20"/>
      <c r="V680" s="20"/>
      <c r="W680" s="20"/>
      <c r="X680" s="20"/>
      <c r="Y680" s="20"/>
      <c r="Z680" s="20"/>
    </row>
    <row r="681" spans="1:26" ht="9.75" customHeight="1" x14ac:dyDescent="0.25">
      <c r="A681" s="20"/>
      <c r="B681" s="21"/>
      <c r="C681" s="20"/>
      <c r="D681" s="22"/>
      <c r="E681" s="20"/>
      <c r="F681" s="20"/>
      <c r="G681" s="20"/>
      <c r="H681" s="20"/>
      <c r="I681" s="22"/>
      <c r="J681" s="20"/>
      <c r="K681" s="20"/>
      <c r="L681" s="20"/>
      <c r="M681" s="20"/>
      <c r="N681" s="21"/>
      <c r="O681" s="31"/>
      <c r="P681" s="20"/>
      <c r="Q681" s="31"/>
      <c r="R681" s="20"/>
      <c r="S681" s="20"/>
      <c r="T681" s="20"/>
      <c r="U681" s="20"/>
      <c r="V681" s="20"/>
      <c r="W681" s="20"/>
      <c r="X681" s="20"/>
      <c r="Y681" s="20"/>
      <c r="Z681" s="20"/>
    </row>
    <row r="682" spans="1:26" ht="9.75" customHeight="1" x14ac:dyDescent="0.25">
      <c r="A682" s="20"/>
      <c r="B682" s="21"/>
      <c r="C682" s="20"/>
      <c r="D682" s="22"/>
      <c r="E682" s="20"/>
      <c r="F682" s="20"/>
      <c r="G682" s="20"/>
      <c r="H682" s="20"/>
      <c r="I682" s="22"/>
      <c r="J682" s="20"/>
      <c r="K682" s="20"/>
      <c r="L682" s="20"/>
      <c r="M682" s="20"/>
      <c r="N682" s="21"/>
      <c r="O682" s="31"/>
      <c r="P682" s="20"/>
      <c r="Q682" s="31"/>
      <c r="R682" s="20"/>
      <c r="S682" s="20"/>
      <c r="T682" s="20"/>
      <c r="U682" s="20"/>
      <c r="V682" s="20"/>
      <c r="W682" s="20"/>
      <c r="X682" s="20"/>
      <c r="Y682" s="20"/>
      <c r="Z682" s="20"/>
    </row>
    <row r="683" spans="1:26" ht="9.75" customHeight="1" x14ac:dyDescent="0.25">
      <c r="A683" s="20"/>
      <c r="B683" s="21"/>
      <c r="C683" s="20"/>
      <c r="D683" s="22"/>
      <c r="E683" s="20"/>
      <c r="F683" s="20"/>
      <c r="G683" s="20"/>
      <c r="H683" s="20"/>
      <c r="I683" s="22"/>
      <c r="J683" s="20"/>
      <c r="K683" s="20"/>
      <c r="L683" s="20"/>
      <c r="M683" s="20"/>
      <c r="N683" s="21"/>
      <c r="O683" s="31"/>
      <c r="P683" s="20"/>
      <c r="Q683" s="31"/>
      <c r="R683" s="20"/>
      <c r="S683" s="20"/>
      <c r="T683" s="20"/>
      <c r="U683" s="20"/>
      <c r="V683" s="20"/>
      <c r="W683" s="20"/>
      <c r="X683" s="20"/>
      <c r="Y683" s="20"/>
      <c r="Z683" s="20"/>
    </row>
    <row r="684" spans="1:26" ht="9.75" customHeight="1" x14ac:dyDescent="0.25">
      <c r="A684" s="20"/>
      <c r="B684" s="21"/>
      <c r="C684" s="20"/>
      <c r="D684" s="22"/>
      <c r="E684" s="20"/>
      <c r="F684" s="20"/>
      <c r="G684" s="20"/>
      <c r="H684" s="20"/>
      <c r="I684" s="22"/>
      <c r="J684" s="20"/>
      <c r="K684" s="20"/>
      <c r="L684" s="20"/>
      <c r="M684" s="20"/>
      <c r="N684" s="21"/>
      <c r="O684" s="31"/>
      <c r="P684" s="20"/>
      <c r="Q684" s="31"/>
      <c r="R684" s="20"/>
      <c r="S684" s="20"/>
      <c r="T684" s="20"/>
      <c r="U684" s="20"/>
      <c r="V684" s="20"/>
      <c r="W684" s="20"/>
      <c r="X684" s="20"/>
      <c r="Y684" s="20"/>
      <c r="Z684" s="20"/>
    </row>
    <row r="685" spans="1:26" ht="9.75" customHeight="1" x14ac:dyDescent="0.25">
      <c r="A685" s="20"/>
      <c r="B685" s="21"/>
      <c r="C685" s="20"/>
      <c r="D685" s="22"/>
      <c r="E685" s="20"/>
      <c r="F685" s="20"/>
      <c r="G685" s="20"/>
      <c r="H685" s="20"/>
      <c r="I685" s="22"/>
      <c r="J685" s="20"/>
      <c r="K685" s="20"/>
      <c r="L685" s="20"/>
      <c r="M685" s="20"/>
      <c r="N685" s="21"/>
      <c r="O685" s="31"/>
      <c r="P685" s="20"/>
      <c r="Q685" s="31"/>
      <c r="R685" s="20"/>
      <c r="S685" s="20"/>
      <c r="T685" s="20"/>
      <c r="U685" s="20"/>
      <c r="V685" s="20"/>
      <c r="W685" s="20"/>
      <c r="X685" s="20"/>
      <c r="Y685" s="20"/>
      <c r="Z685" s="20"/>
    </row>
    <row r="686" spans="1:26" ht="9.75" customHeight="1" x14ac:dyDescent="0.25">
      <c r="A686" s="20"/>
      <c r="B686" s="21"/>
      <c r="C686" s="20"/>
      <c r="D686" s="22"/>
      <c r="E686" s="20"/>
      <c r="F686" s="20"/>
      <c r="G686" s="20"/>
      <c r="H686" s="20"/>
      <c r="I686" s="22"/>
      <c r="J686" s="20"/>
      <c r="K686" s="20"/>
      <c r="L686" s="20"/>
      <c r="M686" s="20"/>
      <c r="N686" s="21"/>
      <c r="O686" s="31"/>
      <c r="P686" s="20"/>
      <c r="Q686" s="31"/>
      <c r="R686" s="20"/>
      <c r="S686" s="20"/>
      <c r="T686" s="20"/>
      <c r="U686" s="20"/>
      <c r="V686" s="20"/>
      <c r="W686" s="20"/>
      <c r="X686" s="20"/>
      <c r="Y686" s="20"/>
      <c r="Z686" s="20"/>
    </row>
    <row r="687" spans="1:26" ht="9.75" customHeight="1" x14ac:dyDescent="0.25">
      <c r="A687" s="20"/>
      <c r="B687" s="21"/>
      <c r="C687" s="20"/>
      <c r="D687" s="22"/>
      <c r="E687" s="20"/>
      <c r="F687" s="20"/>
      <c r="G687" s="20"/>
      <c r="H687" s="20"/>
      <c r="I687" s="22"/>
      <c r="J687" s="20"/>
      <c r="K687" s="20"/>
      <c r="L687" s="20"/>
      <c r="M687" s="20"/>
      <c r="N687" s="21"/>
      <c r="O687" s="31"/>
      <c r="P687" s="20"/>
      <c r="Q687" s="31"/>
      <c r="R687" s="20"/>
      <c r="S687" s="20"/>
      <c r="T687" s="20"/>
      <c r="U687" s="20"/>
      <c r="V687" s="20"/>
      <c r="W687" s="20"/>
      <c r="X687" s="20"/>
      <c r="Y687" s="20"/>
      <c r="Z687" s="20"/>
    </row>
    <row r="688" spans="1:26" ht="9.75" customHeight="1" x14ac:dyDescent="0.25">
      <c r="A688" s="20"/>
      <c r="B688" s="21"/>
      <c r="C688" s="20"/>
      <c r="D688" s="22"/>
      <c r="E688" s="20"/>
      <c r="F688" s="20"/>
      <c r="G688" s="20"/>
      <c r="H688" s="20"/>
      <c r="I688" s="22"/>
      <c r="J688" s="20"/>
      <c r="K688" s="20"/>
      <c r="L688" s="20"/>
      <c r="M688" s="20"/>
      <c r="N688" s="21"/>
      <c r="O688" s="31"/>
      <c r="P688" s="20"/>
      <c r="Q688" s="31"/>
      <c r="R688" s="20"/>
      <c r="S688" s="20"/>
      <c r="T688" s="20"/>
      <c r="U688" s="20"/>
      <c r="V688" s="20"/>
      <c r="W688" s="20"/>
      <c r="X688" s="20"/>
      <c r="Y688" s="20"/>
      <c r="Z688" s="20"/>
    </row>
    <row r="689" spans="1:26" ht="9.75" customHeight="1" x14ac:dyDescent="0.25">
      <c r="A689" s="20"/>
      <c r="B689" s="21"/>
      <c r="C689" s="20"/>
      <c r="D689" s="22"/>
      <c r="E689" s="20"/>
      <c r="F689" s="20"/>
      <c r="G689" s="20"/>
      <c r="H689" s="20"/>
      <c r="I689" s="22"/>
      <c r="J689" s="20"/>
      <c r="K689" s="20"/>
      <c r="L689" s="20"/>
      <c r="M689" s="20"/>
      <c r="N689" s="21"/>
      <c r="O689" s="31"/>
      <c r="P689" s="20"/>
      <c r="Q689" s="31"/>
      <c r="R689" s="20"/>
      <c r="S689" s="20"/>
      <c r="T689" s="20"/>
      <c r="U689" s="20"/>
      <c r="V689" s="20"/>
      <c r="W689" s="20"/>
      <c r="X689" s="20"/>
      <c r="Y689" s="20"/>
      <c r="Z689" s="20"/>
    </row>
    <row r="690" spans="1:26" ht="9.75" customHeight="1" x14ac:dyDescent="0.25">
      <c r="A690" s="20"/>
      <c r="B690" s="21"/>
      <c r="C690" s="20"/>
      <c r="D690" s="22"/>
      <c r="E690" s="20"/>
      <c r="F690" s="20"/>
      <c r="G690" s="20"/>
      <c r="H690" s="20"/>
      <c r="I690" s="22"/>
      <c r="J690" s="20"/>
      <c r="K690" s="20"/>
      <c r="L690" s="20"/>
      <c r="M690" s="20"/>
      <c r="N690" s="21"/>
      <c r="O690" s="31"/>
      <c r="P690" s="20"/>
      <c r="Q690" s="31"/>
      <c r="R690" s="20"/>
      <c r="S690" s="20"/>
      <c r="T690" s="20"/>
      <c r="U690" s="20"/>
      <c r="V690" s="20"/>
      <c r="W690" s="20"/>
      <c r="X690" s="20"/>
      <c r="Y690" s="20"/>
      <c r="Z690" s="20"/>
    </row>
    <row r="691" spans="1:26" ht="9.75" customHeight="1" x14ac:dyDescent="0.25">
      <c r="A691" s="20"/>
      <c r="B691" s="21"/>
      <c r="C691" s="20"/>
      <c r="D691" s="22"/>
      <c r="E691" s="20"/>
      <c r="F691" s="20"/>
      <c r="G691" s="20"/>
      <c r="H691" s="20"/>
      <c r="I691" s="22"/>
      <c r="J691" s="20"/>
      <c r="K691" s="20"/>
      <c r="L691" s="20"/>
      <c r="M691" s="20"/>
      <c r="N691" s="21"/>
      <c r="O691" s="31"/>
      <c r="P691" s="20"/>
      <c r="Q691" s="31"/>
      <c r="R691" s="20"/>
      <c r="S691" s="20"/>
      <c r="T691" s="20"/>
      <c r="U691" s="20"/>
      <c r="V691" s="20"/>
      <c r="W691" s="20"/>
      <c r="X691" s="20"/>
      <c r="Y691" s="20"/>
      <c r="Z691" s="20"/>
    </row>
    <row r="692" spans="1:26" ht="9.75" customHeight="1" x14ac:dyDescent="0.25">
      <c r="A692" s="20"/>
      <c r="B692" s="21"/>
      <c r="C692" s="20"/>
      <c r="D692" s="22"/>
      <c r="E692" s="20"/>
      <c r="F692" s="20"/>
      <c r="G692" s="20"/>
      <c r="H692" s="20"/>
      <c r="I692" s="22"/>
      <c r="J692" s="20"/>
      <c r="K692" s="20"/>
      <c r="L692" s="20"/>
      <c r="M692" s="20"/>
      <c r="N692" s="21"/>
      <c r="O692" s="31"/>
      <c r="P692" s="20"/>
      <c r="Q692" s="31"/>
      <c r="R692" s="20"/>
      <c r="S692" s="20"/>
      <c r="T692" s="20"/>
      <c r="U692" s="20"/>
      <c r="V692" s="20"/>
      <c r="W692" s="20"/>
      <c r="X692" s="20"/>
      <c r="Y692" s="20"/>
      <c r="Z692" s="20"/>
    </row>
    <row r="693" spans="1:26" ht="9.75" customHeight="1" x14ac:dyDescent="0.25">
      <c r="A693" s="20"/>
      <c r="B693" s="21"/>
      <c r="C693" s="20"/>
      <c r="D693" s="22"/>
      <c r="E693" s="20"/>
      <c r="F693" s="20"/>
      <c r="G693" s="20"/>
      <c r="H693" s="20"/>
      <c r="I693" s="22"/>
      <c r="J693" s="20"/>
      <c r="K693" s="20"/>
      <c r="L693" s="20"/>
      <c r="M693" s="20"/>
      <c r="N693" s="21"/>
      <c r="O693" s="31"/>
      <c r="P693" s="20"/>
      <c r="Q693" s="31"/>
      <c r="R693" s="20"/>
      <c r="S693" s="20"/>
      <c r="T693" s="20"/>
      <c r="U693" s="20"/>
      <c r="V693" s="20"/>
      <c r="W693" s="20"/>
      <c r="X693" s="20"/>
      <c r="Y693" s="20"/>
      <c r="Z693" s="20"/>
    </row>
    <row r="694" spans="1:26" ht="9.75" customHeight="1" x14ac:dyDescent="0.25">
      <c r="A694" s="20"/>
      <c r="B694" s="21"/>
      <c r="C694" s="20"/>
      <c r="D694" s="22"/>
      <c r="E694" s="20"/>
      <c r="F694" s="20"/>
      <c r="G694" s="20"/>
      <c r="H694" s="20"/>
      <c r="I694" s="22"/>
      <c r="J694" s="20"/>
      <c r="K694" s="20"/>
      <c r="L694" s="20"/>
      <c r="M694" s="20"/>
      <c r="N694" s="21"/>
      <c r="O694" s="31"/>
      <c r="P694" s="20"/>
      <c r="Q694" s="31"/>
      <c r="R694" s="20"/>
      <c r="S694" s="20"/>
      <c r="T694" s="20"/>
      <c r="U694" s="20"/>
      <c r="V694" s="20"/>
      <c r="W694" s="20"/>
      <c r="X694" s="20"/>
      <c r="Y694" s="20"/>
      <c r="Z694" s="20"/>
    </row>
    <row r="695" spans="1:26" ht="9.75" customHeight="1" x14ac:dyDescent="0.25">
      <c r="A695" s="20"/>
      <c r="B695" s="21"/>
      <c r="C695" s="20"/>
      <c r="D695" s="22"/>
      <c r="E695" s="20"/>
      <c r="F695" s="20"/>
      <c r="G695" s="20"/>
      <c r="H695" s="20"/>
      <c r="I695" s="22"/>
      <c r="J695" s="20"/>
      <c r="K695" s="20"/>
      <c r="L695" s="20"/>
      <c r="M695" s="20"/>
      <c r="N695" s="21"/>
      <c r="O695" s="31"/>
      <c r="P695" s="20"/>
      <c r="Q695" s="31"/>
      <c r="R695" s="20"/>
      <c r="S695" s="20"/>
      <c r="T695" s="20"/>
      <c r="U695" s="20"/>
      <c r="V695" s="20"/>
      <c r="W695" s="20"/>
      <c r="X695" s="20"/>
      <c r="Y695" s="20"/>
      <c r="Z695" s="20"/>
    </row>
    <row r="696" spans="1:26" ht="9.75" customHeight="1" x14ac:dyDescent="0.25">
      <c r="A696" s="20"/>
      <c r="B696" s="21"/>
      <c r="C696" s="20"/>
      <c r="D696" s="22"/>
      <c r="E696" s="20"/>
      <c r="F696" s="20"/>
      <c r="G696" s="20"/>
      <c r="H696" s="20"/>
      <c r="I696" s="22"/>
      <c r="J696" s="20"/>
      <c r="K696" s="20"/>
      <c r="L696" s="20"/>
      <c r="M696" s="20"/>
      <c r="N696" s="21"/>
      <c r="O696" s="31"/>
      <c r="P696" s="20"/>
      <c r="Q696" s="31"/>
      <c r="R696" s="20"/>
      <c r="S696" s="20"/>
      <c r="T696" s="20"/>
      <c r="U696" s="20"/>
      <c r="V696" s="20"/>
      <c r="W696" s="20"/>
      <c r="X696" s="20"/>
      <c r="Y696" s="20"/>
      <c r="Z696" s="20"/>
    </row>
    <row r="697" spans="1:26" ht="9.75" customHeight="1" x14ac:dyDescent="0.25">
      <c r="A697" s="20"/>
      <c r="B697" s="21"/>
      <c r="C697" s="20"/>
      <c r="D697" s="22"/>
      <c r="E697" s="20"/>
      <c r="F697" s="20"/>
      <c r="G697" s="20"/>
      <c r="H697" s="20"/>
      <c r="I697" s="22"/>
      <c r="J697" s="20"/>
      <c r="K697" s="20"/>
      <c r="L697" s="20"/>
      <c r="M697" s="20"/>
      <c r="N697" s="21"/>
      <c r="O697" s="31"/>
      <c r="P697" s="20"/>
      <c r="Q697" s="31"/>
      <c r="R697" s="20"/>
      <c r="S697" s="20"/>
      <c r="T697" s="20"/>
      <c r="U697" s="20"/>
      <c r="V697" s="20"/>
      <c r="W697" s="20"/>
      <c r="X697" s="20"/>
      <c r="Y697" s="20"/>
      <c r="Z697" s="20"/>
    </row>
    <row r="698" spans="1:26" ht="9.75" customHeight="1" x14ac:dyDescent="0.25">
      <c r="A698" s="20"/>
      <c r="B698" s="21"/>
      <c r="C698" s="20"/>
      <c r="D698" s="22"/>
      <c r="E698" s="20"/>
      <c r="F698" s="20"/>
      <c r="G698" s="20"/>
      <c r="H698" s="20"/>
      <c r="I698" s="22"/>
      <c r="J698" s="20"/>
      <c r="K698" s="20"/>
      <c r="L698" s="20"/>
      <c r="M698" s="20"/>
      <c r="N698" s="21"/>
      <c r="O698" s="31"/>
      <c r="P698" s="20"/>
      <c r="Q698" s="31"/>
      <c r="R698" s="20"/>
      <c r="S698" s="20"/>
      <c r="T698" s="20"/>
      <c r="U698" s="20"/>
      <c r="V698" s="20"/>
      <c r="W698" s="20"/>
      <c r="X698" s="20"/>
      <c r="Y698" s="20"/>
      <c r="Z698" s="20"/>
    </row>
    <row r="699" spans="1:26" ht="9.75" customHeight="1" x14ac:dyDescent="0.25">
      <c r="A699" s="20"/>
      <c r="B699" s="21"/>
      <c r="C699" s="20"/>
      <c r="D699" s="22"/>
      <c r="E699" s="20"/>
      <c r="F699" s="20"/>
      <c r="G699" s="20"/>
      <c r="H699" s="20"/>
      <c r="I699" s="22"/>
      <c r="J699" s="20"/>
      <c r="K699" s="20"/>
      <c r="L699" s="20"/>
      <c r="M699" s="20"/>
      <c r="N699" s="21"/>
      <c r="O699" s="31"/>
      <c r="P699" s="20"/>
      <c r="Q699" s="31"/>
      <c r="R699" s="20"/>
      <c r="S699" s="20"/>
      <c r="T699" s="20"/>
      <c r="U699" s="20"/>
      <c r="V699" s="20"/>
      <c r="W699" s="20"/>
      <c r="X699" s="20"/>
      <c r="Y699" s="20"/>
      <c r="Z699" s="20"/>
    </row>
    <row r="700" spans="1:26" ht="9.75" customHeight="1" x14ac:dyDescent="0.25">
      <c r="A700" s="20"/>
      <c r="B700" s="21"/>
      <c r="C700" s="20"/>
      <c r="D700" s="22"/>
      <c r="E700" s="20"/>
      <c r="F700" s="20"/>
      <c r="G700" s="20"/>
      <c r="H700" s="20"/>
      <c r="I700" s="22"/>
      <c r="J700" s="20"/>
      <c r="K700" s="20"/>
      <c r="L700" s="20"/>
      <c r="M700" s="20"/>
      <c r="N700" s="21"/>
      <c r="O700" s="31"/>
      <c r="P700" s="20"/>
      <c r="Q700" s="31"/>
      <c r="R700" s="20"/>
      <c r="S700" s="20"/>
      <c r="T700" s="20"/>
      <c r="U700" s="20"/>
      <c r="V700" s="20"/>
      <c r="W700" s="20"/>
      <c r="X700" s="20"/>
      <c r="Y700" s="20"/>
      <c r="Z700" s="20"/>
    </row>
    <row r="701" spans="1:26" ht="9.75" customHeight="1" x14ac:dyDescent="0.25">
      <c r="A701" s="20"/>
      <c r="B701" s="21"/>
      <c r="C701" s="20"/>
      <c r="D701" s="22"/>
      <c r="E701" s="20"/>
      <c r="F701" s="20"/>
      <c r="G701" s="20"/>
      <c r="H701" s="20"/>
      <c r="I701" s="22"/>
      <c r="J701" s="20"/>
      <c r="K701" s="20"/>
      <c r="L701" s="20"/>
      <c r="M701" s="20"/>
      <c r="N701" s="21"/>
      <c r="O701" s="31"/>
      <c r="P701" s="20"/>
      <c r="Q701" s="31"/>
      <c r="R701" s="20"/>
      <c r="S701" s="20"/>
      <c r="T701" s="20"/>
      <c r="U701" s="20"/>
      <c r="V701" s="20"/>
      <c r="W701" s="20"/>
      <c r="X701" s="20"/>
      <c r="Y701" s="20"/>
      <c r="Z701" s="20"/>
    </row>
    <row r="702" spans="1:26" ht="9.75" customHeight="1" x14ac:dyDescent="0.25">
      <c r="A702" s="20"/>
      <c r="B702" s="21"/>
      <c r="C702" s="20"/>
      <c r="D702" s="22"/>
      <c r="E702" s="20"/>
      <c r="F702" s="20"/>
      <c r="G702" s="20"/>
      <c r="H702" s="20"/>
      <c r="I702" s="22"/>
      <c r="J702" s="20"/>
      <c r="K702" s="20"/>
      <c r="L702" s="20"/>
      <c r="M702" s="20"/>
      <c r="N702" s="21"/>
      <c r="O702" s="31"/>
      <c r="P702" s="20"/>
      <c r="Q702" s="31"/>
      <c r="R702" s="20"/>
      <c r="S702" s="20"/>
      <c r="T702" s="20"/>
      <c r="U702" s="20"/>
      <c r="V702" s="20"/>
      <c r="W702" s="20"/>
      <c r="X702" s="20"/>
      <c r="Y702" s="20"/>
      <c r="Z702" s="20"/>
    </row>
    <row r="703" spans="1:26" ht="9.75" customHeight="1" x14ac:dyDescent="0.25">
      <c r="A703" s="20"/>
      <c r="B703" s="21"/>
      <c r="C703" s="20"/>
      <c r="D703" s="22"/>
      <c r="E703" s="20"/>
      <c r="F703" s="20"/>
      <c r="G703" s="20"/>
      <c r="H703" s="20"/>
      <c r="I703" s="22"/>
      <c r="J703" s="20"/>
      <c r="K703" s="20"/>
      <c r="L703" s="20"/>
      <c r="M703" s="20"/>
      <c r="N703" s="21"/>
      <c r="O703" s="31"/>
      <c r="P703" s="20"/>
      <c r="Q703" s="31"/>
      <c r="R703" s="20"/>
      <c r="S703" s="20"/>
      <c r="T703" s="20"/>
      <c r="U703" s="20"/>
      <c r="V703" s="20"/>
      <c r="W703" s="20"/>
      <c r="X703" s="20"/>
      <c r="Y703" s="20"/>
      <c r="Z703" s="20"/>
    </row>
    <row r="704" spans="1:26" ht="9.75" customHeight="1" x14ac:dyDescent="0.25">
      <c r="A704" s="20"/>
      <c r="B704" s="21"/>
      <c r="C704" s="20"/>
      <c r="D704" s="22"/>
      <c r="E704" s="20"/>
      <c r="F704" s="20"/>
      <c r="G704" s="20"/>
      <c r="H704" s="20"/>
      <c r="I704" s="22"/>
      <c r="J704" s="20"/>
      <c r="K704" s="20"/>
      <c r="L704" s="20"/>
      <c r="M704" s="20"/>
      <c r="N704" s="21"/>
      <c r="O704" s="31"/>
      <c r="P704" s="20"/>
      <c r="Q704" s="31"/>
      <c r="R704" s="20"/>
      <c r="S704" s="20"/>
      <c r="T704" s="20"/>
      <c r="U704" s="20"/>
      <c r="V704" s="20"/>
      <c r="W704" s="20"/>
      <c r="X704" s="20"/>
      <c r="Y704" s="20"/>
      <c r="Z704" s="20"/>
    </row>
    <row r="705" spans="1:26" ht="9.75" customHeight="1" x14ac:dyDescent="0.25">
      <c r="A705" s="20"/>
      <c r="B705" s="21"/>
      <c r="C705" s="20"/>
      <c r="D705" s="22"/>
      <c r="E705" s="20"/>
      <c r="F705" s="20"/>
      <c r="G705" s="20"/>
      <c r="H705" s="20"/>
      <c r="I705" s="22"/>
      <c r="J705" s="20"/>
      <c r="K705" s="20"/>
      <c r="L705" s="20"/>
      <c r="M705" s="20"/>
      <c r="N705" s="21"/>
      <c r="O705" s="31"/>
      <c r="P705" s="20"/>
      <c r="Q705" s="31"/>
      <c r="R705" s="20"/>
      <c r="S705" s="20"/>
      <c r="T705" s="20"/>
      <c r="U705" s="20"/>
      <c r="V705" s="20"/>
      <c r="W705" s="20"/>
      <c r="X705" s="20"/>
      <c r="Y705" s="20"/>
      <c r="Z705" s="20"/>
    </row>
    <row r="706" spans="1:26" ht="9.75" customHeight="1" x14ac:dyDescent="0.25">
      <c r="A706" s="20"/>
      <c r="B706" s="21"/>
      <c r="C706" s="20"/>
      <c r="D706" s="22"/>
      <c r="E706" s="20"/>
      <c r="F706" s="20"/>
      <c r="G706" s="20"/>
      <c r="H706" s="20"/>
      <c r="I706" s="22"/>
      <c r="J706" s="20"/>
      <c r="K706" s="20"/>
      <c r="L706" s="20"/>
      <c r="M706" s="20"/>
      <c r="N706" s="21"/>
      <c r="O706" s="31"/>
      <c r="P706" s="20"/>
      <c r="Q706" s="31"/>
      <c r="R706" s="20"/>
      <c r="S706" s="20"/>
      <c r="T706" s="20"/>
      <c r="U706" s="20"/>
      <c r="V706" s="20"/>
      <c r="W706" s="20"/>
      <c r="X706" s="20"/>
      <c r="Y706" s="20"/>
      <c r="Z706" s="20"/>
    </row>
    <row r="707" spans="1:26" ht="9.75" customHeight="1" x14ac:dyDescent="0.25">
      <c r="A707" s="20"/>
      <c r="B707" s="21"/>
      <c r="C707" s="20"/>
      <c r="D707" s="22"/>
      <c r="E707" s="20"/>
      <c r="F707" s="20"/>
      <c r="G707" s="20"/>
      <c r="H707" s="20"/>
      <c r="I707" s="22"/>
      <c r="J707" s="20"/>
      <c r="K707" s="20"/>
      <c r="L707" s="20"/>
      <c r="M707" s="20"/>
      <c r="N707" s="21"/>
      <c r="O707" s="31"/>
      <c r="P707" s="20"/>
      <c r="Q707" s="31"/>
      <c r="R707" s="20"/>
      <c r="S707" s="20"/>
      <c r="T707" s="20"/>
      <c r="U707" s="20"/>
      <c r="V707" s="20"/>
      <c r="W707" s="20"/>
      <c r="X707" s="20"/>
      <c r="Y707" s="20"/>
      <c r="Z707" s="20"/>
    </row>
    <row r="708" spans="1:26" ht="9.75" customHeight="1" x14ac:dyDescent="0.25">
      <c r="A708" s="20"/>
      <c r="B708" s="21"/>
      <c r="C708" s="20"/>
      <c r="D708" s="22"/>
      <c r="E708" s="20"/>
      <c r="F708" s="20"/>
      <c r="G708" s="20"/>
      <c r="H708" s="20"/>
      <c r="I708" s="22"/>
      <c r="J708" s="20"/>
      <c r="K708" s="20"/>
      <c r="L708" s="20"/>
      <c r="M708" s="20"/>
      <c r="N708" s="21"/>
      <c r="O708" s="31"/>
      <c r="P708" s="20"/>
      <c r="Q708" s="31"/>
      <c r="R708" s="20"/>
      <c r="S708" s="20"/>
      <c r="T708" s="20"/>
      <c r="U708" s="20"/>
      <c r="V708" s="20"/>
      <c r="W708" s="20"/>
      <c r="X708" s="20"/>
      <c r="Y708" s="20"/>
      <c r="Z708" s="20"/>
    </row>
    <row r="709" spans="1:26" ht="9.75" customHeight="1" x14ac:dyDescent="0.25">
      <c r="A709" s="20"/>
      <c r="B709" s="21"/>
      <c r="C709" s="20"/>
      <c r="D709" s="22"/>
      <c r="E709" s="20"/>
      <c r="F709" s="20"/>
      <c r="G709" s="20"/>
      <c r="H709" s="20"/>
      <c r="I709" s="22"/>
      <c r="J709" s="20"/>
      <c r="K709" s="20"/>
      <c r="L709" s="20"/>
      <c r="M709" s="20"/>
      <c r="N709" s="21"/>
      <c r="O709" s="31"/>
      <c r="P709" s="20"/>
      <c r="Q709" s="31"/>
      <c r="R709" s="20"/>
      <c r="S709" s="20"/>
      <c r="T709" s="20"/>
      <c r="U709" s="20"/>
      <c r="V709" s="20"/>
      <c r="W709" s="20"/>
      <c r="X709" s="20"/>
      <c r="Y709" s="20"/>
      <c r="Z709" s="20"/>
    </row>
    <row r="710" spans="1:26" ht="9.75" customHeight="1" x14ac:dyDescent="0.25">
      <c r="A710" s="20"/>
      <c r="B710" s="21"/>
      <c r="C710" s="20"/>
      <c r="D710" s="22"/>
      <c r="E710" s="20"/>
      <c r="F710" s="20"/>
      <c r="G710" s="20"/>
      <c r="H710" s="20"/>
      <c r="I710" s="22"/>
      <c r="J710" s="20"/>
      <c r="K710" s="20"/>
      <c r="L710" s="20"/>
      <c r="M710" s="20"/>
      <c r="N710" s="21"/>
      <c r="O710" s="31"/>
      <c r="P710" s="20"/>
      <c r="Q710" s="31"/>
      <c r="R710" s="20"/>
      <c r="S710" s="20"/>
      <c r="T710" s="20"/>
      <c r="U710" s="20"/>
      <c r="V710" s="20"/>
      <c r="W710" s="20"/>
      <c r="X710" s="20"/>
      <c r="Y710" s="20"/>
      <c r="Z710" s="20"/>
    </row>
    <row r="711" spans="1:26" ht="9.75" customHeight="1" x14ac:dyDescent="0.25">
      <c r="A711" s="20"/>
      <c r="B711" s="21"/>
      <c r="C711" s="20"/>
      <c r="D711" s="22"/>
      <c r="E711" s="20"/>
      <c r="F711" s="20"/>
      <c r="G711" s="20"/>
      <c r="H711" s="20"/>
      <c r="I711" s="22"/>
      <c r="J711" s="20"/>
      <c r="K711" s="20"/>
      <c r="L711" s="20"/>
      <c r="M711" s="20"/>
      <c r="N711" s="21"/>
      <c r="O711" s="31"/>
      <c r="P711" s="20"/>
      <c r="Q711" s="31"/>
      <c r="R711" s="20"/>
      <c r="S711" s="20"/>
      <c r="T711" s="20"/>
      <c r="U711" s="20"/>
      <c r="V711" s="20"/>
      <c r="W711" s="20"/>
      <c r="X711" s="20"/>
      <c r="Y711" s="20"/>
      <c r="Z711" s="20"/>
    </row>
    <row r="712" spans="1:26" ht="9.75" customHeight="1" x14ac:dyDescent="0.25">
      <c r="A712" s="20"/>
      <c r="B712" s="21"/>
      <c r="C712" s="20"/>
      <c r="D712" s="22"/>
      <c r="E712" s="20"/>
      <c r="F712" s="20"/>
      <c r="G712" s="20"/>
      <c r="H712" s="20"/>
      <c r="I712" s="22"/>
      <c r="J712" s="20"/>
      <c r="K712" s="20"/>
      <c r="L712" s="20"/>
      <c r="M712" s="20"/>
      <c r="N712" s="21"/>
      <c r="O712" s="31"/>
      <c r="P712" s="20"/>
      <c r="Q712" s="31"/>
      <c r="R712" s="20"/>
      <c r="S712" s="20"/>
      <c r="T712" s="20"/>
      <c r="U712" s="20"/>
      <c r="V712" s="20"/>
      <c r="W712" s="20"/>
      <c r="X712" s="20"/>
      <c r="Y712" s="20"/>
      <c r="Z712" s="20"/>
    </row>
    <row r="713" spans="1:26" ht="9.75" customHeight="1" x14ac:dyDescent="0.25">
      <c r="A713" s="20"/>
      <c r="B713" s="21"/>
      <c r="C713" s="20"/>
      <c r="D713" s="22"/>
      <c r="E713" s="20"/>
      <c r="F713" s="20"/>
      <c r="G713" s="20"/>
      <c r="H713" s="20"/>
      <c r="I713" s="22"/>
      <c r="J713" s="20"/>
      <c r="K713" s="20"/>
      <c r="L713" s="20"/>
      <c r="M713" s="20"/>
      <c r="N713" s="21"/>
      <c r="O713" s="31"/>
      <c r="P713" s="20"/>
      <c r="Q713" s="31"/>
      <c r="R713" s="20"/>
      <c r="S713" s="20"/>
      <c r="T713" s="20"/>
      <c r="U713" s="20"/>
      <c r="V713" s="20"/>
      <c r="W713" s="20"/>
      <c r="X713" s="20"/>
      <c r="Y713" s="20"/>
      <c r="Z713" s="20"/>
    </row>
    <row r="714" spans="1:26" ht="9.75" customHeight="1" x14ac:dyDescent="0.25">
      <c r="A714" s="20"/>
      <c r="B714" s="21"/>
      <c r="C714" s="20"/>
      <c r="D714" s="22"/>
      <c r="E714" s="20"/>
      <c r="F714" s="20"/>
      <c r="G714" s="20"/>
      <c r="H714" s="20"/>
      <c r="I714" s="22"/>
      <c r="J714" s="20"/>
      <c r="K714" s="20"/>
      <c r="L714" s="20"/>
      <c r="M714" s="20"/>
      <c r="N714" s="21"/>
      <c r="O714" s="31"/>
      <c r="P714" s="20"/>
      <c r="Q714" s="31"/>
      <c r="R714" s="20"/>
      <c r="S714" s="20"/>
      <c r="T714" s="20"/>
      <c r="U714" s="20"/>
      <c r="V714" s="20"/>
      <c r="W714" s="20"/>
      <c r="X714" s="20"/>
      <c r="Y714" s="20"/>
      <c r="Z714" s="20"/>
    </row>
    <row r="715" spans="1:26" ht="9.75" customHeight="1" x14ac:dyDescent="0.25">
      <c r="A715" s="20"/>
      <c r="B715" s="21"/>
      <c r="C715" s="20"/>
      <c r="D715" s="22"/>
      <c r="E715" s="20"/>
      <c r="F715" s="20"/>
      <c r="G715" s="20"/>
      <c r="H715" s="20"/>
      <c r="I715" s="22"/>
      <c r="J715" s="20"/>
      <c r="K715" s="20"/>
      <c r="L715" s="20"/>
      <c r="M715" s="20"/>
      <c r="N715" s="21"/>
      <c r="O715" s="31"/>
      <c r="P715" s="20"/>
      <c r="Q715" s="31"/>
      <c r="R715" s="20"/>
      <c r="S715" s="20"/>
      <c r="T715" s="20"/>
      <c r="U715" s="20"/>
      <c r="V715" s="20"/>
      <c r="W715" s="20"/>
      <c r="X715" s="20"/>
      <c r="Y715" s="20"/>
      <c r="Z715" s="20"/>
    </row>
    <row r="716" spans="1:26" ht="9.75" customHeight="1" x14ac:dyDescent="0.25">
      <c r="A716" s="20"/>
      <c r="B716" s="21"/>
      <c r="C716" s="20"/>
      <c r="D716" s="22"/>
      <c r="E716" s="20"/>
      <c r="F716" s="20"/>
      <c r="G716" s="20"/>
      <c r="H716" s="20"/>
      <c r="I716" s="22"/>
      <c r="J716" s="20"/>
      <c r="K716" s="20"/>
      <c r="L716" s="20"/>
      <c r="M716" s="20"/>
      <c r="N716" s="21"/>
      <c r="O716" s="31"/>
      <c r="P716" s="20"/>
      <c r="Q716" s="31"/>
      <c r="R716" s="20"/>
      <c r="S716" s="20"/>
      <c r="T716" s="20"/>
      <c r="U716" s="20"/>
      <c r="V716" s="20"/>
      <c r="W716" s="20"/>
      <c r="X716" s="20"/>
      <c r="Y716" s="20"/>
      <c r="Z716" s="20"/>
    </row>
    <row r="717" spans="1:26" ht="9.75" customHeight="1" x14ac:dyDescent="0.25">
      <c r="A717" s="20"/>
      <c r="B717" s="21"/>
      <c r="C717" s="20"/>
      <c r="D717" s="22"/>
      <c r="E717" s="20"/>
      <c r="F717" s="20"/>
      <c r="G717" s="20"/>
      <c r="H717" s="20"/>
      <c r="I717" s="22"/>
      <c r="J717" s="20"/>
      <c r="K717" s="20"/>
      <c r="L717" s="20"/>
      <c r="M717" s="20"/>
      <c r="N717" s="21"/>
      <c r="O717" s="31"/>
      <c r="P717" s="20"/>
      <c r="Q717" s="31"/>
      <c r="R717" s="20"/>
      <c r="S717" s="20"/>
      <c r="T717" s="20"/>
      <c r="U717" s="20"/>
      <c r="V717" s="20"/>
      <c r="W717" s="20"/>
      <c r="X717" s="20"/>
      <c r="Y717" s="20"/>
      <c r="Z717" s="20"/>
    </row>
    <row r="718" spans="1:26" ht="9.75" customHeight="1" x14ac:dyDescent="0.25">
      <c r="A718" s="20"/>
      <c r="B718" s="21"/>
      <c r="C718" s="20"/>
      <c r="D718" s="22"/>
      <c r="E718" s="20"/>
      <c r="F718" s="20"/>
      <c r="G718" s="20"/>
      <c r="H718" s="20"/>
      <c r="I718" s="22"/>
      <c r="J718" s="20"/>
      <c r="K718" s="20"/>
      <c r="L718" s="20"/>
      <c r="M718" s="20"/>
      <c r="N718" s="21"/>
      <c r="O718" s="31"/>
      <c r="P718" s="20"/>
      <c r="Q718" s="31"/>
      <c r="R718" s="20"/>
      <c r="S718" s="20"/>
      <c r="T718" s="20"/>
      <c r="U718" s="20"/>
      <c r="V718" s="20"/>
      <c r="W718" s="20"/>
      <c r="X718" s="20"/>
      <c r="Y718" s="20"/>
      <c r="Z718" s="20"/>
    </row>
    <row r="719" spans="1:26" ht="9.75" customHeight="1" x14ac:dyDescent="0.25">
      <c r="A719" s="20"/>
      <c r="B719" s="21"/>
      <c r="C719" s="20"/>
      <c r="D719" s="22"/>
      <c r="E719" s="20"/>
      <c r="F719" s="20"/>
      <c r="G719" s="20"/>
      <c r="H719" s="20"/>
      <c r="I719" s="22"/>
      <c r="J719" s="20"/>
      <c r="K719" s="20"/>
      <c r="L719" s="20"/>
      <c r="M719" s="20"/>
      <c r="N719" s="21"/>
      <c r="O719" s="31"/>
      <c r="P719" s="20"/>
      <c r="Q719" s="31"/>
      <c r="R719" s="20"/>
      <c r="S719" s="20"/>
      <c r="T719" s="20"/>
      <c r="U719" s="20"/>
      <c r="V719" s="20"/>
      <c r="W719" s="20"/>
      <c r="X719" s="20"/>
      <c r="Y719" s="20"/>
      <c r="Z719" s="20"/>
    </row>
    <row r="720" spans="1:26" ht="9.75" customHeight="1" x14ac:dyDescent="0.25">
      <c r="A720" s="20"/>
      <c r="B720" s="21"/>
      <c r="C720" s="20"/>
      <c r="D720" s="22"/>
      <c r="E720" s="20"/>
      <c r="F720" s="20"/>
      <c r="G720" s="20"/>
      <c r="H720" s="20"/>
      <c r="I720" s="22"/>
      <c r="J720" s="20"/>
      <c r="K720" s="20"/>
      <c r="L720" s="20"/>
      <c r="M720" s="20"/>
      <c r="N720" s="21"/>
      <c r="O720" s="31"/>
      <c r="P720" s="20"/>
      <c r="Q720" s="31"/>
      <c r="R720" s="20"/>
      <c r="S720" s="20"/>
      <c r="T720" s="20"/>
      <c r="U720" s="20"/>
      <c r="V720" s="20"/>
      <c r="W720" s="20"/>
      <c r="X720" s="20"/>
      <c r="Y720" s="20"/>
      <c r="Z720" s="20"/>
    </row>
    <row r="721" spans="1:26" ht="9.75" customHeight="1" x14ac:dyDescent="0.25">
      <c r="A721" s="20"/>
      <c r="B721" s="21"/>
      <c r="C721" s="20"/>
      <c r="D721" s="22"/>
      <c r="E721" s="20"/>
      <c r="F721" s="20"/>
      <c r="G721" s="20"/>
      <c r="H721" s="20"/>
      <c r="I721" s="22"/>
      <c r="J721" s="20"/>
      <c r="K721" s="20"/>
      <c r="L721" s="20"/>
      <c r="M721" s="20"/>
      <c r="N721" s="21"/>
      <c r="O721" s="31"/>
      <c r="P721" s="20"/>
      <c r="Q721" s="31"/>
      <c r="R721" s="20"/>
      <c r="S721" s="20"/>
      <c r="T721" s="20"/>
      <c r="U721" s="20"/>
      <c r="V721" s="20"/>
      <c r="W721" s="20"/>
      <c r="X721" s="20"/>
      <c r="Y721" s="20"/>
      <c r="Z721" s="20"/>
    </row>
    <row r="722" spans="1:26" ht="9.75" customHeight="1" x14ac:dyDescent="0.25">
      <c r="A722" s="20"/>
      <c r="B722" s="21"/>
      <c r="C722" s="20"/>
      <c r="D722" s="22"/>
      <c r="E722" s="20"/>
      <c r="F722" s="20"/>
      <c r="G722" s="20"/>
      <c r="H722" s="20"/>
      <c r="I722" s="22"/>
      <c r="J722" s="20"/>
      <c r="K722" s="20"/>
      <c r="L722" s="20"/>
      <c r="M722" s="20"/>
      <c r="N722" s="21"/>
      <c r="O722" s="31"/>
      <c r="P722" s="20"/>
      <c r="Q722" s="31"/>
      <c r="R722" s="20"/>
      <c r="S722" s="20"/>
      <c r="T722" s="20"/>
      <c r="U722" s="20"/>
      <c r="V722" s="20"/>
      <c r="W722" s="20"/>
      <c r="X722" s="20"/>
      <c r="Y722" s="20"/>
      <c r="Z722" s="20"/>
    </row>
    <row r="723" spans="1:26" ht="9.75" customHeight="1" x14ac:dyDescent="0.25">
      <c r="A723" s="20"/>
      <c r="B723" s="21"/>
      <c r="C723" s="20"/>
      <c r="D723" s="22"/>
      <c r="E723" s="20"/>
      <c r="F723" s="20"/>
      <c r="G723" s="20"/>
      <c r="H723" s="20"/>
      <c r="I723" s="22"/>
      <c r="J723" s="20"/>
      <c r="K723" s="20"/>
      <c r="L723" s="20"/>
      <c r="M723" s="20"/>
      <c r="N723" s="21"/>
      <c r="O723" s="31"/>
      <c r="P723" s="20"/>
      <c r="Q723" s="31"/>
      <c r="R723" s="20"/>
      <c r="S723" s="20"/>
      <c r="T723" s="20"/>
      <c r="U723" s="20"/>
      <c r="V723" s="20"/>
      <c r="W723" s="20"/>
      <c r="X723" s="20"/>
      <c r="Y723" s="20"/>
      <c r="Z723" s="20"/>
    </row>
    <row r="724" spans="1:26" ht="9.75" customHeight="1" x14ac:dyDescent="0.25">
      <c r="A724" s="20"/>
      <c r="B724" s="21"/>
      <c r="C724" s="20"/>
      <c r="D724" s="22"/>
      <c r="E724" s="20"/>
      <c r="F724" s="20"/>
      <c r="G724" s="20"/>
      <c r="H724" s="20"/>
      <c r="I724" s="22"/>
      <c r="J724" s="20"/>
      <c r="K724" s="20"/>
      <c r="L724" s="20"/>
      <c r="M724" s="20"/>
      <c r="N724" s="21"/>
      <c r="O724" s="31"/>
      <c r="P724" s="20"/>
      <c r="Q724" s="31"/>
      <c r="R724" s="20"/>
      <c r="S724" s="20"/>
      <c r="T724" s="20"/>
      <c r="U724" s="20"/>
      <c r="V724" s="20"/>
      <c r="W724" s="20"/>
      <c r="X724" s="20"/>
      <c r="Y724" s="20"/>
      <c r="Z724" s="20"/>
    </row>
    <row r="725" spans="1:26" ht="9.75" customHeight="1" x14ac:dyDescent="0.25">
      <c r="A725" s="20"/>
      <c r="B725" s="21"/>
      <c r="C725" s="20"/>
      <c r="D725" s="22"/>
      <c r="E725" s="20"/>
      <c r="F725" s="20"/>
      <c r="G725" s="20"/>
      <c r="H725" s="20"/>
      <c r="I725" s="22"/>
      <c r="J725" s="20"/>
      <c r="K725" s="20"/>
      <c r="L725" s="20"/>
      <c r="M725" s="20"/>
      <c r="N725" s="21"/>
      <c r="O725" s="31"/>
      <c r="P725" s="20"/>
      <c r="Q725" s="31"/>
      <c r="R725" s="20"/>
      <c r="S725" s="20"/>
      <c r="T725" s="20"/>
      <c r="U725" s="20"/>
      <c r="V725" s="20"/>
      <c r="W725" s="20"/>
      <c r="X725" s="20"/>
      <c r="Y725" s="20"/>
      <c r="Z725" s="20"/>
    </row>
    <row r="726" spans="1:26" ht="9.75" customHeight="1" x14ac:dyDescent="0.25">
      <c r="A726" s="20"/>
      <c r="B726" s="21"/>
      <c r="C726" s="20"/>
      <c r="D726" s="22"/>
      <c r="E726" s="20"/>
      <c r="F726" s="20"/>
      <c r="G726" s="20"/>
      <c r="H726" s="20"/>
      <c r="I726" s="22"/>
      <c r="J726" s="20"/>
      <c r="K726" s="20"/>
      <c r="L726" s="20"/>
      <c r="M726" s="20"/>
      <c r="N726" s="21"/>
      <c r="O726" s="31"/>
      <c r="P726" s="20"/>
      <c r="Q726" s="31"/>
      <c r="R726" s="20"/>
      <c r="S726" s="20"/>
      <c r="T726" s="20"/>
      <c r="U726" s="20"/>
      <c r="V726" s="20"/>
      <c r="W726" s="20"/>
      <c r="X726" s="20"/>
      <c r="Y726" s="20"/>
      <c r="Z726" s="20"/>
    </row>
    <row r="727" spans="1:26" ht="9.75" customHeight="1" x14ac:dyDescent="0.25">
      <c r="A727" s="20"/>
      <c r="B727" s="21"/>
      <c r="C727" s="20"/>
      <c r="D727" s="22"/>
      <c r="E727" s="20"/>
      <c r="F727" s="20"/>
      <c r="G727" s="20"/>
      <c r="H727" s="20"/>
      <c r="I727" s="22"/>
      <c r="J727" s="20"/>
      <c r="K727" s="20"/>
      <c r="L727" s="20"/>
      <c r="M727" s="20"/>
      <c r="N727" s="21"/>
      <c r="O727" s="31"/>
      <c r="P727" s="20"/>
      <c r="Q727" s="31"/>
      <c r="R727" s="20"/>
      <c r="S727" s="20"/>
      <c r="T727" s="20"/>
      <c r="U727" s="20"/>
      <c r="V727" s="20"/>
      <c r="W727" s="20"/>
      <c r="X727" s="20"/>
      <c r="Y727" s="20"/>
      <c r="Z727" s="20"/>
    </row>
    <row r="728" spans="1:26" ht="9.75" customHeight="1" x14ac:dyDescent="0.25">
      <c r="A728" s="20"/>
      <c r="B728" s="21"/>
      <c r="C728" s="20"/>
      <c r="D728" s="22"/>
      <c r="E728" s="20"/>
      <c r="F728" s="20"/>
      <c r="G728" s="20"/>
      <c r="H728" s="20"/>
      <c r="I728" s="22"/>
      <c r="J728" s="20"/>
      <c r="K728" s="20"/>
      <c r="L728" s="20"/>
      <c r="M728" s="20"/>
      <c r="N728" s="21"/>
      <c r="O728" s="31"/>
      <c r="P728" s="20"/>
      <c r="Q728" s="31"/>
      <c r="R728" s="20"/>
      <c r="S728" s="20"/>
      <c r="T728" s="20"/>
      <c r="U728" s="20"/>
      <c r="V728" s="20"/>
      <c r="W728" s="20"/>
      <c r="X728" s="20"/>
      <c r="Y728" s="20"/>
      <c r="Z728" s="20"/>
    </row>
    <row r="729" spans="1:26" ht="9.75" customHeight="1" x14ac:dyDescent="0.25">
      <c r="A729" s="20"/>
      <c r="B729" s="21"/>
      <c r="C729" s="20"/>
      <c r="D729" s="22"/>
      <c r="E729" s="20"/>
      <c r="F729" s="20"/>
      <c r="G729" s="20"/>
      <c r="H729" s="20"/>
      <c r="I729" s="22"/>
      <c r="J729" s="20"/>
      <c r="K729" s="20"/>
      <c r="L729" s="20"/>
      <c r="M729" s="20"/>
      <c r="N729" s="21"/>
      <c r="O729" s="31"/>
      <c r="P729" s="20"/>
      <c r="Q729" s="31"/>
      <c r="R729" s="20"/>
      <c r="S729" s="20"/>
      <c r="T729" s="20"/>
      <c r="U729" s="20"/>
      <c r="V729" s="20"/>
      <c r="W729" s="20"/>
      <c r="X729" s="20"/>
      <c r="Y729" s="20"/>
      <c r="Z729" s="20"/>
    </row>
    <row r="730" spans="1:26" ht="9.75" customHeight="1" x14ac:dyDescent="0.25">
      <c r="A730" s="20"/>
      <c r="B730" s="21"/>
      <c r="C730" s="20"/>
      <c r="D730" s="22"/>
      <c r="E730" s="20"/>
      <c r="F730" s="20"/>
      <c r="G730" s="20"/>
      <c r="H730" s="20"/>
      <c r="I730" s="22"/>
      <c r="J730" s="20"/>
      <c r="K730" s="20"/>
      <c r="L730" s="20"/>
      <c r="M730" s="20"/>
      <c r="N730" s="21"/>
      <c r="O730" s="31"/>
      <c r="P730" s="20"/>
      <c r="Q730" s="31"/>
      <c r="R730" s="20"/>
      <c r="S730" s="20"/>
      <c r="T730" s="20"/>
      <c r="U730" s="20"/>
      <c r="V730" s="20"/>
      <c r="W730" s="20"/>
      <c r="X730" s="20"/>
      <c r="Y730" s="20"/>
      <c r="Z730" s="20"/>
    </row>
    <row r="731" spans="1:26" ht="9.75" customHeight="1" x14ac:dyDescent="0.25">
      <c r="A731" s="20"/>
      <c r="B731" s="21"/>
      <c r="C731" s="20"/>
      <c r="D731" s="22"/>
      <c r="E731" s="20"/>
      <c r="F731" s="20"/>
      <c r="G731" s="20"/>
      <c r="H731" s="20"/>
      <c r="I731" s="22"/>
      <c r="J731" s="20"/>
      <c r="K731" s="20"/>
      <c r="L731" s="20"/>
      <c r="M731" s="20"/>
      <c r="N731" s="21"/>
      <c r="O731" s="31"/>
      <c r="P731" s="20"/>
      <c r="Q731" s="31"/>
      <c r="R731" s="20"/>
      <c r="S731" s="20"/>
      <c r="T731" s="20"/>
      <c r="U731" s="20"/>
      <c r="V731" s="20"/>
      <c r="W731" s="20"/>
      <c r="X731" s="20"/>
      <c r="Y731" s="20"/>
      <c r="Z731" s="20"/>
    </row>
    <row r="732" spans="1:26" ht="9.75" customHeight="1" x14ac:dyDescent="0.25">
      <c r="A732" s="20"/>
      <c r="B732" s="21"/>
      <c r="C732" s="20"/>
      <c r="D732" s="22"/>
      <c r="E732" s="20"/>
      <c r="F732" s="20"/>
      <c r="G732" s="20"/>
      <c r="H732" s="20"/>
      <c r="I732" s="22"/>
      <c r="J732" s="20"/>
      <c r="K732" s="20"/>
      <c r="L732" s="20"/>
      <c r="M732" s="20"/>
      <c r="N732" s="21"/>
      <c r="O732" s="31"/>
      <c r="P732" s="20"/>
      <c r="Q732" s="31"/>
      <c r="R732" s="20"/>
      <c r="S732" s="20"/>
      <c r="T732" s="20"/>
      <c r="U732" s="20"/>
      <c r="V732" s="20"/>
      <c r="W732" s="20"/>
      <c r="X732" s="20"/>
      <c r="Y732" s="20"/>
      <c r="Z732" s="20"/>
    </row>
    <row r="733" spans="1:26" ht="9.75" customHeight="1" x14ac:dyDescent="0.25">
      <c r="A733" s="20"/>
      <c r="B733" s="21"/>
      <c r="C733" s="20"/>
      <c r="D733" s="22"/>
      <c r="E733" s="20"/>
      <c r="F733" s="20"/>
      <c r="G733" s="20"/>
      <c r="H733" s="20"/>
      <c r="I733" s="22"/>
      <c r="J733" s="20"/>
      <c r="K733" s="20"/>
      <c r="L733" s="20"/>
      <c r="M733" s="20"/>
      <c r="N733" s="21"/>
      <c r="O733" s="31"/>
      <c r="P733" s="20"/>
      <c r="Q733" s="31"/>
      <c r="R733" s="20"/>
      <c r="S733" s="20"/>
      <c r="T733" s="20"/>
      <c r="U733" s="20"/>
      <c r="V733" s="20"/>
      <c r="W733" s="20"/>
      <c r="X733" s="20"/>
      <c r="Y733" s="20"/>
      <c r="Z733" s="20"/>
    </row>
    <row r="734" spans="1:26" ht="9.75" customHeight="1" x14ac:dyDescent="0.25">
      <c r="A734" s="20"/>
      <c r="B734" s="21"/>
      <c r="C734" s="20"/>
      <c r="D734" s="22"/>
      <c r="E734" s="20"/>
      <c r="F734" s="20"/>
      <c r="G734" s="20"/>
      <c r="H734" s="20"/>
      <c r="I734" s="22"/>
      <c r="J734" s="20"/>
      <c r="K734" s="20"/>
      <c r="L734" s="20"/>
      <c r="M734" s="20"/>
      <c r="N734" s="21"/>
      <c r="O734" s="31"/>
      <c r="P734" s="20"/>
      <c r="Q734" s="31"/>
      <c r="R734" s="20"/>
      <c r="S734" s="20"/>
      <c r="T734" s="20"/>
      <c r="U734" s="20"/>
      <c r="V734" s="20"/>
      <c r="W734" s="20"/>
      <c r="X734" s="20"/>
      <c r="Y734" s="20"/>
      <c r="Z734" s="20"/>
    </row>
    <row r="735" spans="1:26" ht="9.75" customHeight="1" x14ac:dyDescent="0.25">
      <c r="A735" s="20"/>
      <c r="B735" s="21"/>
      <c r="C735" s="20"/>
      <c r="D735" s="22"/>
      <c r="E735" s="20"/>
      <c r="F735" s="20"/>
      <c r="G735" s="20"/>
      <c r="H735" s="20"/>
      <c r="I735" s="22"/>
      <c r="J735" s="20"/>
      <c r="K735" s="20"/>
      <c r="L735" s="20"/>
      <c r="M735" s="20"/>
      <c r="N735" s="21"/>
      <c r="O735" s="31"/>
      <c r="P735" s="20"/>
      <c r="Q735" s="31"/>
      <c r="R735" s="20"/>
      <c r="S735" s="20"/>
      <c r="T735" s="20"/>
      <c r="U735" s="20"/>
      <c r="V735" s="20"/>
      <c r="W735" s="20"/>
      <c r="X735" s="20"/>
      <c r="Y735" s="20"/>
      <c r="Z735" s="20"/>
    </row>
    <row r="736" spans="1:26" ht="9.75" customHeight="1" x14ac:dyDescent="0.25">
      <c r="A736" s="20"/>
      <c r="B736" s="21"/>
      <c r="C736" s="20"/>
      <c r="D736" s="22"/>
      <c r="E736" s="20"/>
      <c r="F736" s="20"/>
      <c r="G736" s="20"/>
      <c r="H736" s="20"/>
      <c r="I736" s="22"/>
      <c r="J736" s="20"/>
      <c r="K736" s="20"/>
      <c r="L736" s="20"/>
      <c r="M736" s="20"/>
      <c r="N736" s="21"/>
      <c r="O736" s="31"/>
      <c r="P736" s="20"/>
      <c r="Q736" s="31"/>
      <c r="R736" s="20"/>
      <c r="S736" s="20"/>
      <c r="T736" s="20"/>
      <c r="U736" s="20"/>
      <c r="V736" s="20"/>
      <c r="W736" s="20"/>
      <c r="X736" s="20"/>
      <c r="Y736" s="20"/>
      <c r="Z736" s="20"/>
    </row>
    <row r="737" spans="1:26" ht="9.75" customHeight="1" x14ac:dyDescent="0.25">
      <c r="A737" s="20"/>
      <c r="B737" s="21"/>
      <c r="C737" s="20"/>
      <c r="D737" s="22"/>
      <c r="E737" s="20"/>
      <c r="F737" s="20"/>
      <c r="G737" s="20"/>
      <c r="H737" s="20"/>
      <c r="I737" s="22"/>
      <c r="J737" s="20"/>
      <c r="K737" s="20"/>
      <c r="L737" s="20"/>
      <c r="M737" s="20"/>
      <c r="N737" s="21"/>
      <c r="O737" s="31"/>
      <c r="P737" s="20"/>
      <c r="Q737" s="31"/>
      <c r="R737" s="20"/>
      <c r="S737" s="20"/>
      <c r="T737" s="20"/>
      <c r="U737" s="20"/>
      <c r="V737" s="20"/>
      <c r="W737" s="20"/>
      <c r="X737" s="20"/>
      <c r="Y737" s="20"/>
      <c r="Z737" s="20"/>
    </row>
    <row r="738" spans="1:26" ht="9.75" customHeight="1" x14ac:dyDescent="0.25">
      <c r="A738" s="20"/>
      <c r="B738" s="21"/>
      <c r="C738" s="20"/>
      <c r="D738" s="22"/>
      <c r="E738" s="20"/>
      <c r="F738" s="20"/>
      <c r="G738" s="20"/>
      <c r="H738" s="20"/>
      <c r="I738" s="22"/>
      <c r="J738" s="20"/>
      <c r="K738" s="20"/>
      <c r="L738" s="20"/>
      <c r="M738" s="20"/>
      <c r="N738" s="21"/>
      <c r="O738" s="31"/>
      <c r="P738" s="20"/>
      <c r="Q738" s="31"/>
      <c r="R738" s="20"/>
      <c r="S738" s="20"/>
      <c r="T738" s="20"/>
      <c r="U738" s="20"/>
      <c r="V738" s="20"/>
      <c r="W738" s="20"/>
      <c r="X738" s="20"/>
      <c r="Y738" s="20"/>
      <c r="Z738" s="20"/>
    </row>
    <row r="739" spans="1:26" ht="9.75" customHeight="1" x14ac:dyDescent="0.25">
      <c r="A739" s="20"/>
      <c r="B739" s="21"/>
      <c r="C739" s="20"/>
      <c r="D739" s="22"/>
      <c r="E739" s="20"/>
      <c r="F739" s="20"/>
      <c r="G739" s="20"/>
      <c r="H739" s="20"/>
      <c r="I739" s="22"/>
      <c r="J739" s="20"/>
      <c r="K739" s="20"/>
      <c r="L739" s="20"/>
      <c r="M739" s="20"/>
      <c r="N739" s="21"/>
      <c r="O739" s="31"/>
      <c r="P739" s="20"/>
      <c r="Q739" s="31"/>
      <c r="R739" s="20"/>
      <c r="S739" s="20"/>
      <c r="T739" s="20"/>
      <c r="U739" s="20"/>
      <c r="V739" s="20"/>
      <c r="W739" s="20"/>
      <c r="X739" s="20"/>
      <c r="Y739" s="20"/>
      <c r="Z739" s="20"/>
    </row>
    <row r="740" spans="1:26" ht="9.75" customHeight="1" x14ac:dyDescent="0.25">
      <c r="A740" s="20"/>
      <c r="B740" s="21"/>
      <c r="C740" s="20"/>
      <c r="D740" s="22"/>
      <c r="E740" s="20"/>
      <c r="F740" s="20"/>
      <c r="G740" s="20"/>
      <c r="H740" s="20"/>
      <c r="I740" s="22"/>
      <c r="J740" s="20"/>
      <c r="K740" s="20"/>
      <c r="L740" s="20"/>
      <c r="M740" s="20"/>
      <c r="N740" s="21"/>
      <c r="O740" s="31"/>
      <c r="P740" s="20"/>
      <c r="Q740" s="31"/>
      <c r="R740" s="20"/>
      <c r="S740" s="20"/>
      <c r="T740" s="20"/>
      <c r="U740" s="20"/>
      <c r="V740" s="20"/>
      <c r="W740" s="20"/>
      <c r="X740" s="20"/>
      <c r="Y740" s="20"/>
      <c r="Z740" s="20"/>
    </row>
    <row r="741" spans="1:26" ht="9.75" customHeight="1" x14ac:dyDescent="0.25">
      <c r="A741" s="20"/>
      <c r="B741" s="21"/>
      <c r="C741" s="20"/>
      <c r="D741" s="22"/>
      <c r="E741" s="20"/>
      <c r="F741" s="20"/>
      <c r="G741" s="20"/>
      <c r="H741" s="20"/>
      <c r="I741" s="22"/>
      <c r="J741" s="20"/>
      <c r="K741" s="20"/>
      <c r="L741" s="20"/>
      <c r="M741" s="20"/>
      <c r="N741" s="21"/>
      <c r="O741" s="31"/>
      <c r="P741" s="20"/>
      <c r="Q741" s="31"/>
      <c r="R741" s="20"/>
      <c r="S741" s="20"/>
      <c r="T741" s="20"/>
      <c r="U741" s="20"/>
      <c r="V741" s="20"/>
      <c r="W741" s="20"/>
      <c r="X741" s="20"/>
      <c r="Y741" s="20"/>
      <c r="Z741" s="20"/>
    </row>
    <row r="742" spans="1:26" ht="9.75" customHeight="1" x14ac:dyDescent="0.25">
      <c r="A742" s="20"/>
      <c r="B742" s="21"/>
      <c r="C742" s="20"/>
      <c r="D742" s="22"/>
      <c r="E742" s="20"/>
      <c r="F742" s="20"/>
      <c r="G742" s="20"/>
      <c r="H742" s="20"/>
      <c r="I742" s="22"/>
      <c r="J742" s="20"/>
      <c r="K742" s="20"/>
      <c r="L742" s="20"/>
      <c r="M742" s="20"/>
      <c r="N742" s="21"/>
      <c r="O742" s="31"/>
      <c r="P742" s="20"/>
      <c r="Q742" s="31"/>
      <c r="R742" s="20"/>
      <c r="S742" s="20"/>
      <c r="T742" s="20"/>
      <c r="U742" s="20"/>
      <c r="V742" s="20"/>
      <c r="W742" s="20"/>
      <c r="X742" s="20"/>
      <c r="Y742" s="20"/>
      <c r="Z742" s="20"/>
    </row>
    <row r="743" spans="1:26" ht="9.75" customHeight="1" x14ac:dyDescent="0.25">
      <c r="A743" s="20"/>
      <c r="B743" s="21"/>
      <c r="C743" s="20"/>
      <c r="D743" s="22"/>
      <c r="E743" s="20"/>
      <c r="F743" s="20"/>
      <c r="G743" s="20"/>
      <c r="H743" s="20"/>
      <c r="I743" s="22"/>
      <c r="J743" s="20"/>
      <c r="K743" s="20"/>
      <c r="L743" s="20"/>
      <c r="M743" s="20"/>
      <c r="N743" s="21"/>
      <c r="O743" s="31"/>
      <c r="P743" s="20"/>
      <c r="Q743" s="31"/>
      <c r="R743" s="20"/>
      <c r="S743" s="20"/>
      <c r="T743" s="20"/>
      <c r="U743" s="20"/>
      <c r="V743" s="20"/>
      <c r="W743" s="20"/>
      <c r="X743" s="20"/>
      <c r="Y743" s="20"/>
      <c r="Z743" s="20"/>
    </row>
    <row r="744" spans="1:26" ht="9.75" customHeight="1" x14ac:dyDescent="0.25">
      <c r="A744" s="20"/>
      <c r="B744" s="21"/>
      <c r="C744" s="20"/>
      <c r="D744" s="22"/>
      <c r="E744" s="20"/>
      <c r="F744" s="20"/>
      <c r="G744" s="20"/>
      <c r="H744" s="20"/>
      <c r="I744" s="22"/>
      <c r="J744" s="20"/>
      <c r="K744" s="20"/>
      <c r="L744" s="20"/>
      <c r="M744" s="20"/>
      <c r="N744" s="21"/>
      <c r="O744" s="31"/>
      <c r="P744" s="20"/>
      <c r="Q744" s="31"/>
      <c r="R744" s="20"/>
      <c r="S744" s="20"/>
      <c r="T744" s="20"/>
      <c r="U744" s="20"/>
      <c r="V744" s="20"/>
      <c r="W744" s="20"/>
      <c r="X744" s="20"/>
      <c r="Y744" s="20"/>
      <c r="Z744" s="20"/>
    </row>
    <row r="745" spans="1:26" ht="9.75" customHeight="1" x14ac:dyDescent="0.25">
      <c r="A745" s="20"/>
      <c r="B745" s="21"/>
      <c r="C745" s="20"/>
      <c r="D745" s="22"/>
      <c r="E745" s="20"/>
      <c r="F745" s="20"/>
      <c r="G745" s="20"/>
      <c r="H745" s="20"/>
      <c r="I745" s="22"/>
      <c r="J745" s="20"/>
      <c r="K745" s="20"/>
      <c r="L745" s="20"/>
      <c r="M745" s="20"/>
      <c r="N745" s="21"/>
      <c r="O745" s="31"/>
      <c r="P745" s="20"/>
      <c r="Q745" s="31"/>
      <c r="R745" s="20"/>
      <c r="S745" s="20"/>
      <c r="T745" s="20"/>
      <c r="U745" s="20"/>
      <c r="V745" s="20"/>
      <c r="W745" s="20"/>
      <c r="X745" s="20"/>
      <c r="Y745" s="20"/>
      <c r="Z745" s="20"/>
    </row>
    <row r="746" spans="1:26" ht="9.75" customHeight="1" x14ac:dyDescent="0.25">
      <c r="A746" s="20"/>
      <c r="B746" s="21"/>
      <c r="C746" s="20"/>
      <c r="D746" s="22"/>
      <c r="E746" s="20"/>
      <c r="F746" s="20"/>
      <c r="G746" s="20"/>
      <c r="H746" s="20"/>
      <c r="I746" s="22"/>
      <c r="J746" s="20"/>
      <c r="K746" s="20"/>
      <c r="L746" s="20"/>
      <c r="M746" s="20"/>
      <c r="N746" s="21"/>
      <c r="O746" s="31"/>
      <c r="P746" s="20"/>
      <c r="Q746" s="31"/>
      <c r="R746" s="20"/>
      <c r="S746" s="20"/>
      <c r="T746" s="20"/>
      <c r="U746" s="20"/>
      <c r="V746" s="20"/>
      <c r="W746" s="20"/>
      <c r="X746" s="20"/>
      <c r="Y746" s="20"/>
      <c r="Z746" s="20"/>
    </row>
    <row r="747" spans="1:26" ht="9.75" customHeight="1" x14ac:dyDescent="0.25">
      <c r="A747" s="20"/>
      <c r="B747" s="21"/>
      <c r="C747" s="20"/>
      <c r="D747" s="22"/>
      <c r="E747" s="20"/>
      <c r="F747" s="20"/>
      <c r="G747" s="20"/>
      <c r="H747" s="20"/>
      <c r="I747" s="22"/>
      <c r="J747" s="20"/>
      <c r="K747" s="20"/>
      <c r="L747" s="20"/>
      <c r="M747" s="20"/>
      <c r="N747" s="21"/>
      <c r="O747" s="31"/>
      <c r="P747" s="20"/>
      <c r="Q747" s="31"/>
      <c r="R747" s="20"/>
      <c r="S747" s="20"/>
      <c r="T747" s="20"/>
      <c r="U747" s="20"/>
      <c r="V747" s="20"/>
      <c r="W747" s="20"/>
      <c r="X747" s="20"/>
      <c r="Y747" s="20"/>
      <c r="Z747" s="20"/>
    </row>
    <row r="748" spans="1:26" ht="9.75" customHeight="1" x14ac:dyDescent="0.25">
      <c r="A748" s="20"/>
      <c r="B748" s="21"/>
      <c r="C748" s="20"/>
      <c r="D748" s="22"/>
      <c r="E748" s="20"/>
      <c r="F748" s="20"/>
      <c r="G748" s="20"/>
      <c r="H748" s="20"/>
      <c r="I748" s="22"/>
      <c r="J748" s="20"/>
      <c r="K748" s="20"/>
      <c r="L748" s="20"/>
      <c r="M748" s="20"/>
      <c r="N748" s="21"/>
      <c r="O748" s="31"/>
      <c r="P748" s="20"/>
      <c r="Q748" s="31"/>
      <c r="R748" s="20"/>
      <c r="S748" s="20"/>
      <c r="T748" s="20"/>
      <c r="U748" s="20"/>
      <c r="V748" s="20"/>
      <c r="W748" s="20"/>
      <c r="X748" s="20"/>
      <c r="Y748" s="20"/>
      <c r="Z748" s="20"/>
    </row>
    <row r="749" spans="1:26" ht="9.75" customHeight="1" x14ac:dyDescent="0.25">
      <c r="A749" s="20"/>
      <c r="B749" s="21"/>
      <c r="C749" s="20"/>
      <c r="D749" s="22"/>
      <c r="E749" s="20"/>
      <c r="F749" s="20"/>
      <c r="G749" s="20"/>
      <c r="H749" s="20"/>
      <c r="I749" s="22"/>
      <c r="J749" s="20"/>
      <c r="K749" s="20"/>
      <c r="L749" s="20"/>
      <c r="M749" s="20"/>
      <c r="N749" s="21"/>
      <c r="O749" s="31"/>
      <c r="P749" s="20"/>
      <c r="Q749" s="31"/>
      <c r="R749" s="20"/>
      <c r="S749" s="20"/>
      <c r="T749" s="20"/>
      <c r="U749" s="20"/>
      <c r="V749" s="20"/>
      <c r="W749" s="20"/>
      <c r="X749" s="20"/>
      <c r="Y749" s="20"/>
      <c r="Z749" s="20"/>
    </row>
    <row r="750" spans="1:26" ht="9.75" customHeight="1" x14ac:dyDescent="0.25">
      <c r="A750" s="20"/>
      <c r="B750" s="21"/>
      <c r="C750" s="20"/>
      <c r="D750" s="22"/>
      <c r="E750" s="20"/>
      <c r="F750" s="20"/>
      <c r="G750" s="20"/>
      <c r="H750" s="20"/>
      <c r="I750" s="22"/>
      <c r="J750" s="20"/>
      <c r="K750" s="20"/>
      <c r="L750" s="20"/>
      <c r="M750" s="20"/>
      <c r="N750" s="21"/>
      <c r="O750" s="31"/>
      <c r="P750" s="20"/>
      <c r="Q750" s="31"/>
      <c r="R750" s="20"/>
      <c r="S750" s="20"/>
      <c r="T750" s="20"/>
      <c r="U750" s="20"/>
      <c r="V750" s="20"/>
      <c r="W750" s="20"/>
      <c r="X750" s="20"/>
      <c r="Y750" s="20"/>
      <c r="Z750" s="20"/>
    </row>
    <row r="751" spans="1:26" ht="9.75" customHeight="1" x14ac:dyDescent="0.25">
      <c r="A751" s="20"/>
      <c r="B751" s="21"/>
      <c r="C751" s="20"/>
      <c r="D751" s="22"/>
      <c r="E751" s="20"/>
      <c r="F751" s="20"/>
      <c r="G751" s="20"/>
      <c r="H751" s="20"/>
      <c r="I751" s="22"/>
      <c r="J751" s="20"/>
      <c r="K751" s="20"/>
      <c r="L751" s="20"/>
      <c r="M751" s="20"/>
      <c r="N751" s="21"/>
      <c r="O751" s="31"/>
      <c r="P751" s="20"/>
      <c r="Q751" s="31"/>
      <c r="R751" s="20"/>
      <c r="S751" s="20"/>
      <c r="T751" s="20"/>
      <c r="U751" s="20"/>
      <c r="V751" s="20"/>
      <c r="W751" s="20"/>
      <c r="X751" s="20"/>
      <c r="Y751" s="20"/>
      <c r="Z751" s="20"/>
    </row>
    <row r="752" spans="1:26" ht="9.75" customHeight="1" x14ac:dyDescent="0.25">
      <c r="A752" s="20"/>
      <c r="B752" s="21"/>
      <c r="C752" s="20"/>
      <c r="D752" s="22"/>
      <c r="E752" s="20"/>
      <c r="F752" s="20"/>
      <c r="G752" s="20"/>
      <c r="H752" s="20"/>
      <c r="I752" s="22"/>
      <c r="J752" s="20"/>
      <c r="K752" s="20"/>
      <c r="L752" s="20"/>
      <c r="M752" s="20"/>
      <c r="N752" s="21"/>
      <c r="O752" s="31"/>
      <c r="P752" s="20"/>
      <c r="Q752" s="31"/>
      <c r="R752" s="20"/>
      <c r="S752" s="20"/>
      <c r="T752" s="20"/>
      <c r="U752" s="20"/>
      <c r="V752" s="20"/>
      <c r="W752" s="20"/>
      <c r="X752" s="20"/>
      <c r="Y752" s="20"/>
      <c r="Z752" s="20"/>
    </row>
    <row r="753" spans="1:26" ht="9.75" customHeight="1" x14ac:dyDescent="0.25">
      <c r="A753" s="20"/>
      <c r="B753" s="21"/>
      <c r="C753" s="20"/>
      <c r="D753" s="22"/>
      <c r="E753" s="20"/>
      <c r="F753" s="20"/>
      <c r="G753" s="20"/>
      <c r="H753" s="20"/>
      <c r="I753" s="22"/>
      <c r="J753" s="20"/>
      <c r="K753" s="20"/>
      <c r="L753" s="20"/>
      <c r="M753" s="20"/>
      <c r="N753" s="21"/>
      <c r="O753" s="31"/>
      <c r="P753" s="20"/>
      <c r="Q753" s="31"/>
      <c r="R753" s="20"/>
      <c r="S753" s="20"/>
      <c r="T753" s="20"/>
      <c r="U753" s="20"/>
      <c r="V753" s="20"/>
      <c r="W753" s="20"/>
      <c r="X753" s="20"/>
      <c r="Y753" s="20"/>
      <c r="Z753" s="20"/>
    </row>
    <row r="754" spans="1:26" ht="9.75" customHeight="1" x14ac:dyDescent="0.25">
      <c r="A754" s="20"/>
      <c r="B754" s="21"/>
      <c r="C754" s="20"/>
      <c r="D754" s="22"/>
      <c r="E754" s="20"/>
      <c r="F754" s="20"/>
      <c r="G754" s="20"/>
      <c r="H754" s="20"/>
      <c r="I754" s="22"/>
      <c r="J754" s="20"/>
      <c r="K754" s="20"/>
      <c r="L754" s="20"/>
      <c r="M754" s="20"/>
      <c r="N754" s="21"/>
      <c r="O754" s="31"/>
      <c r="P754" s="20"/>
      <c r="Q754" s="31"/>
      <c r="R754" s="20"/>
      <c r="S754" s="20"/>
      <c r="T754" s="20"/>
      <c r="U754" s="20"/>
      <c r="V754" s="20"/>
      <c r="W754" s="20"/>
      <c r="X754" s="20"/>
      <c r="Y754" s="20"/>
      <c r="Z754" s="20"/>
    </row>
    <row r="755" spans="1:26" ht="9.75" customHeight="1" x14ac:dyDescent="0.25">
      <c r="A755" s="20"/>
      <c r="B755" s="21"/>
      <c r="C755" s="20"/>
      <c r="D755" s="22"/>
      <c r="E755" s="20"/>
      <c r="F755" s="20"/>
      <c r="G755" s="20"/>
      <c r="H755" s="20"/>
      <c r="I755" s="22"/>
      <c r="J755" s="20"/>
      <c r="K755" s="20"/>
      <c r="L755" s="20"/>
      <c r="M755" s="20"/>
      <c r="N755" s="21"/>
      <c r="O755" s="31"/>
      <c r="P755" s="20"/>
      <c r="Q755" s="31"/>
      <c r="R755" s="20"/>
      <c r="S755" s="20"/>
      <c r="T755" s="20"/>
      <c r="U755" s="20"/>
      <c r="V755" s="20"/>
      <c r="W755" s="20"/>
      <c r="X755" s="20"/>
      <c r="Y755" s="20"/>
      <c r="Z755" s="20"/>
    </row>
    <row r="756" spans="1:26" ht="9.75" customHeight="1" x14ac:dyDescent="0.25">
      <c r="A756" s="20"/>
      <c r="B756" s="21"/>
      <c r="C756" s="20"/>
      <c r="D756" s="22"/>
      <c r="E756" s="20"/>
      <c r="F756" s="20"/>
      <c r="G756" s="20"/>
      <c r="H756" s="20"/>
      <c r="I756" s="22"/>
      <c r="J756" s="20"/>
      <c r="K756" s="20"/>
      <c r="L756" s="20"/>
      <c r="M756" s="20"/>
      <c r="N756" s="21"/>
      <c r="O756" s="31"/>
      <c r="P756" s="20"/>
      <c r="Q756" s="31"/>
      <c r="R756" s="20"/>
      <c r="S756" s="20"/>
      <c r="T756" s="20"/>
      <c r="U756" s="20"/>
      <c r="V756" s="20"/>
      <c r="W756" s="20"/>
      <c r="X756" s="20"/>
      <c r="Y756" s="20"/>
      <c r="Z756" s="20"/>
    </row>
    <row r="757" spans="1:26" ht="9.75" customHeight="1" x14ac:dyDescent="0.25">
      <c r="A757" s="20"/>
      <c r="B757" s="21"/>
      <c r="C757" s="20"/>
      <c r="D757" s="22"/>
      <c r="E757" s="20"/>
      <c r="F757" s="20"/>
      <c r="G757" s="20"/>
      <c r="H757" s="20"/>
      <c r="I757" s="22"/>
      <c r="J757" s="20"/>
      <c r="K757" s="20"/>
      <c r="L757" s="20"/>
      <c r="M757" s="20"/>
      <c r="N757" s="21"/>
      <c r="O757" s="31"/>
      <c r="P757" s="20"/>
      <c r="Q757" s="31"/>
      <c r="R757" s="20"/>
      <c r="S757" s="20"/>
      <c r="T757" s="20"/>
      <c r="U757" s="20"/>
      <c r="V757" s="20"/>
      <c r="W757" s="20"/>
      <c r="X757" s="20"/>
      <c r="Y757" s="20"/>
      <c r="Z757" s="20"/>
    </row>
    <row r="758" spans="1:26" ht="9.75" customHeight="1" x14ac:dyDescent="0.25">
      <c r="A758" s="20"/>
      <c r="B758" s="21"/>
      <c r="C758" s="20"/>
      <c r="D758" s="22"/>
      <c r="E758" s="20"/>
      <c r="F758" s="20"/>
      <c r="G758" s="20"/>
      <c r="H758" s="20"/>
      <c r="I758" s="22"/>
      <c r="J758" s="20"/>
      <c r="K758" s="20"/>
      <c r="L758" s="20"/>
      <c r="M758" s="20"/>
      <c r="N758" s="21"/>
      <c r="O758" s="31"/>
      <c r="P758" s="20"/>
      <c r="Q758" s="31"/>
      <c r="R758" s="20"/>
      <c r="S758" s="20"/>
      <c r="T758" s="20"/>
      <c r="U758" s="20"/>
      <c r="V758" s="20"/>
      <c r="W758" s="20"/>
      <c r="X758" s="20"/>
      <c r="Y758" s="20"/>
      <c r="Z758" s="20"/>
    </row>
    <row r="759" spans="1:26" ht="9.75" customHeight="1" x14ac:dyDescent="0.25">
      <c r="A759" s="20"/>
      <c r="B759" s="21"/>
      <c r="C759" s="20"/>
      <c r="D759" s="22"/>
      <c r="E759" s="20"/>
      <c r="F759" s="20"/>
      <c r="G759" s="20"/>
      <c r="H759" s="20"/>
      <c r="I759" s="22"/>
      <c r="J759" s="20"/>
      <c r="K759" s="20"/>
      <c r="L759" s="20"/>
      <c r="M759" s="20"/>
      <c r="N759" s="21"/>
      <c r="O759" s="31"/>
      <c r="P759" s="20"/>
      <c r="Q759" s="31"/>
      <c r="R759" s="20"/>
      <c r="S759" s="20"/>
      <c r="T759" s="20"/>
      <c r="U759" s="20"/>
      <c r="V759" s="20"/>
      <c r="W759" s="20"/>
      <c r="X759" s="20"/>
      <c r="Y759" s="20"/>
      <c r="Z759" s="20"/>
    </row>
    <row r="760" spans="1:26" ht="9.75" customHeight="1" x14ac:dyDescent="0.25">
      <c r="A760" s="20"/>
      <c r="B760" s="21"/>
      <c r="C760" s="20"/>
      <c r="D760" s="22"/>
      <c r="E760" s="20"/>
      <c r="F760" s="20"/>
      <c r="G760" s="20"/>
      <c r="H760" s="20"/>
      <c r="I760" s="22"/>
      <c r="J760" s="20"/>
      <c r="K760" s="20"/>
      <c r="L760" s="20"/>
      <c r="M760" s="20"/>
      <c r="N760" s="21"/>
      <c r="O760" s="31"/>
      <c r="P760" s="20"/>
      <c r="Q760" s="31"/>
      <c r="R760" s="20"/>
      <c r="S760" s="20"/>
      <c r="T760" s="20"/>
      <c r="U760" s="20"/>
      <c r="V760" s="20"/>
      <c r="W760" s="20"/>
      <c r="X760" s="20"/>
      <c r="Y760" s="20"/>
      <c r="Z760" s="20"/>
    </row>
    <row r="761" spans="1:26" ht="9.75" customHeight="1" x14ac:dyDescent="0.25">
      <c r="A761" s="20"/>
      <c r="B761" s="21"/>
      <c r="C761" s="20"/>
      <c r="D761" s="22"/>
      <c r="E761" s="20"/>
      <c r="F761" s="20"/>
      <c r="G761" s="20"/>
      <c r="H761" s="20"/>
      <c r="I761" s="22"/>
      <c r="J761" s="20"/>
      <c r="K761" s="20"/>
      <c r="L761" s="20"/>
      <c r="M761" s="20"/>
      <c r="N761" s="21"/>
      <c r="O761" s="31"/>
      <c r="P761" s="20"/>
      <c r="Q761" s="31"/>
      <c r="R761" s="20"/>
      <c r="S761" s="20"/>
      <c r="T761" s="20"/>
      <c r="U761" s="20"/>
      <c r="V761" s="20"/>
      <c r="W761" s="20"/>
      <c r="X761" s="20"/>
      <c r="Y761" s="20"/>
      <c r="Z761" s="20"/>
    </row>
    <row r="762" spans="1:26" ht="9.75" customHeight="1" x14ac:dyDescent="0.25">
      <c r="A762" s="20"/>
      <c r="B762" s="21"/>
      <c r="C762" s="20"/>
      <c r="D762" s="22"/>
      <c r="E762" s="20"/>
      <c r="F762" s="20"/>
      <c r="G762" s="20"/>
      <c r="H762" s="20"/>
      <c r="I762" s="22"/>
      <c r="J762" s="20"/>
      <c r="K762" s="20"/>
      <c r="L762" s="20"/>
      <c r="M762" s="20"/>
      <c r="N762" s="21"/>
      <c r="O762" s="31"/>
      <c r="P762" s="20"/>
      <c r="Q762" s="31"/>
      <c r="R762" s="20"/>
      <c r="S762" s="20"/>
      <c r="T762" s="20"/>
      <c r="U762" s="20"/>
      <c r="V762" s="20"/>
      <c r="W762" s="20"/>
      <c r="X762" s="20"/>
      <c r="Y762" s="20"/>
      <c r="Z762" s="20"/>
    </row>
    <row r="763" spans="1:26" ht="9.75" customHeight="1" x14ac:dyDescent="0.25">
      <c r="A763" s="20"/>
      <c r="B763" s="21"/>
      <c r="C763" s="20"/>
      <c r="D763" s="22"/>
      <c r="E763" s="20"/>
      <c r="F763" s="20"/>
      <c r="G763" s="20"/>
      <c r="H763" s="20"/>
      <c r="I763" s="22"/>
      <c r="J763" s="20"/>
      <c r="K763" s="20"/>
      <c r="L763" s="20"/>
      <c r="M763" s="20"/>
      <c r="N763" s="21"/>
      <c r="O763" s="31"/>
      <c r="P763" s="20"/>
      <c r="Q763" s="31"/>
      <c r="R763" s="20"/>
      <c r="S763" s="20"/>
      <c r="T763" s="20"/>
      <c r="U763" s="20"/>
      <c r="V763" s="20"/>
      <c r="W763" s="20"/>
      <c r="X763" s="20"/>
      <c r="Y763" s="20"/>
      <c r="Z763" s="20"/>
    </row>
    <row r="764" spans="1:26" ht="9.75" customHeight="1" x14ac:dyDescent="0.25">
      <c r="A764" s="20"/>
      <c r="B764" s="21"/>
      <c r="C764" s="20"/>
      <c r="D764" s="22"/>
      <c r="E764" s="20"/>
      <c r="F764" s="20"/>
      <c r="G764" s="20"/>
      <c r="H764" s="20"/>
      <c r="I764" s="22"/>
      <c r="J764" s="20"/>
      <c r="K764" s="20"/>
      <c r="L764" s="20"/>
      <c r="M764" s="20"/>
      <c r="N764" s="21"/>
      <c r="O764" s="31"/>
      <c r="P764" s="20"/>
      <c r="Q764" s="31"/>
      <c r="R764" s="20"/>
      <c r="S764" s="20"/>
      <c r="T764" s="20"/>
      <c r="U764" s="20"/>
      <c r="V764" s="20"/>
      <c r="W764" s="20"/>
      <c r="X764" s="20"/>
      <c r="Y764" s="20"/>
      <c r="Z764" s="20"/>
    </row>
    <row r="765" spans="1:26" ht="9.75" customHeight="1" x14ac:dyDescent="0.25">
      <c r="A765" s="20"/>
      <c r="B765" s="21"/>
      <c r="C765" s="20"/>
      <c r="D765" s="22"/>
      <c r="E765" s="20"/>
      <c r="F765" s="20"/>
      <c r="G765" s="20"/>
      <c r="H765" s="20"/>
      <c r="I765" s="22"/>
      <c r="J765" s="20"/>
      <c r="K765" s="20"/>
      <c r="L765" s="20"/>
      <c r="M765" s="20"/>
      <c r="N765" s="21"/>
      <c r="O765" s="31"/>
      <c r="P765" s="20"/>
      <c r="Q765" s="31"/>
      <c r="R765" s="20"/>
      <c r="S765" s="20"/>
      <c r="T765" s="20"/>
      <c r="U765" s="20"/>
      <c r="V765" s="20"/>
      <c r="W765" s="20"/>
      <c r="X765" s="20"/>
      <c r="Y765" s="20"/>
      <c r="Z765" s="20"/>
    </row>
    <row r="766" spans="1:26" ht="9.75" customHeight="1" x14ac:dyDescent="0.25">
      <c r="A766" s="20"/>
      <c r="B766" s="21"/>
      <c r="C766" s="20"/>
      <c r="D766" s="22"/>
      <c r="E766" s="20"/>
      <c r="F766" s="20"/>
      <c r="G766" s="20"/>
      <c r="H766" s="20"/>
      <c r="I766" s="22"/>
      <c r="J766" s="20"/>
      <c r="K766" s="20"/>
      <c r="L766" s="20"/>
      <c r="M766" s="20"/>
      <c r="N766" s="21"/>
      <c r="O766" s="31"/>
      <c r="P766" s="20"/>
      <c r="Q766" s="31"/>
      <c r="R766" s="20"/>
      <c r="S766" s="20"/>
      <c r="T766" s="20"/>
      <c r="U766" s="20"/>
      <c r="V766" s="20"/>
      <c r="W766" s="20"/>
      <c r="X766" s="20"/>
      <c r="Y766" s="20"/>
      <c r="Z766" s="20"/>
    </row>
    <row r="767" spans="1:26" ht="9.75" customHeight="1" x14ac:dyDescent="0.25">
      <c r="A767" s="20"/>
      <c r="B767" s="21"/>
      <c r="C767" s="20"/>
      <c r="D767" s="22"/>
      <c r="E767" s="20"/>
      <c r="F767" s="20"/>
      <c r="G767" s="20"/>
      <c r="H767" s="20"/>
      <c r="I767" s="22"/>
      <c r="J767" s="20"/>
      <c r="K767" s="20"/>
      <c r="L767" s="20"/>
      <c r="M767" s="20"/>
      <c r="N767" s="21"/>
      <c r="O767" s="31"/>
      <c r="P767" s="20"/>
      <c r="Q767" s="31"/>
      <c r="R767" s="20"/>
      <c r="S767" s="20"/>
      <c r="T767" s="20"/>
      <c r="U767" s="20"/>
      <c r="V767" s="20"/>
      <c r="W767" s="20"/>
      <c r="X767" s="20"/>
      <c r="Y767" s="20"/>
      <c r="Z767" s="20"/>
    </row>
    <row r="768" spans="1:26" ht="9.75" customHeight="1" x14ac:dyDescent="0.25">
      <c r="A768" s="20"/>
      <c r="B768" s="21"/>
      <c r="C768" s="20"/>
      <c r="D768" s="22"/>
      <c r="E768" s="20"/>
      <c r="F768" s="20"/>
      <c r="G768" s="20"/>
      <c r="H768" s="20"/>
      <c r="I768" s="22"/>
      <c r="J768" s="20"/>
      <c r="K768" s="20"/>
      <c r="L768" s="20"/>
      <c r="M768" s="20"/>
      <c r="N768" s="21"/>
      <c r="O768" s="31"/>
      <c r="P768" s="20"/>
      <c r="Q768" s="31"/>
      <c r="R768" s="20"/>
      <c r="S768" s="20"/>
      <c r="T768" s="20"/>
      <c r="U768" s="20"/>
      <c r="V768" s="20"/>
      <c r="W768" s="20"/>
      <c r="X768" s="20"/>
      <c r="Y768" s="20"/>
      <c r="Z768" s="20"/>
    </row>
    <row r="769" spans="1:26" ht="9.75" customHeight="1" x14ac:dyDescent="0.25">
      <c r="A769" s="20"/>
      <c r="B769" s="21"/>
      <c r="C769" s="20"/>
      <c r="D769" s="22"/>
      <c r="E769" s="20"/>
      <c r="F769" s="20"/>
      <c r="G769" s="20"/>
      <c r="H769" s="20"/>
      <c r="I769" s="22"/>
      <c r="J769" s="20"/>
      <c r="K769" s="20"/>
      <c r="L769" s="20"/>
      <c r="M769" s="20"/>
      <c r="N769" s="21"/>
      <c r="O769" s="31"/>
      <c r="P769" s="20"/>
      <c r="Q769" s="31"/>
      <c r="R769" s="20"/>
      <c r="S769" s="20"/>
      <c r="T769" s="20"/>
      <c r="U769" s="20"/>
      <c r="V769" s="20"/>
      <c r="W769" s="20"/>
      <c r="X769" s="20"/>
      <c r="Y769" s="20"/>
      <c r="Z769" s="20"/>
    </row>
    <row r="770" spans="1:26" ht="9.75" customHeight="1" x14ac:dyDescent="0.25">
      <c r="A770" s="20"/>
      <c r="B770" s="21"/>
      <c r="C770" s="20"/>
      <c r="D770" s="22"/>
      <c r="E770" s="20"/>
      <c r="F770" s="20"/>
      <c r="G770" s="20"/>
      <c r="H770" s="20"/>
      <c r="I770" s="22"/>
      <c r="J770" s="20"/>
      <c r="K770" s="20"/>
      <c r="L770" s="20"/>
      <c r="M770" s="20"/>
      <c r="N770" s="21"/>
      <c r="O770" s="31"/>
      <c r="P770" s="20"/>
      <c r="Q770" s="31"/>
      <c r="R770" s="20"/>
      <c r="S770" s="20"/>
      <c r="T770" s="20"/>
      <c r="U770" s="20"/>
      <c r="V770" s="20"/>
      <c r="W770" s="20"/>
      <c r="X770" s="20"/>
      <c r="Y770" s="20"/>
      <c r="Z770" s="20"/>
    </row>
    <row r="771" spans="1:26" ht="9.75" customHeight="1" x14ac:dyDescent="0.25">
      <c r="A771" s="20"/>
      <c r="B771" s="21"/>
      <c r="C771" s="20"/>
      <c r="D771" s="22"/>
      <c r="E771" s="20"/>
      <c r="F771" s="20"/>
      <c r="G771" s="20"/>
      <c r="H771" s="20"/>
      <c r="I771" s="22"/>
      <c r="J771" s="20"/>
      <c r="K771" s="20"/>
      <c r="L771" s="20"/>
      <c r="M771" s="20"/>
      <c r="N771" s="21"/>
      <c r="O771" s="31"/>
      <c r="P771" s="20"/>
      <c r="Q771" s="31"/>
      <c r="R771" s="20"/>
      <c r="S771" s="20"/>
      <c r="T771" s="20"/>
      <c r="U771" s="20"/>
      <c r="V771" s="20"/>
      <c r="W771" s="20"/>
      <c r="X771" s="20"/>
      <c r="Y771" s="20"/>
      <c r="Z771" s="20"/>
    </row>
    <row r="772" spans="1:26" ht="9.75" customHeight="1" x14ac:dyDescent="0.25">
      <c r="A772" s="20"/>
      <c r="B772" s="21"/>
      <c r="C772" s="20"/>
      <c r="D772" s="22"/>
      <c r="E772" s="20"/>
      <c r="F772" s="20"/>
      <c r="G772" s="20"/>
      <c r="H772" s="20"/>
      <c r="I772" s="22"/>
      <c r="J772" s="20"/>
      <c r="K772" s="20"/>
      <c r="L772" s="20"/>
      <c r="M772" s="20"/>
      <c r="N772" s="21"/>
      <c r="O772" s="31"/>
      <c r="P772" s="20"/>
      <c r="Q772" s="31"/>
      <c r="R772" s="20"/>
      <c r="S772" s="20"/>
      <c r="T772" s="20"/>
      <c r="U772" s="20"/>
      <c r="V772" s="20"/>
      <c r="W772" s="20"/>
      <c r="X772" s="20"/>
      <c r="Y772" s="20"/>
      <c r="Z772" s="20"/>
    </row>
    <row r="773" spans="1:26" ht="9.75" customHeight="1" x14ac:dyDescent="0.25">
      <c r="A773" s="20"/>
      <c r="B773" s="21"/>
      <c r="C773" s="20"/>
      <c r="D773" s="22"/>
      <c r="E773" s="20"/>
      <c r="F773" s="20"/>
      <c r="G773" s="20"/>
      <c r="H773" s="20"/>
      <c r="I773" s="22"/>
      <c r="J773" s="20"/>
      <c r="K773" s="20"/>
      <c r="L773" s="20"/>
      <c r="M773" s="20"/>
      <c r="N773" s="21"/>
      <c r="O773" s="31"/>
      <c r="P773" s="20"/>
      <c r="Q773" s="31"/>
      <c r="R773" s="20"/>
      <c r="S773" s="20"/>
      <c r="T773" s="20"/>
      <c r="U773" s="20"/>
      <c r="V773" s="20"/>
      <c r="W773" s="20"/>
      <c r="X773" s="20"/>
      <c r="Y773" s="20"/>
      <c r="Z773" s="20"/>
    </row>
    <row r="774" spans="1:26" ht="9.75" customHeight="1" x14ac:dyDescent="0.25">
      <c r="A774" s="20"/>
      <c r="B774" s="21"/>
      <c r="C774" s="20"/>
      <c r="D774" s="22"/>
      <c r="E774" s="20"/>
      <c r="F774" s="20"/>
      <c r="G774" s="20"/>
      <c r="H774" s="20"/>
      <c r="I774" s="22"/>
      <c r="J774" s="20"/>
      <c r="K774" s="20"/>
      <c r="L774" s="20"/>
      <c r="M774" s="20"/>
      <c r="N774" s="21"/>
      <c r="O774" s="31"/>
      <c r="P774" s="20"/>
      <c r="Q774" s="31"/>
      <c r="R774" s="20"/>
      <c r="S774" s="20"/>
      <c r="T774" s="20"/>
      <c r="U774" s="20"/>
      <c r="V774" s="20"/>
      <c r="W774" s="20"/>
      <c r="X774" s="20"/>
      <c r="Y774" s="20"/>
      <c r="Z774" s="20"/>
    </row>
    <row r="775" spans="1:26" ht="9.75" customHeight="1" x14ac:dyDescent="0.25">
      <c r="A775" s="20"/>
      <c r="B775" s="21"/>
      <c r="C775" s="20"/>
      <c r="D775" s="22"/>
      <c r="E775" s="20"/>
      <c r="F775" s="20"/>
      <c r="G775" s="20"/>
      <c r="H775" s="20"/>
      <c r="I775" s="22"/>
      <c r="J775" s="20"/>
      <c r="K775" s="20"/>
      <c r="L775" s="20"/>
      <c r="M775" s="20"/>
      <c r="N775" s="21"/>
      <c r="O775" s="31"/>
      <c r="P775" s="20"/>
      <c r="Q775" s="31"/>
      <c r="R775" s="20"/>
      <c r="S775" s="20"/>
      <c r="T775" s="20"/>
      <c r="U775" s="20"/>
      <c r="V775" s="20"/>
      <c r="W775" s="20"/>
      <c r="X775" s="20"/>
      <c r="Y775" s="20"/>
      <c r="Z775" s="20"/>
    </row>
    <row r="776" spans="1:26" ht="9.75" customHeight="1" x14ac:dyDescent="0.25">
      <c r="A776" s="20"/>
      <c r="B776" s="21"/>
      <c r="C776" s="20"/>
      <c r="D776" s="22"/>
      <c r="E776" s="20"/>
      <c r="F776" s="20"/>
      <c r="G776" s="20"/>
      <c r="H776" s="20"/>
      <c r="I776" s="22"/>
      <c r="J776" s="20"/>
      <c r="K776" s="20"/>
      <c r="L776" s="20"/>
      <c r="M776" s="20"/>
      <c r="N776" s="21"/>
      <c r="O776" s="31"/>
      <c r="P776" s="20"/>
      <c r="Q776" s="31"/>
      <c r="R776" s="20"/>
      <c r="S776" s="20"/>
      <c r="T776" s="20"/>
      <c r="U776" s="20"/>
      <c r="V776" s="20"/>
      <c r="W776" s="20"/>
      <c r="X776" s="20"/>
      <c r="Y776" s="20"/>
      <c r="Z776" s="20"/>
    </row>
    <row r="777" spans="1:26" ht="9.75" customHeight="1" x14ac:dyDescent="0.25">
      <c r="A777" s="20"/>
      <c r="B777" s="21"/>
      <c r="C777" s="20"/>
      <c r="D777" s="22"/>
      <c r="E777" s="20"/>
      <c r="F777" s="20"/>
      <c r="G777" s="20"/>
      <c r="H777" s="20"/>
      <c r="I777" s="22"/>
      <c r="J777" s="20"/>
      <c r="K777" s="20"/>
      <c r="L777" s="20"/>
      <c r="M777" s="20"/>
      <c r="N777" s="21"/>
      <c r="O777" s="31"/>
      <c r="P777" s="20"/>
      <c r="Q777" s="31"/>
      <c r="R777" s="20"/>
      <c r="S777" s="20"/>
      <c r="T777" s="20"/>
      <c r="U777" s="20"/>
      <c r="V777" s="20"/>
      <c r="W777" s="20"/>
      <c r="X777" s="20"/>
      <c r="Y777" s="20"/>
      <c r="Z777" s="20"/>
    </row>
    <row r="778" spans="1:26" ht="9.75" customHeight="1" x14ac:dyDescent="0.25">
      <c r="A778" s="20"/>
      <c r="B778" s="21"/>
      <c r="C778" s="20"/>
      <c r="D778" s="22"/>
      <c r="E778" s="20"/>
      <c r="F778" s="20"/>
      <c r="G778" s="20"/>
      <c r="H778" s="20"/>
      <c r="I778" s="22"/>
      <c r="J778" s="20"/>
      <c r="K778" s="20"/>
      <c r="L778" s="20"/>
      <c r="M778" s="20"/>
      <c r="N778" s="21"/>
      <c r="O778" s="31"/>
      <c r="P778" s="20"/>
      <c r="Q778" s="31"/>
      <c r="R778" s="20"/>
      <c r="S778" s="20"/>
      <c r="T778" s="20"/>
      <c r="U778" s="20"/>
      <c r="V778" s="20"/>
      <c r="W778" s="20"/>
      <c r="X778" s="20"/>
      <c r="Y778" s="20"/>
      <c r="Z778" s="20"/>
    </row>
    <row r="779" spans="1:26" ht="9.75" customHeight="1" x14ac:dyDescent="0.25">
      <c r="A779" s="20"/>
      <c r="B779" s="21"/>
      <c r="C779" s="20"/>
      <c r="D779" s="22"/>
      <c r="E779" s="20"/>
      <c r="F779" s="20"/>
      <c r="G779" s="20"/>
      <c r="H779" s="20"/>
      <c r="I779" s="22"/>
      <c r="J779" s="20"/>
      <c r="K779" s="20"/>
      <c r="L779" s="20"/>
      <c r="M779" s="20"/>
      <c r="N779" s="21"/>
      <c r="O779" s="31"/>
      <c r="P779" s="20"/>
      <c r="Q779" s="31"/>
      <c r="R779" s="20"/>
      <c r="S779" s="20"/>
      <c r="T779" s="20"/>
      <c r="U779" s="20"/>
      <c r="V779" s="20"/>
      <c r="W779" s="20"/>
      <c r="X779" s="20"/>
      <c r="Y779" s="20"/>
      <c r="Z779" s="20"/>
    </row>
    <row r="780" spans="1:26" ht="9.75" customHeight="1" x14ac:dyDescent="0.25">
      <c r="A780" s="20"/>
      <c r="B780" s="21"/>
      <c r="C780" s="20"/>
      <c r="D780" s="22"/>
      <c r="E780" s="20"/>
      <c r="F780" s="20"/>
      <c r="G780" s="20"/>
      <c r="H780" s="20"/>
      <c r="I780" s="22"/>
      <c r="J780" s="20"/>
      <c r="K780" s="20"/>
      <c r="L780" s="20"/>
      <c r="M780" s="20"/>
      <c r="N780" s="21"/>
      <c r="O780" s="31"/>
      <c r="P780" s="20"/>
      <c r="Q780" s="31"/>
      <c r="R780" s="20"/>
      <c r="S780" s="20"/>
      <c r="T780" s="20"/>
      <c r="U780" s="20"/>
      <c r="V780" s="20"/>
      <c r="W780" s="20"/>
      <c r="X780" s="20"/>
      <c r="Y780" s="20"/>
      <c r="Z780" s="20"/>
    </row>
    <row r="781" spans="1:26" ht="9.75" customHeight="1" x14ac:dyDescent="0.25">
      <c r="A781" s="20"/>
      <c r="B781" s="21"/>
      <c r="C781" s="20"/>
      <c r="D781" s="22"/>
      <c r="E781" s="20"/>
      <c r="F781" s="20"/>
      <c r="G781" s="20"/>
      <c r="H781" s="20"/>
      <c r="I781" s="22"/>
      <c r="J781" s="20"/>
      <c r="K781" s="20"/>
      <c r="L781" s="20"/>
      <c r="M781" s="20"/>
      <c r="N781" s="21"/>
      <c r="O781" s="31"/>
      <c r="P781" s="20"/>
      <c r="Q781" s="31"/>
      <c r="R781" s="20"/>
      <c r="S781" s="20"/>
      <c r="T781" s="20"/>
      <c r="U781" s="20"/>
      <c r="V781" s="20"/>
      <c r="W781" s="20"/>
      <c r="X781" s="20"/>
      <c r="Y781" s="20"/>
      <c r="Z781" s="20"/>
    </row>
    <row r="782" spans="1:26" ht="9.75" customHeight="1" x14ac:dyDescent="0.25">
      <c r="A782" s="20"/>
      <c r="B782" s="21"/>
      <c r="C782" s="20"/>
      <c r="D782" s="22"/>
      <c r="E782" s="20"/>
      <c r="F782" s="20"/>
      <c r="G782" s="20"/>
      <c r="H782" s="20"/>
      <c r="I782" s="22"/>
      <c r="J782" s="20"/>
      <c r="K782" s="20"/>
      <c r="L782" s="20"/>
      <c r="M782" s="20"/>
      <c r="N782" s="21"/>
      <c r="O782" s="31"/>
      <c r="P782" s="20"/>
      <c r="Q782" s="31"/>
      <c r="R782" s="20"/>
      <c r="S782" s="20"/>
      <c r="T782" s="20"/>
      <c r="U782" s="20"/>
      <c r="V782" s="20"/>
      <c r="W782" s="20"/>
      <c r="X782" s="20"/>
      <c r="Y782" s="20"/>
      <c r="Z782" s="20"/>
    </row>
    <row r="783" spans="1:26" ht="9.75" customHeight="1" x14ac:dyDescent="0.25">
      <c r="A783" s="20"/>
      <c r="B783" s="21"/>
      <c r="C783" s="20"/>
      <c r="D783" s="22"/>
      <c r="E783" s="20"/>
      <c r="F783" s="20"/>
      <c r="G783" s="20"/>
      <c r="H783" s="20"/>
      <c r="I783" s="22"/>
      <c r="J783" s="20"/>
      <c r="K783" s="20"/>
      <c r="L783" s="20"/>
      <c r="M783" s="20"/>
      <c r="N783" s="21"/>
      <c r="O783" s="31"/>
      <c r="P783" s="20"/>
      <c r="Q783" s="31"/>
      <c r="R783" s="20"/>
      <c r="S783" s="20"/>
      <c r="T783" s="20"/>
      <c r="U783" s="20"/>
      <c r="V783" s="20"/>
      <c r="W783" s="20"/>
      <c r="X783" s="20"/>
      <c r="Y783" s="20"/>
      <c r="Z783" s="20"/>
    </row>
    <row r="784" spans="1:26" ht="9.75" customHeight="1" x14ac:dyDescent="0.25">
      <c r="A784" s="20"/>
      <c r="B784" s="21"/>
      <c r="C784" s="20"/>
      <c r="D784" s="22"/>
      <c r="E784" s="20"/>
      <c r="F784" s="20"/>
      <c r="G784" s="20"/>
      <c r="H784" s="20"/>
      <c r="I784" s="22"/>
      <c r="J784" s="20"/>
      <c r="K784" s="20"/>
      <c r="L784" s="20"/>
      <c r="M784" s="20"/>
      <c r="N784" s="21"/>
      <c r="O784" s="31"/>
      <c r="P784" s="20"/>
      <c r="Q784" s="31"/>
      <c r="R784" s="20"/>
      <c r="S784" s="20"/>
      <c r="T784" s="20"/>
      <c r="U784" s="20"/>
      <c r="V784" s="20"/>
      <c r="W784" s="20"/>
      <c r="X784" s="20"/>
      <c r="Y784" s="20"/>
      <c r="Z784" s="20"/>
    </row>
    <row r="785" spans="1:26" ht="9.75" customHeight="1" x14ac:dyDescent="0.25">
      <c r="A785" s="20"/>
      <c r="B785" s="21"/>
      <c r="C785" s="20"/>
      <c r="D785" s="22"/>
      <c r="E785" s="20"/>
      <c r="F785" s="20"/>
      <c r="G785" s="20"/>
      <c r="H785" s="20"/>
      <c r="I785" s="22"/>
      <c r="J785" s="20"/>
      <c r="K785" s="20"/>
      <c r="L785" s="20"/>
      <c r="M785" s="20"/>
      <c r="N785" s="21"/>
      <c r="O785" s="31"/>
      <c r="P785" s="20"/>
      <c r="Q785" s="31"/>
      <c r="R785" s="20"/>
      <c r="S785" s="20"/>
      <c r="T785" s="20"/>
      <c r="U785" s="20"/>
      <c r="V785" s="20"/>
      <c r="W785" s="20"/>
      <c r="X785" s="20"/>
      <c r="Y785" s="20"/>
      <c r="Z785" s="20"/>
    </row>
    <row r="786" spans="1:26" ht="9.75" customHeight="1" x14ac:dyDescent="0.25">
      <c r="A786" s="20"/>
      <c r="B786" s="21"/>
      <c r="C786" s="20"/>
      <c r="D786" s="22"/>
      <c r="E786" s="20"/>
      <c r="F786" s="20"/>
      <c r="G786" s="20"/>
      <c r="H786" s="20"/>
      <c r="I786" s="22"/>
      <c r="J786" s="20"/>
      <c r="K786" s="20"/>
      <c r="L786" s="20"/>
      <c r="M786" s="20"/>
      <c r="N786" s="21"/>
      <c r="O786" s="31"/>
      <c r="P786" s="20"/>
      <c r="Q786" s="31"/>
      <c r="R786" s="20"/>
      <c r="S786" s="20"/>
      <c r="T786" s="20"/>
      <c r="U786" s="20"/>
      <c r="V786" s="20"/>
      <c r="W786" s="20"/>
      <c r="X786" s="20"/>
      <c r="Y786" s="20"/>
      <c r="Z786" s="20"/>
    </row>
    <row r="787" spans="1:26" ht="9.75" customHeight="1" x14ac:dyDescent="0.25">
      <c r="A787" s="20"/>
      <c r="B787" s="21"/>
      <c r="C787" s="20"/>
      <c r="D787" s="22"/>
      <c r="E787" s="20"/>
      <c r="F787" s="20"/>
      <c r="G787" s="20"/>
      <c r="H787" s="20"/>
      <c r="I787" s="22"/>
      <c r="J787" s="20"/>
      <c r="K787" s="20"/>
      <c r="L787" s="20"/>
      <c r="M787" s="20"/>
      <c r="N787" s="21"/>
      <c r="O787" s="31"/>
      <c r="P787" s="20"/>
      <c r="Q787" s="31"/>
      <c r="R787" s="20"/>
      <c r="S787" s="20"/>
      <c r="T787" s="20"/>
      <c r="U787" s="20"/>
      <c r="V787" s="20"/>
      <c r="W787" s="20"/>
      <c r="X787" s="20"/>
      <c r="Y787" s="20"/>
      <c r="Z787" s="20"/>
    </row>
    <row r="788" spans="1:26" ht="9.75" customHeight="1" x14ac:dyDescent="0.25">
      <c r="A788" s="20"/>
      <c r="B788" s="21"/>
      <c r="C788" s="20"/>
      <c r="D788" s="22"/>
      <c r="E788" s="20"/>
      <c r="F788" s="20"/>
      <c r="G788" s="20"/>
      <c r="H788" s="20"/>
      <c r="I788" s="22"/>
      <c r="J788" s="20"/>
      <c r="K788" s="20"/>
      <c r="L788" s="20"/>
      <c r="M788" s="20"/>
      <c r="N788" s="21"/>
      <c r="O788" s="31"/>
      <c r="P788" s="20"/>
      <c r="Q788" s="31"/>
      <c r="R788" s="20"/>
      <c r="S788" s="20"/>
      <c r="T788" s="20"/>
      <c r="U788" s="20"/>
      <c r="V788" s="20"/>
      <c r="W788" s="20"/>
      <c r="X788" s="20"/>
      <c r="Y788" s="20"/>
      <c r="Z788" s="20"/>
    </row>
    <row r="789" spans="1:26" ht="9.75" customHeight="1" x14ac:dyDescent="0.25">
      <c r="A789" s="20"/>
      <c r="B789" s="21"/>
      <c r="C789" s="20"/>
      <c r="D789" s="22"/>
      <c r="E789" s="20"/>
      <c r="F789" s="20"/>
      <c r="G789" s="20"/>
      <c r="H789" s="20"/>
      <c r="I789" s="22"/>
      <c r="J789" s="20"/>
      <c r="K789" s="20"/>
      <c r="L789" s="20"/>
      <c r="M789" s="20"/>
      <c r="N789" s="21"/>
      <c r="O789" s="31"/>
      <c r="P789" s="20"/>
      <c r="Q789" s="31"/>
      <c r="R789" s="20"/>
      <c r="S789" s="20"/>
      <c r="T789" s="20"/>
      <c r="U789" s="20"/>
      <c r="V789" s="20"/>
      <c r="W789" s="20"/>
      <c r="X789" s="20"/>
      <c r="Y789" s="20"/>
      <c r="Z789" s="20"/>
    </row>
    <row r="790" spans="1:26" ht="9.75" customHeight="1" x14ac:dyDescent="0.25">
      <c r="A790" s="20"/>
      <c r="B790" s="21"/>
      <c r="C790" s="20"/>
      <c r="D790" s="22"/>
      <c r="E790" s="20"/>
      <c r="F790" s="20"/>
      <c r="G790" s="20"/>
      <c r="H790" s="20"/>
      <c r="I790" s="22"/>
      <c r="J790" s="20"/>
      <c r="K790" s="20"/>
      <c r="L790" s="20"/>
      <c r="M790" s="20"/>
      <c r="N790" s="21"/>
      <c r="O790" s="31"/>
      <c r="P790" s="20"/>
      <c r="Q790" s="31"/>
      <c r="R790" s="20"/>
      <c r="S790" s="20"/>
      <c r="T790" s="20"/>
      <c r="U790" s="20"/>
      <c r="V790" s="20"/>
      <c r="W790" s="20"/>
      <c r="X790" s="20"/>
      <c r="Y790" s="20"/>
      <c r="Z790" s="20"/>
    </row>
    <row r="791" spans="1:26" ht="9.75" customHeight="1" x14ac:dyDescent="0.25">
      <c r="A791" s="20"/>
      <c r="B791" s="21"/>
      <c r="C791" s="20"/>
      <c r="D791" s="22"/>
      <c r="E791" s="20"/>
      <c r="F791" s="20"/>
      <c r="G791" s="20"/>
      <c r="H791" s="20"/>
      <c r="I791" s="22"/>
      <c r="J791" s="20"/>
      <c r="K791" s="20"/>
      <c r="L791" s="20"/>
      <c r="M791" s="20"/>
      <c r="N791" s="21"/>
      <c r="O791" s="31"/>
      <c r="P791" s="20"/>
      <c r="Q791" s="31"/>
      <c r="R791" s="20"/>
      <c r="S791" s="20"/>
      <c r="T791" s="20"/>
      <c r="U791" s="20"/>
      <c r="V791" s="20"/>
      <c r="W791" s="20"/>
      <c r="X791" s="20"/>
      <c r="Y791" s="20"/>
      <c r="Z791" s="20"/>
    </row>
    <row r="792" spans="1:26" ht="9.75" customHeight="1" x14ac:dyDescent="0.25">
      <c r="A792" s="20"/>
      <c r="B792" s="21"/>
      <c r="C792" s="20"/>
      <c r="D792" s="22"/>
      <c r="E792" s="20"/>
      <c r="F792" s="20"/>
      <c r="G792" s="20"/>
      <c r="H792" s="20"/>
      <c r="I792" s="22"/>
      <c r="J792" s="20"/>
      <c r="K792" s="20"/>
      <c r="L792" s="20"/>
      <c r="M792" s="20"/>
      <c r="N792" s="21"/>
      <c r="O792" s="31"/>
      <c r="P792" s="20"/>
      <c r="Q792" s="31"/>
      <c r="R792" s="20"/>
      <c r="S792" s="20"/>
      <c r="T792" s="20"/>
      <c r="U792" s="20"/>
      <c r="V792" s="20"/>
      <c r="W792" s="20"/>
      <c r="X792" s="20"/>
      <c r="Y792" s="20"/>
      <c r="Z792" s="20"/>
    </row>
    <row r="793" spans="1:26" ht="9.75" customHeight="1" x14ac:dyDescent="0.25">
      <c r="A793" s="20"/>
      <c r="B793" s="21"/>
      <c r="C793" s="20"/>
      <c r="D793" s="22"/>
      <c r="E793" s="20"/>
      <c r="F793" s="20"/>
      <c r="G793" s="20"/>
      <c r="H793" s="20"/>
      <c r="I793" s="22"/>
      <c r="J793" s="20"/>
      <c r="K793" s="20"/>
      <c r="L793" s="20"/>
      <c r="M793" s="20"/>
      <c r="N793" s="21"/>
      <c r="O793" s="31"/>
      <c r="P793" s="20"/>
      <c r="Q793" s="31"/>
      <c r="R793" s="20"/>
      <c r="S793" s="20"/>
      <c r="T793" s="20"/>
      <c r="U793" s="20"/>
      <c r="V793" s="20"/>
      <c r="W793" s="20"/>
      <c r="X793" s="20"/>
      <c r="Y793" s="20"/>
      <c r="Z793" s="20"/>
    </row>
    <row r="794" spans="1:26" ht="9.75" customHeight="1" x14ac:dyDescent="0.25">
      <c r="A794" s="20"/>
      <c r="B794" s="21"/>
      <c r="C794" s="20"/>
      <c r="D794" s="22"/>
      <c r="E794" s="20"/>
      <c r="F794" s="20"/>
      <c r="G794" s="20"/>
      <c r="H794" s="20"/>
      <c r="I794" s="22"/>
      <c r="J794" s="20"/>
      <c r="K794" s="20"/>
      <c r="L794" s="20"/>
      <c r="M794" s="20"/>
      <c r="N794" s="21"/>
      <c r="O794" s="31"/>
      <c r="P794" s="20"/>
      <c r="Q794" s="31"/>
      <c r="R794" s="20"/>
      <c r="S794" s="20"/>
      <c r="T794" s="20"/>
      <c r="U794" s="20"/>
      <c r="V794" s="20"/>
      <c r="W794" s="20"/>
      <c r="X794" s="20"/>
      <c r="Y794" s="20"/>
      <c r="Z794" s="20"/>
    </row>
    <row r="795" spans="1:26" ht="9.75" customHeight="1" x14ac:dyDescent="0.25">
      <c r="A795" s="20"/>
      <c r="B795" s="21"/>
      <c r="C795" s="20"/>
      <c r="D795" s="22"/>
      <c r="E795" s="20"/>
      <c r="F795" s="20"/>
      <c r="G795" s="20"/>
      <c r="H795" s="20"/>
      <c r="I795" s="22"/>
      <c r="J795" s="20"/>
      <c r="K795" s="20"/>
      <c r="L795" s="20"/>
      <c r="M795" s="20"/>
      <c r="N795" s="21"/>
      <c r="O795" s="31"/>
      <c r="P795" s="20"/>
      <c r="Q795" s="31"/>
      <c r="R795" s="20"/>
      <c r="S795" s="20"/>
      <c r="T795" s="20"/>
      <c r="U795" s="20"/>
      <c r="V795" s="20"/>
      <c r="W795" s="20"/>
      <c r="X795" s="20"/>
      <c r="Y795" s="20"/>
      <c r="Z795" s="20"/>
    </row>
    <row r="796" spans="1:26" ht="9.75" customHeight="1" x14ac:dyDescent="0.25">
      <c r="A796" s="20"/>
      <c r="B796" s="21"/>
      <c r="C796" s="20"/>
      <c r="D796" s="22"/>
      <c r="E796" s="20"/>
      <c r="F796" s="20"/>
      <c r="G796" s="20"/>
      <c r="H796" s="20"/>
      <c r="I796" s="22"/>
      <c r="J796" s="20"/>
      <c r="K796" s="20"/>
      <c r="L796" s="20"/>
      <c r="M796" s="20"/>
      <c r="N796" s="21"/>
      <c r="O796" s="31"/>
      <c r="P796" s="20"/>
      <c r="Q796" s="31"/>
      <c r="R796" s="20"/>
      <c r="S796" s="20"/>
      <c r="T796" s="20"/>
      <c r="U796" s="20"/>
      <c r="V796" s="20"/>
      <c r="W796" s="20"/>
      <c r="X796" s="20"/>
      <c r="Y796" s="20"/>
      <c r="Z796" s="20"/>
    </row>
    <row r="797" spans="1:26" ht="9.75" customHeight="1" x14ac:dyDescent="0.25">
      <c r="A797" s="20"/>
      <c r="B797" s="21"/>
      <c r="C797" s="20"/>
      <c r="D797" s="22"/>
      <c r="E797" s="20"/>
      <c r="F797" s="20"/>
      <c r="G797" s="20"/>
      <c r="H797" s="20"/>
      <c r="I797" s="22"/>
      <c r="J797" s="20"/>
      <c r="K797" s="20"/>
      <c r="L797" s="20"/>
      <c r="M797" s="20"/>
      <c r="N797" s="21"/>
      <c r="O797" s="31"/>
      <c r="P797" s="20"/>
      <c r="Q797" s="31"/>
      <c r="R797" s="20"/>
      <c r="S797" s="20"/>
      <c r="T797" s="20"/>
      <c r="U797" s="20"/>
      <c r="V797" s="20"/>
      <c r="W797" s="20"/>
      <c r="X797" s="20"/>
      <c r="Y797" s="20"/>
      <c r="Z797" s="20"/>
    </row>
    <row r="798" spans="1:26" ht="9.75" customHeight="1" x14ac:dyDescent="0.25">
      <c r="A798" s="20"/>
      <c r="B798" s="21"/>
      <c r="C798" s="20"/>
      <c r="D798" s="22"/>
      <c r="E798" s="20"/>
      <c r="F798" s="20"/>
      <c r="G798" s="20"/>
      <c r="H798" s="20"/>
      <c r="I798" s="22"/>
      <c r="J798" s="20"/>
      <c r="K798" s="20"/>
      <c r="L798" s="20"/>
      <c r="M798" s="20"/>
      <c r="N798" s="21"/>
      <c r="O798" s="31"/>
      <c r="P798" s="20"/>
      <c r="Q798" s="31"/>
      <c r="R798" s="20"/>
      <c r="S798" s="20"/>
      <c r="T798" s="20"/>
      <c r="U798" s="20"/>
      <c r="V798" s="20"/>
      <c r="W798" s="20"/>
      <c r="X798" s="20"/>
      <c r="Y798" s="20"/>
      <c r="Z798" s="20"/>
    </row>
    <row r="799" spans="1:26" ht="9.75" customHeight="1" x14ac:dyDescent="0.25">
      <c r="A799" s="20"/>
      <c r="B799" s="21"/>
      <c r="C799" s="20"/>
      <c r="D799" s="22"/>
      <c r="E799" s="20"/>
      <c r="F799" s="20"/>
      <c r="G799" s="20"/>
      <c r="H799" s="20"/>
      <c r="I799" s="22"/>
      <c r="J799" s="20"/>
      <c r="K799" s="20"/>
      <c r="L799" s="20"/>
      <c r="M799" s="20"/>
      <c r="N799" s="21"/>
      <c r="O799" s="31"/>
      <c r="P799" s="20"/>
      <c r="Q799" s="31"/>
      <c r="R799" s="20"/>
      <c r="S799" s="20"/>
      <c r="T799" s="20"/>
      <c r="U799" s="20"/>
      <c r="V799" s="20"/>
      <c r="W799" s="20"/>
      <c r="X799" s="20"/>
      <c r="Y799" s="20"/>
      <c r="Z799" s="20"/>
    </row>
    <row r="800" spans="1:26" ht="9.75" customHeight="1" x14ac:dyDescent="0.25">
      <c r="A800" s="20"/>
      <c r="B800" s="21"/>
      <c r="C800" s="20"/>
      <c r="D800" s="22"/>
      <c r="E800" s="20"/>
      <c r="F800" s="20"/>
      <c r="G800" s="20"/>
      <c r="H800" s="20"/>
      <c r="I800" s="22"/>
      <c r="J800" s="20"/>
      <c r="K800" s="20"/>
      <c r="L800" s="20"/>
      <c r="M800" s="20"/>
      <c r="N800" s="21"/>
      <c r="O800" s="31"/>
      <c r="P800" s="20"/>
      <c r="Q800" s="31"/>
      <c r="R800" s="20"/>
      <c r="S800" s="20"/>
      <c r="T800" s="20"/>
      <c r="U800" s="20"/>
      <c r="V800" s="20"/>
      <c r="W800" s="20"/>
      <c r="X800" s="20"/>
      <c r="Y800" s="20"/>
      <c r="Z800" s="20"/>
    </row>
    <row r="801" spans="1:26" ht="9.75" customHeight="1" x14ac:dyDescent="0.25">
      <c r="A801" s="20"/>
      <c r="B801" s="21"/>
      <c r="C801" s="20"/>
      <c r="D801" s="22"/>
      <c r="E801" s="20"/>
      <c r="F801" s="20"/>
      <c r="G801" s="20"/>
      <c r="H801" s="20"/>
      <c r="I801" s="22"/>
      <c r="J801" s="20"/>
      <c r="K801" s="20"/>
      <c r="L801" s="20"/>
      <c r="M801" s="20"/>
      <c r="N801" s="21"/>
      <c r="O801" s="31"/>
      <c r="P801" s="20"/>
      <c r="Q801" s="31"/>
      <c r="R801" s="20"/>
      <c r="S801" s="20"/>
      <c r="T801" s="20"/>
      <c r="U801" s="20"/>
      <c r="V801" s="20"/>
      <c r="W801" s="20"/>
      <c r="X801" s="20"/>
      <c r="Y801" s="20"/>
      <c r="Z801" s="20"/>
    </row>
    <row r="802" spans="1:26" ht="9.75" customHeight="1" x14ac:dyDescent="0.25">
      <c r="A802" s="20"/>
      <c r="B802" s="21"/>
      <c r="C802" s="20"/>
      <c r="D802" s="22"/>
      <c r="E802" s="20"/>
      <c r="F802" s="20"/>
      <c r="G802" s="20"/>
      <c r="H802" s="20"/>
      <c r="I802" s="22"/>
      <c r="J802" s="20"/>
      <c r="K802" s="20"/>
      <c r="L802" s="20"/>
      <c r="M802" s="20"/>
      <c r="N802" s="21"/>
      <c r="O802" s="31"/>
      <c r="P802" s="20"/>
      <c r="Q802" s="31"/>
      <c r="R802" s="20"/>
      <c r="S802" s="20"/>
      <c r="T802" s="20"/>
      <c r="U802" s="20"/>
      <c r="V802" s="20"/>
      <c r="W802" s="20"/>
      <c r="X802" s="20"/>
      <c r="Y802" s="20"/>
      <c r="Z802" s="20"/>
    </row>
    <row r="803" spans="1:26" ht="9.75" customHeight="1" x14ac:dyDescent="0.25">
      <c r="A803" s="20"/>
      <c r="B803" s="21"/>
      <c r="C803" s="20"/>
      <c r="D803" s="22"/>
      <c r="E803" s="20"/>
      <c r="F803" s="20"/>
      <c r="G803" s="20"/>
      <c r="H803" s="20"/>
      <c r="I803" s="22"/>
      <c r="J803" s="20"/>
      <c r="K803" s="20"/>
      <c r="L803" s="20"/>
      <c r="M803" s="20"/>
      <c r="N803" s="21"/>
      <c r="O803" s="31"/>
      <c r="P803" s="20"/>
      <c r="Q803" s="31"/>
      <c r="R803" s="20"/>
      <c r="S803" s="20"/>
      <c r="T803" s="20"/>
      <c r="U803" s="20"/>
      <c r="V803" s="20"/>
      <c r="W803" s="20"/>
      <c r="X803" s="20"/>
      <c r="Y803" s="20"/>
      <c r="Z803" s="20"/>
    </row>
    <row r="804" spans="1:26" ht="9.75" customHeight="1" x14ac:dyDescent="0.25">
      <c r="A804" s="20"/>
      <c r="B804" s="21"/>
      <c r="C804" s="20"/>
      <c r="D804" s="22"/>
      <c r="E804" s="20"/>
      <c r="F804" s="20"/>
      <c r="G804" s="20"/>
      <c r="H804" s="20"/>
      <c r="I804" s="22"/>
      <c r="J804" s="20"/>
      <c r="K804" s="20"/>
      <c r="L804" s="20"/>
      <c r="M804" s="20"/>
      <c r="N804" s="21"/>
      <c r="O804" s="31"/>
      <c r="P804" s="20"/>
      <c r="Q804" s="31"/>
      <c r="R804" s="20"/>
      <c r="S804" s="20"/>
      <c r="T804" s="20"/>
      <c r="U804" s="20"/>
      <c r="V804" s="20"/>
      <c r="W804" s="20"/>
      <c r="X804" s="20"/>
      <c r="Y804" s="20"/>
      <c r="Z804" s="20"/>
    </row>
    <row r="805" spans="1:26" ht="9.75" customHeight="1" x14ac:dyDescent="0.25">
      <c r="A805" s="20"/>
      <c r="B805" s="21"/>
      <c r="C805" s="20"/>
      <c r="D805" s="22"/>
      <c r="E805" s="20"/>
      <c r="F805" s="20"/>
      <c r="G805" s="20"/>
      <c r="H805" s="20"/>
      <c r="I805" s="22"/>
      <c r="J805" s="20"/>
      <c r="K805" s="20"/>
      <c r="L805" s="20"/>
      <c r="M805" s="20"/>
      <c r="N805" s="21"/>
      <c r="O805" s="31"/>
      <c r="P805" s="20"/>
      <c r="Q805" s="31"/>
      <c r="R805" s="20"/>
      <c r="S805" s="20"/>
      <c r="T805" s="20"/>
      <c r="U805" s="20"/>
      <c r="V805" s="20"/>
      <c r="W805" s="20"/>
      <c r="X805" s="20"/>
      <c r="Y805" s="20"/>
      <c r="Z805" s="20"/>
    </row>
    <row r="806" spans="1:26" ht="9.75" customHeight="1" x14ac:dyDescent="0.25">
      <c r="A806" s="20"/>
      <c r="B806" s="21"/>
      <c r="C806" s="20"/>
      <c r="D806" s="22"/>
      <c r="E806" s="20"/>
      <c r="F806" s="20"/>
      <c r="G806" s="20"/>
      <c r="H806" s="20"/>
      <c r="I806" s="22"/>
      <c r="J806" s="20"/>
      <c r="K806" s="20"/>
      <c r="L806" s="20"/>
      <c r="M806" s="20"/>
      <c r="N806" s="21"/>
      <c r="O806" s="31"/>
      <c r="P806" s="20"/>
      <c r="Q806" s="31"/>
      <c r="R806" s="20"/>
      <c r="S806" s="20"/>
      <c r="T806" s="20"/>
      <c r="U806" s="20"/>
      <c r="V806" s="20"/>
      <c r="W806" s="20"/>
      <c r="X806" s="20"/>
      <c r="Y806" s="20"/>
      <c r="Z806" s="20"/>
    </row>
    <row r="807" spans="1:26" ht="9.75" customHeight="1" x14ac:dyDescent="0.25">
      <c r="A807" s="20"/>
      <c r="B807" s="21"/>
      <c r="C807" s="20"/>
      <c r="D807" s="22"/>
      <c r="E807" s="20"/>
      <c r="F807" s="20"/>
      <c r="G807" s="20"/>
      <c r="H807" s="20"/>
      <c r="I807" s="22"/>
      <c r="J807" s="20"/>
      <c r="K807" s="20"/>
      <c r="L807" s="20"/>
      <c r="M807" s="20"/>
      <c r="N807" s="21"/>
      <c r="O807" s="31"/>
      <c r="P807" s="20"/>
      <c r="Q807" s="31"/>
      <c r="R807" s="20"/>
      <c r="S807" s="20"/>
      <c r="T807" s="20"/>
      <c r="U807" s="20"/>
      <c r="V807" s="20"/>
      <c r="W807" s="20"/>
      <c r="X807" s="20"/>
      <c r="Y807" s="20"/>
      <c r="Z807" s="20"/>
    </row>
    <row r="808" spans="1:26" ht="9.75" customHeight="1" x14ac:dyDescent="0.25">
      <c r="A808" s="20"/>
      <c r="B808" s="21"/>
      <c r="C808" s="20"/>
      <c r="D808" s="22"/>
      <c r="E808" s="20"/>
      <c r="F808" s="20"/>
      <c r="G808" s="20"/>
      <c r="H808" s="20"/>
      <c r="I808" s="22"/>
      <c r="J808" s="20"/>
      <c r="K808" s="20"/>
      <c r="L808" s="20"/>
      <c r="M808" s="20"/>
      <c r="N808" s="21"/>
      <c r="O808" s="31"/>
      <c r="P808" s="20"/>
      <c r="Q808" s="31"/>
      <c r="R808" s="20"/>
      <c r="S808" s="20"/>
      <c r="T808" s="20"/>
      <c r="U808" s="20"/>
      <c r="V808" s="20"/>
      <c r="W808" s="20"/>
      <c r="X808" s="20"/>
      <c r="Y808" s="20"/>
      <c r="Z808" s="20"/>
    </row>
    <row r="809" spans="1:26" ht="9.75" customHeight="1" x14ac:dyDescent="0.25">
      <c r="A809" s="20"/>
      <c r="B809" s="21"/>
      <c r="C809" s="20"/>
      <c r="D809" s="22"/>
      <c r="E809" s="20"/>
      <c r="F809" s="20"/>
      <c r="G809" s="20"/>
      <c r="H809" s="20"/>
      <c r="I809" s="22"/>
      <c r="J809" s="20"/>
      <c r="K809" s="20"/>
      <c r="L809" s="20"/>
      <c r="M809" s="20"/>
      <c r="N809" s="21"/>
      <c r="O809" s="31"/>
      <c r="P809" s="20"/>
      <c r="Q809" s="31"/>
      <c r="R809" s="20"/>
      <c r="S809" s="20"/>
      <c r="T809" s="20"/>
      <c r="U809" s="20"/>
      <c r="V809" s="20"/>
      <c r="W809" s="20"/>
      <c r="X809" s="20"/>
      <c r="Y809" s="20"/>
      <c r="Z809" s="20"/>
    </row>
    <row r="810" spans="1:26" ht="9.75" customHeight="1" x14ac:dyDescent="0.25">
      <c r="A810" s="20"/>
      <c r="B810" s="21"/>
      <c r="C810" s="20"/>
      <c r="D810" s="22"/>
      <c r="E810" s="20"/>
      <c r="F810" s="20"/>
      <c r="G810" s="20"/>
      <c r="H810" s="20"/>
      <c r="I810" s="22"/>
      <c r="J810" s="20"/>
      <c r="K810" s="20"/>
      <c r="L810" s="20"/>
      <c r="M810" s="20"/>
      <c r="N810" s="21"/>
      <c r="O810" s="31"/>
      <c r="P810" s="20"/>
      <c r="Q810" s="31"/>
      <c r="R810" s="20"/>
      <c r="S810" s="20"/>
      <c r="T810" s="20"/>
      <c r="U810" s="20"/>
      <c r="V810" s="20"/>
      <c r="W810" s="20"/>
      <c r="X810" s="20"/>
      <c r="Y810" s="20"/>
      <c r="Z810" s="20"/>
    </row>
    <row r="811" spans="1:26" ht="9.75" customHeight="1" x14ac:dyDescent="0.25">
      <c r="A811" s="20"/>
      <c r="B811" s="21"/>
      <c r="C811" s="20"/>
      <c r="D811" s="22"/>
      <c r="E811" s="20"/>
      <c r="F811" s="20"/>
      <c r="G811" s="20"/>
      <c r="H811" s="20"/>
      <c r="I811" s="22"/>
      <c r="J811" s="20"/>
      <c r="K811" s="20"/>
      <c r="L811" s="20"/>
      <c r="M811" s="20"/>
      <c r="N811" s="21"/>
      <c r="O811" s="31"/>
      <c r="P811" s="20"/>
      <c r="Q811" s="31"/>
      <c r="R811" s="20"/>
      <c r="S811" s="20"/>
      <c r="T811" s="20"/>
      <c r="U811" s="20"/>
      <c r="V811" s="20"/>
      <c r="W811" s="20"/>
      <c r="X811" s="20"/>
      <c r="Y811" s="20"/>
      <c r="Z811" s="20"/>
    </row>
    <row r="812" spans="1:26" ht="9.75" customHeight="1" x14ac:dyDescent="0.25">
      <c r="A812" s="20"/>
      <c r="B812" s="21"/>
      <c r="C812" s="20"/>
      <c r="D812" s="22"/>
      <c r="E812" s="20"/>
      <c r="F812" s="20"/>
      <c r="G812" s="20"/>
      <c r="H812" s="20"/>
      <c r="I812" s="22"/>
      <c r="J812" s="20"/>
      <c r="K812" s="20"/>
      <c r="L812" s="20"/>
      <c r="M812" s="20"/>
      <c r="N812" s="21"/>
      <c r="O812" s="31"/>
      <c r="P812" s="20"/>
      <c r="Q812" s="31"/>
      <c r="R812" s="20"/>
      <c r="S812" s="20"/>
      <c r="T812" s="20"/>
      <c r="U812" s="20"/>
      <c r="V812" s="20"/>
      <c r="W812" s="20"/>
      <c r="X812" s="20"/>
      <c r="Y812" s="20"/>
      <c r="Z812" s="20"/>
    </row>
    <row r="813" spans="1:26" ht="9.75" customHeight="1" x14ac:dyDescent="0.25">
      <c r="A813" s="20"/>
      <c r="B813" s="21"/>
      <c r="C813" s="20"/>
      <c r="D813" s="22"/>
      <c r="E813" s="20"/>
      <c r="F813" s="20"/>
      <c r="G813" s="20"/>
      <c r="H813" s="20"/>
      <c r="I813" s="22"/>
      <c r="J813" s="20"/>
      <c r="K813" s="20"/>
      <c r="L813" s="20"/>
      <c r="M813" s="20"/>
      <c r="N813" s="21"/>
      <c r="O813" s="31"/>
      <c r="P813" s="20"/>
      <c r="Q813" s="31"/>
      <c r="R813" s="20"/>
      <c r="S813" s="20"/>
      <c r="T813" s="20"/>
      <c r="U813" s="20"/>
      <c r="V813" s="20"/>
      <c r="W813" s="20"/>
      <c r="X813" s="20"/>
      <c r="Y813" s="20"/>
      <c r="Z813" s="20"/>
    </row>
    <row r="814" spans="1:26" ht="9.75" customHeight="1" x14ac:dyDescent="0.25">
      <c r="A814" s="20"/>
      <c r="B814" s="21"/>
      <c r="C814" s="20"/>
      <c r="D814" s="22"/>
      <c r="E814" s="20"/>
      <c r="F814" s="20"/>
      <c r="G814" s="20"/>
      <c r="H814" s="20"/>
      <c r="I814" s="22"/>
      <c r="J814" s="20"/>
      <c r="K814" s="20"/>
      <c r="L814" s="20"/>
      <c r="M814" s="20"/>
      <c r="N814" s="21"/>
      <c r="O814" s="31"/>
      <c r="P814" s="20"/>
      <c r="Q814" s="31"/>
      <c r="R814" s="20"/>
      <c r="S814" s="20"/>
      <c r="T814" s="20"/>
      <c r="U814" s="20"/>
      <c r="V814" s="20"/>
      <c r="W814" s="20"/>
      <c r="X814" s="20"/>
      <c r="Y814" s="20"/>
      <c r="Z814" s="20"/>
    </row>
    <row r="815" spans="1:26" ht="9.75" customHeight="1" x14ac:dyDescent="0.25">
      <c r="A815" s="20"/>
      <c r="B815" s="21"/>
      <c r="C815" s="20"/>
      <c r="D815" s="22"/>
      <c r="E815" s="20"/>
      <c r="F815" s="20"/>
      <c r="G815" s="20"/>
      <c r="H815" s="20"/>
      <c r="I815" s="22"/>
      <c r="J815" s="20"/>
      <c r="K815" s="20"/>
      <c r="L815" s="20"/>
      <c r="M815" s="20"/>
      <c r="N815" s="21"/>
      <c r="O815" s="31"/>
      <c r="P815" s="20"/>
      <c r="Q815" s="31"/>
      <c r="R815" s="20"/>
      <c r="S815" s="20"/>
      <c r="T815" s="20"/>
      <c r="U815" s="20"/>
      <c r="V815" s="20"/>
      <c r="W815" s="20"/>
      <c r="X815" s="20"/>
      <c r="Y815" s="20"/>
      <c r="Z815" s="20"/>
    </row>
    <row r="816" spans="1:26" ht="9.75" customHeight="1" x14ac:dyDescent="0.25">
      <c r="A816" s="20"/>
      <c r="B816" s="21"/>
      <c r="C816" s="20"/>
      <c r="D816" s="22"/>
      <c r="E816" s="20"/>
      <c r="F816" s="20"/>
      <c r="G816" s="20"/>
      <c r="H816" s="20"/>
      <c r="I816" s="22"/>
      <c r="J816" s="20"/>
      <c r="K816" s="20"/>
      <c r="L816" s="20"/>
      <c r="M816" s="20"/>
      <c r="N816" s="21"/>
      <c r="O816" s="31"/>
      <c r="P816" s="20"/>
      <c r="Q816" s="31"/>
      <c r="R816" s="20"/>
      <c r="S816" s="20"/>
      <c r="T816" s="20"/>
      <c r="U816" s="20"/>
      <c r="V816" s="20"/>
      <c r="W816" s="20"/>
      <c r="X816" s="20"/>
      <c r="Y816" s="20"/>
      <c r="Z816" s="20"/>
    </row>
    <row r="817" spans="1:26" ht="9.75" customHeight="1" x14ac:dyDescent="0.25">
      <c r="A817" s="20"/>
      <c r="B817" s="21"/>
      <c r="C817" s="20"/>
      <c r="D817" s="22"/>
      <c r="E817" s="20"/>
      <c r="F817" s="20"/>
      <c r="G817" s="20"/>
      <c r="H817" s="20"/>
      <c r="I817" s="22"/>
      <c r="J817" s="20"/>
      <c r="K817" s="20"/>
      <c r="L817" s="20"/>
      <c r="M817" s="20"/>
      <c r="N817" s="21"/>
      <c r="O817" s="31"/>
      <c r="P817" s="20"/>
      <c r="Q817" s="31"/>
      <c r="R817" s="20"/>
      <c r="S817" s="20"/>
      <c r="T817" s="20"/>
      <c r="U817" s="20"/>
      <c r="V817" s="20"/>
      <c r="W817" s="20"/>
      <c r="X817" s="20"/>
      <c r="Y817" s="20"/>
      <c r="Z817" s="20"/>
    </row>
    <row r="818" spans="1:26" ht="9.75" customHeight="1" x14ac:dyDescent="0.25">
      <c r="A818" s="20"/>
      <c r="B818" s="21"/>
      <c r="C818" s="20"/>
      <c r="D818" s="22"/>
      <c r="E818" s="20"/>
      <c r="F818" s="20"/>
      <c r="G818" s="20"/>
      <c r="H818" s="20"/>
      <c r="I818" s="22"/>
      <c r="J818" s="20"/>
      <c r="K818" s="20"/>
      <c r="L818" s="20"/>
      <c r="M818" s="20"/>
      <c r="N818" s="21"/>
      <c r="O818" s="31"/>
      <c r="P818" s="20"/>
      <c r="Q818" s="31"/>
      <c r="R818" s="20"/>
      <c r="S818" s="20"/>
      <c r="T818" s="20"/>
      <c r="U818" s="20"/>
      <c r="V818" s="20"/>
      <c r="W818" s="20"/>
      <c r="X818" s="20"/>
      <c r="Y818" s="20"/>
      <c r="Z818" s="20"/>
    </row>
    <row r="819" spans="1:26" ht="9.75" customHeight="1" x14ac:dyDescent="0.25">
      <c r="A819" s="20"/>
      <c r="B819" s="21"/>
      <c r="C819" s="20"/>
      <c r="D819" s="22"/>
      <c r="E819" s="20"/>
      <c r="F819" s="20"/>
      <c r="G819" s="20"/>
      <c r="H819" s="20"/>
      <c r="I819" s="22"/>
      <c r="J819" s="20"/>
      <c r="K819" s="20"/>
      <c r="L819" s="20"/>
      <c r="M819" s="20"/>
      <c r="N819" s="21"/>
      <c r="O819" s="31"/>
      <c r="P819" s="20"/>
      <c r="Q819" s="31"/>
      <c r="R819" s="20"/>
      <c r="S819" s="20"/>
      <c r="T819" s="20"/>
      <c r="U819" s="20"/>
      <c r="V819" s="20"/>
      <c r="W819" s="20"/>
      <c r="X819" s="20"/>
      <c r="Y819" s="20"/>
      <c r="Z819" s="20"/>
    </row>
    <row r="820" spans="1:26" ht="9.75" customHeight="1" x14ac:dyDescent="0.25">
      <c r="A820" s="20"/>
      <c r="B820" s="21"/>
      <c r="C820" s="20"/>
      <c r="D820" s="22"/>
      <c r="E820" s="20"/>
      <c r="F820" s="20"/>
      <c r="G820" s="20"/>
      <c r="H820" s="20"/>
      <c r="I820" s="22"/>
      <c r="J820" s="20"/>
      <c r="K820" s="20"/>
      <c r="L820" s="20"/>
      <c r="M820" s="20"/>
      <c r="N820" s="21"/>
      <c r="O820" s="31"/>
      <c r="P820" s="20"/>
      <c r="Q820" s="31"/>
      <c r="R820" s="20"/>
      <c r="S820" s="20"/>
      <c r="T820" s="20"/>
      <c r="U820" s="20"/>
      <c r="V820" s="20"/>
      <c r="W820" s="20"/>
      <c r="X820" s="20"/>
      <c r="Y820" s="20"/>
      <c r="Z820" s="20"/>
    </row>
    <row r="821" spans="1:26" ht="9.75" customHeight="1" x14ac:dyDescent="0.25">
      <c r="A821" s="20"/>
      <c r="B821" s="21"/>
      <c r="C821" s="20"/>
      <c r="D821" s="22"/>
      <c r="E821" s="20"/>
      <c r="F821" s="20"/>
      <c r="G821" s="20"/>
      <c r="H821" s="20"/>
      <c r="I821" s="22"/>
      <c r="J821" s="20"/>
      <c r="K821" s="20"/>
      <c r="L821" s="20"/>
      <c r="M821" s="20"/>
      <c r="N821" s="21"/>
      <c r="O821" s="31"/>
      <c r="P821" s="20"/>
      <c r="Q821" s="31"/>
      <c r="R821" s="20"/>
      <c r="S821" s="20"/>
      <c r="T821" s="20"/>
      <c r="U821" s="20"/>
      <c r="V821" s="20"/>
      <c r="W821" s="20"/>
      <c r="X821" s="20"/>
      <c r="Y821" s="20"/>
      <c r="Z821" s="20"/>
    </row>
    <row r="822" spans="1:26" ht="9.75" customHeight="1" x14ac:dyDescent="0.25">
      <c r="A822" s="20"/>
      <c r="B822" s="21"/>
      <c r="C822" s="20"/>
      <c r="D822" s="22"/>
      <c r="E822" s="20"/>
      <c r="F822" s="20"/>
      <c r="G822" s="20"/>
      <c r="H822" s="20"/>
      <c r="I822" s="22"/>
      <c r="J822" s="20"/>
      <c r="K822" s="20"/>
      <c r="L822" s="20"/>
      <c r="M822" s="20"/>
      <c r="N822" s="21"/>
      <c r="O822" s="31"/>
      <c r="P822" s="20"/>
      <c r="Q822" s="31"/>
      <c r="R822" s="20"/>
      <c r="S822" s="20"/>
      <c r="T822" s="20"/>
      <c r="U822" s="20"/>
      <c r="V822" s="20"/>
      <c r="W822" s="20"/>
      <c r="X822" s="20"/>
      <c r="Y822" s="20"/>
      <c r="Z822" s="20"/>
    </row>
    <row r="823" spans="1:26" ht="9.75" customHeight="1" x14ac:dyDescent="0.25">
      <c r="A823" s="20"/>
      <c r="B823" s="21"/>
      <c r="C823" s="20"/>
      <c r="D823" s="22"/>
      <c r="E823" s="20"/>
      <c r="F823" s="20"/>
      <c r="G823" s="20"/>
      <c r="H823" s="20"/>
      <c r="I823" s="22"/>
      <c r="J823" s="20"/>
      <c r="K823" s="20"/>
      <c r="L823" s="20"/>
      <c r="M823" s="20"/>
      <c r="N823" s="21"/>
      <c r="O823" s="31"/>
      <c r="P823" s="20"/>
      <c r="Q823" s="31"/>
      <c r="R823" s="20"/>
      <c r="S823" s="20"/>
      <c r="T823" s="20"/>
      <c r="U823" s="20"/>
      <c r="V823" s="20"/>
      <c r="W823" s="20"/>
      <c r="X823" s="20"/>
      <c r="Y823" s="20"/>
      <c r="Z823" s="20"/>
    </row>
    <row r="824" spans="1:26" ht="9.75" customHeight="1" x14ac:dyDescent="0.25">
      <c r="A824" s="20"/>
      <c r="B824" s="21"/>
      <c r="C824" s="20"/>
      <c r="D824" s="22"/>
      <c r="E824" s="20"/>
      <c r="F824" s="20"/>
      <c r="G824" s="20"/>
      <c r="H824" s="20"/>
      <c r="I824" s="22"/>
      <c r="J824" s="20"/>
      <c r="K824" s="20"/>
      <c r="L824" s="20"/>
      <c r="M824" s="20"/>
      <c r="N824" s="21"/>
      <c r="O824" s="31"/>
      <c r="P824" s="20"/>
      <c r="Q824" s="31"/>
      <c r="R824" s="20"/>
      <c r="S824" s="20"/>
      <c r="T824" s="20"/>
      <c r="U824" s="20"/>
      <c r="V824" s="20"/>
      <c r="W824" s="20"/>
      <c r="X824" s="20"/>
      <c r="Y824" s="20"/>
      <c r="Z824" s="20"/>
    </row>
    <row r="825" spans="1:26" ht="9.75" customHeight="1" x14ac:dyDescent="0.25">
      <c r="A825" s="20"/>
      <c r="B825" s="21"/>
      <c r="C825" s="20"/>
      <c r="D825" s="22"/>
      <c r="E825" s="20"/>
      <c r="F825" s="20"/>
      <c r="G825" s="20"/>
      <c r="H825" s="20"/>
      <c r="I825" s="22"/>
      <c r="J825" s="20"/>
      <c r="K825" s="20"/>
      <c r="L825" s="20"/>
      <c r="M825" s="20"/>
      <c r="N825" s="21"/>
      <c r="O825" s="31"/>
      <c r="P825" s="20"/>
      <c r="Q825" s="31"/>
      <c r="R825" s="20"/>
      <c r="S825" s="20"/>
      <c r="T825" s="20"/>
      <c r="U825" s="20"/>
      <c r="V825" s="20"/>
      <c r="W825" s="20"/>
      <c r="X825" s="20"/>
      <c r="Y825" s="20"/>
      <c r="Z825" s="20"/>
    </row>
    <row r="826" spans="1:26" ht="9.75" customHeight="1" x14ac:dyDescent="0.25">
      <c r="A826" s="20"/>
      <c r="B826" s="21"/>
      <c r="C826" s="20"/>
      <c r="D826" s="22"/>
      <c r="E826" s="20"/>
      <c r="F826" s="20"/>
      <c r="G826" s="20"/>
      <c r="H826" s="20"/>
      <c r="I826" s="22"/>
      <c r="J826" s="20"/>
      <c r="K826" s="20"/>
      <c r="L826" s="20"/>
      <c r="M826" s="20"/>
      <c r="N826" s="21"/>
      <c r="O826" s="31"/>
      <c r="P826" s="20"/>
      <c r="Q826" s="31"/>
      <c r="R826" s="20"/>
      <c r="S826" s="20"/>
      <c r="T826" s="20"/>
      <c r="U826" s="20"/>
      <c r="V826" s="20"/>
      <c r="W826" s="20"/>
      <c r="X826" s="20"/>
      <c r="Y826" s="20"/>
      <c r="Z826" s="20"/>
    </row>
    <row r="827" spans="1:26" ht="9.75" customHeight="1" x14ac:dyDescent="0.25">
      <c r="A827" s="20"/>
      <c r="B827" s="21"/>
      <c r="C827" s="20"/>
      <c r="D827" s="22"/>
      <c r="E827" s="20"/>
      <c r="F827" s="20"/>
      <c r="G827" s="20"/>
      <c r="H827" s="20"/>
      <c r="I827" s="22"/>
      <c r="J827" s="20"/>
      <c r="K827" s="20"/>
      <c r="L827" s="20"/>
      <c r="M827" s="20"/>
      <c r="N827" s="21"/>
      <c r="O827" s="31"/>
      <c r="P827" s="20"/>
      <c r="Q827" s="31"/>
      <c r="R827" s="20"/>
      <c r="S827" s="20"/>
      <c r="T827" s="20"/>
      <c r="U827" s="20"/>
      <c r="V827" s="20"/>
      <c r="W827" s="20"/>
      <c r="X827" s="20"/>
      <c r="Y827" s="20"/>
      <c r="Z827" s="20"/>
    </row>
    <row r="828" spans="1:26" ht="9.75" customHeight="1" x14ac:dyDescent="0.25">
      <c r="A828" s="20"/>
      <c r="B828" s="21"/>
      <c r="C828" s="20"/>
      <c r="D828" s="22"/>
      <c r="E828" s="20"/>
      <c r="F828" s="20"/>
      <c r="G828" s="20"/>
      <c r="H828" s="20"/>
      <c r="I828" s="22"/>
      <c r="J828" s="20"/>
      <c r="K828" s="20"/>
      <c r="L828" s="20"/>
      <c r="M828" s="20"/>
      <c r="N828" s="21"/>
      <c r="O828" s="31"/>
      <c r="P828" s="20"/>
      <c r="Q828" s="31"/>
      <c r="R828" s="20"/>
      <c r="S828" s="20"/>
      <c r="T828" s="20"/>
      <c r="U828" s="20"/>
      <c r="V828" s="20"/>
      <c r="W828" s="20"/>
      <c r="X828" s="20"/>
      <c r="Y828" s="20"/>
      <c r="Z828" s="20"/>
    </row>
    <row r="829" spans="1:26" ht="9.75" customHeight="1" x14ac:dyDescent="0.25">
      <c r="A829" s="20"/>
      <c r="B829" s="21"/>
      <c r="C829" s="20"/>
      <c r="D829" s="22"/>
      <c r="E829" s="20"/>
      <c r="F829" s="20"/>
      <c r="G829" s="20"/>
      <c r="H829" s="20"/>
      <c r="I829" s="22"/>
      <c r="J829" s="20"/>
      <c r="K829" s="20"/>
      <c r="L829" s="20"/>
      <c r="M829" s="20"/>
      <c r="N829" s="21"/>
      <c r="O829" s="31"/>
      <c r="P829" s="20"/>
      <c r="Q829" s="31"/>
      <c r="R829" s="20"/>
      <c r="S829" s="20"/>
      <c r="T829" s="20"/>
      <c r="U829" s="20"/>
      <c r="V829" s="20"/>
      <c r="W829" s="20"/>
      <c r="X829" s="20"/>
      <c r="Y829" s="20"/>
      <c r="Z829" s="20"/>
    </row>
    <row r="830" spans="1:26" ht="9.75" customHeight="1" x14ac:dyDescent="0.25">
      <c r="A830" s="20"/>
      <c r="B830" s="21"/>
      <c r="C830" s="20"/>
      <c r="D830" s="22"/>
      <c r="E830" s="20"/>
      <c r="F830" s="20"/>
      <c r="G830" s="20"/>
      <c r="H830" s="20"/>
      <c r="I830" s="22"/>
      <c r="J830" s="20"/>
      <c r="K830" s="20"/>
      <c r="L830" s="20"/>
      <c r="M830" s="20"/>
      <c r="N830" s="21"/>
      <c r="O830" s="31"/>
      <c r="P830" s="20"/>
      <c r="Q830" s="31"/>
      <c r="R830" s="20"/>
      <c r="S830" s="20"/>
      <c r="T830" s="20"/>
      <c r="U830" s="20"/>
      <c r="V830" s="20"/>
      <c r="W830" s="20"/>
      <c r="X830" s="20"/>
      <c r="Y830" s="20"/>
      <c r="Z830" s="20"/>
    </row>
    <row r="831" spans="1:26" ht="9.75" customHeight="1" x14ac:dyDescent="0.25">
      <c r="A831" s="20"/>
      <c r="B831" s="21"/>
      <c r="C831" s="20"/>
      <c r="D831" s="22"/>
      <c r="E831" s="20"/>
      <c r="F831" s="20"/>
      <c r="G831" s="20"/>
      <c r="H831" s="20"/>
      <c r="I831" s="22"/>
      <c r="J831" s="20"/>
      <c r="K831" s="20"/>
      <c r="L831" s="20"/>
      <c r="M831" s="20"/>
      <c r="N831" s="21"/>
      <c r="O831" s="31"/>
      <c r="P831" s="20"/>
      <c r="Q831" s="31"/>
      <c r="R831" s="20"/>
      <c r="S831" s="20"/>
      <c r="T831" s="20"/>
      <c r="U831" s="20"/>
      <c r="V831" s="20"/>
      <c r="W831" s="20"/>
      <c r="X831" s="20"/>
      <c r="Y831" s="20"/>
      <c r="Z831" s="20"/>
    </row>
    <row r="832" spans="1:26" ht="9.75" customHeight="1" x14ac:dyDescent="0.25">
      <c r="A832" s="20"/>
      <c r="B832" s="21"/>
      <c r="C832" s="20"/>
      <c r="D832" s="22"/>
      <c r="E832" s="20"/>
      <c r="F832" s="20"/>
      <c r="G832" s="20"/>
      <c r="H832" s="20"/>
      <c r="I832" s="22"/>
      <c r="J832" s="20"/>
      <c r="K832" s="20"/>
      <c r="L832" s="20"/>
      <c r="M832" s="20"/>
      <c r="N832" s="21"/>
      <c r="O832" s="31"/>
      <c r="P832" s="20"/>
      <c r="Q832" s="31"/>
      <c r="R832" s="20"/>
      <c r="S832" s="20"/>
      <c r="T832" s="20"/>
      <c r="U832" s="20"/>
      <c r="V832" s="20"/>
      <c r="W832" s="20"/>
      <c r="X832" s="20"/>
      <c r="Y832" s="20"/>
      <c r="Z832" s="20"/>
    </row>
    <row r="833" spans="1:26" ht="9.75" customHeight="1" x14ac:dyDescent="0.25">
      <c r="A833" s="20"/>
      <c r="B833" s="21"/>
      <c r="C833" s="20"/>
      <c r="D833" s="22"/>
      <c r="E833" s="20"/>
      <c r="F833" s="20"/>
      <c r="G833" s="20"/>
      <c r="H833" s="20"/>
      <c r="I833" s="22"/>
      <c r="J833" s="20"/>
      <c r="K833" s="20"/>
      <c r="L833" s="20"/>
      <c r="M833" s="20"/>
      <c r="N833" s="21"/>
      <c r="O833" s="31"/>
      <c r="P833" s="20"/>
      <c r="Q833" s="31"/>
      <c r="R833" s="20"/>
      <c r="S833" s="20"/>
      <c r="T833" s="20"/>
      <c r="U833" s="20"/>
      <c r="V833" s="20"/>
      <c r="W833" s="20"/>
      <c r="X833" s="20"/>
      <c r="Y833" s="20"/>
      <c r="Z833" s="20"/>
    </row>
    <row r="834" spans="1:26" ht="9.75" customHeight="1" x14ac:dyDescent="0.25">
      <c r="A834" s="20"/>
      <c r="B834" s="21"/>
      <c r="C834" s="20"/>
      <c r="D834" s="22"/>
      <c r="E834" s="20"/>
      <c r="F834" s="20"/>
      <c r="G834" s="20"/>
      <c r="H834" s="20"/>
      <c r="I834" s="22"/>
      <c r="J834" s="20"/>
      <c r="K834" s="20"/>
      <c r="L834" s="20"/>
      <c r="M834" s="20"/>
      <c r="N834" s="21"/>
      <c r="O834" s="31"/>
      <c r="P834" s="20"/>
      <c r="Q834" s="31"/>
      <c r="R834" s="20"/>
      <c r="S834" s="20"/>
      <c r="T834" s="20"/>
      <c r="U834" s="20"/>
      <c r="V834" s="20"/>
      <c r="W834" s="20"/>
      <c r="X834" s="20"/>
      <c r="Y834" s="20"/>
      <c r="Z834" s="20"/>
    </row>
    <row r="835" spans="1:26" ht="9.75" customHeight="1" x14ac:dyDescent="0.25">
      <c r="A835" s="20"/>
      <c r="B835" s="21"/>
      <c r="C835" s="20"/>
      <c r="D835" s="22"/>
      <c r="E835" s="20"/>
      <c r="F835" s="20"/>
      <c r="G835" s="20"/>
      <c r="H835" s="20"/>
      <c r="I835" s="22"/>
      <c r="J835" s="20"/>
      <c r="K835" s="20"/>
      <c r="L835" s="20"/>
      <c r="M835" s="20"/>
      <c r="N835" s="21"/>
      <c r="O835" s="31"/>
      <c r="P835" s="20"/>
      <c r="Q835" s="31"/>
      <c r="R835" s="20"/>
      <c r="S835" s="20"/>
      <c r="T835" s="20"/>
      <c r="U835" s="20"/>
      <c r="V835" s="20"/>
      <c r="W835" s="20"/>
      <c r="X835" s="20"/>
      <c r="Y835" s="20"/>
      <c r="Z835" s="20"/>
    </row>
    <row r="836" spans="1:26" ht="9.75" customHeight="1" x14ac:dyDescent="0.25">
      <c r="A836" s="20"/>
      <c r="B836" s="21"/>
      <c r="C836" s="20"/>
      <c r="D836" s="22"/>
      <c r="E836" s="20"/>
      <c r="F836" s="20"/>
      <c r="G836" s="20"/>
      <c r="H836" s="20"/>
      <c r="I836" s="22"/>
      <c r="J836" s="20"/>
      <c r="K836" s="20"/>
      <c r="L836" s="20"/>
      <c r="M836" s="20"/>
      <c r="N836" s="21"/>
      <c r="O836" s="31"/>
      <c r="P836" s="20"/>
      <c r="Q836" s="31"/>
      <c r="R836" s="20"/>
      <c r="S836" s="20"/>
      <c r="T836" s="20"/>
      <c r="U836" s="20"/>
      <c r="V836" s="20"/>
      <c r="W836" s="20"/>
      <c r="X836" s="20"/>
      <c r="Y836" s="20"/>
      <c r="Z836" s="20"/>
    </row>
    <row r="837" spans="1:26" ht="9.75" customHeight="1" x14ac:dyDescent="0.25">
      <c r="A837" s="20"/>
      <c r="B837" s="21"/>
      <c r="C837" s="20"/>
      <c r="D837" s="22"/>
      <c r="E837" s="20"/>
      <c r="F837" s="20"/>
      <c r="G837" s="20"/>
      <c r="H837" s="20"/>
      <c r="I837" s="22"/>
      <c r="J837" s="20"/>
      <c r="K837" s="20"/>
      <c r="L837" s="20"/>
      <c r="M837" s="20"/>
      <c r="N837" s="21"/>
      <c r="O837" s="31"/>
      <c r="P837" s="20"/>
      <c r="Q837" s="31"/>
      <c r="R837" s="20"/>
      <c r="S837" s="20"/>
      <c r="T837" s="20"/>
      <c r="U837" s="20"/>
      <c r="V837" s="20"/>
      <c r="W837" s="20"/>
      <c r="X837" s="20"/>
      <c r="Y837" s="20"/>
      <c r="Z837" s="20"/>
    </row>
    <row r="838" spans="1:26" ht="9.75" customHeight="1" x14ac:dyDescent="0.25">
      <c r="A838" s="20"/>
      <c r="B838" s="21"/>
      <c r="C838" s="20"/>
      <c r="D838" s="22"/>
      <c r="E838" s="20"/>
      <c r="F838" s="20"/>
      <c r="G838" s="20"/>
      <c r="H838" s="20"/>
      <c r="I838" s="22"/>
      <c r="J838" s="20"/>
      <c r="K838" s="20"/>
      <c r="L838" s="20"/>
      <c r="M838" s="20"/>
      <c r="N838" s="21"/>
      <c r="O838" s="31"/>
      <c r="P838" s="20"/>
      <c r="Q838" s="31"/>
      <c r="R838" s="20"/>
      <c r="S838" s="20"/>
      <c r="T838" s="20"/>
      <c r="U838" s="20"/>
      <c r="V838" s="20"/>
      <c r="W838" s="20"/>
      <c r="X838" s="20"/>
      <c r="Y838" s="20"/>
      <c r="Z838" s="20"/>
    </row>
    <row r="839" spans="1:26" ht="9.75" customHeight="1" x14ac:dyDescent="0.25">
      <c r="A839" s="20"/>
      <c r="B839" s="21"/>
      <c r="C839" s="20"/>
      <c r="D839" s="22"/>
      <c r="E839" s="20"/>
      <c r="F839" s="20"/>
      <c r="G839" s="20"/>
      <c r="H839" s="20"/>
      <c r="I839" s="22"/>
      <c r="J839" s="20"/>
      <c r="K839" s="20"/>
      <c r="L839" s="20"/>
      <c r="M839" s="20"/>
      <c r="N839" s="21"/>
      <c r="O839" s="31"/>
      <c r="P839" s="20"/>
      <c r="Q839" s="31"/>
      <c r="R839" s="20"/>
      <c r="S839" s="20"/>
      <c r="T839" s="20"/>
      <c r="U839" s="20"/>
      <c r="V839" s="20"/>
      <c r="W839" s="20"/>
      <c r="X839" s="20"/>
      <c r="Y839" s="20"/>
      <c r="Z839" s="20"/>
    </row>
    <row r="840" spans="1:26" ht="9.75" customHeight="1" x14ac:dyDescent="0.25">
      <c r="A840" s="20"/>
      <c r="B840" s="21"/>
      <c r="C840" s="20"/>
      <c r="D840" s="22"/>
      <c r="E840" s="20"/>
      <c r="F840" s="20"/>
      <c r="G840" s="20"/>
      <c r="H840" s="20"/>
      <c r="I840" s="22"/>
      <c r="J840" s="20"/>
      <c r="K840" s="20"/>
      <c r="L840" s="20"/>
      <c r="M840" s="20"/>
      <c r="N840" s="21"/>
      <c r="O840" s="31"/>
      <c r="P840" s="20"/>
      <c r="Q840" s="31"/>
      <c r="R840" s="20"/>
      <c r="S840" s="20"/>
      <c r="T840" s="20"/>
      <c r="U840" s="20"/>
      <c r="V840" s="20"/>
      <c r="W840" s="20"/>
      <c r="X840" s="20"/>
      <c r="Y840" s="20"/>
      <c r="Z840" s="20"/>
    </row>
    <row r="841" spans="1:26" ht="9.75" customHeight="1" x14ac:dyDescent="0.25">
      <c r="A841" s="20"/>
      <c r="B841" s="21"/>
      <c r="C841" s="20"/>
      <c r="D841" s="22"/>
      <c r="E841" s="20"/>
      <c r="F841" s="20"/>
      <c r="G841" s="20"/>
      <c r="H841" s="20"/>
      <c r="I841" s="22"/>
      <c r="J841" s="20"/>
      <c r="K841" s="20"/>
      <c r="L841" s="20"/>
      <c r="M841" s="20"/>
      <c r="N841" s="21"/>
      <c r="O841" s="31"/>
      <c r="P841" s="20"/>
      <c r="Q841" s="31"/>
      <c r="R841" s="20"/>
      <c r="S841" s="20"/>
      <c r="T841" s="20"/>
      <c r="U841" s="20"/>
      <c r="V841" s="20"/>
      <c r="W841" s="20"/>
      <c r="X841" s="20"/>
      <c r="Y841" s="20"/>
      <c r="Z841" s="20"/>
    </row>
    <row r="842" spans="1:26" ht="9.75" customHeight="1" x14ac:dyDescent="0.25">
      <c r="A842" s="20"/>
      <c r="B842" s="21"/>
      <c r="C842" s="20"/>
      <c r="D842" s="22"/>
      <c r="E842" s="20"/>
      <c r="F842" s="20"/>
      <c r="G842" s="20"/>
      <c r="H842" s="20"/>
      <c r="I842" s="22"/>
      <c r="J842" s="20"/>
      <c r="K842" s="20"/>
      <c r="L842" s="20"/>
      <c r="M842" s="20"/>
      <c r="N842" s="21"/>
      <c r="O842" s="31"/>
      <c r="P842" s="20"/>
      <c r="Q842" s="31"/>
      <c r="R842" s="20"/>
      <c r="S842" s="20"/>
      <c r="T842" s="20"/>
      <c r="U842" s="20"/>
      <c r="V842" s="20"/>
      <c r="W842" s="20"/>
      <c r="X842" s="20"/>
      <c r="Y842" s="20"/>
      <c r="Z842" s="20"/>
    </row>
    <row r="843" spans="1:26" ht="9.75" customHeight="1" x14ac:dyDescent="0.25">
      <c r="A843" s="20"/>
      <c r="B843" s="21"/>
      <c r="C843" s="20"/>
      <c r="D843" s="22"/>
      <c r="E843" s="20"/>
      <c r="F843" s="20"/>
      <c r="G843" s="20"/>
      <c r="H843" s="20"/>
      <c r="I843" s="22"/>
      <c r="J843" s="20"/>
      <c r="K843" s="20"/>
      <c r="L843" s="20"/>
      <c r="M843" s="20"/>
      <c r="N843" s="21"/>
      <c r="O843" s="31"/>
      <c r="P843" s="20"/>
      <c r="Q843" s="31"/>
      <c r="R843" s="20"/>
      <c r="S843" s="20"/>
      <c r="T843" s="20"/>
      <c r="U843" s="20"/>
      <c r="V843" s="20"/>
      <c r="W843" s="20"/>
      <c r="X843" s="20"/>
      <c r="Y843" s="20"/>
      <c r="Z843" s="20"/>
    </row>
    <row r="844" spans="1:26" ht="9.75" customHeight="1" x14ac:dyDescent="0.25">
      <c r="A844" s="20"/>
      <c r="B844" s="21"/>
      <c r="C844" s="20"/>
      <c r="D844" s="22"/>
      <c r="E844" s="20"/>
      <c r="F844" s="20"/>
      <c r="G844" s="20"/>
      <c r="H844" s="20"/>
      <c r="I844" s="22"/>
      <c r="J844" s="20"/>
      <c r="K844" s="20"/>
      <c r="L844" s="20"/>
      <c r="M844" s="20"/>
      <c r="N844" s="21"/>
      <c r="O844" s="31"/>
      <c r="P844" s="20"/>
      <c r="Q844" s="31"/>
      <c r="R844" s="20"/>
      <c r="S844" s="20"/>
      <c r="T844" s="20"/>
      <c r="U844" s="20"/>
      <c r="V844" s="20"/>
      <c r="W844" s="20"/>
      <c r="X844" s="20"/>
      <c r="Y844" s="20"/>
      <c r="Z844" s="20"/>
    </row>
    <row r="845" spans="1:26" ht="9.75" customHeight="1" x14ac:dyDescent="0.25">
      <c r="A845" s="20"/>
      <c r="B845" s="21"/>
      <c r="C845" s="20"/>
      <c r="D845" s="22"/>
      <c r="E845" s="20"/>
      <c r="F845" s="20"/>
      <c r="G845" s="20"/>
      <c r="H845" s="20"/>
      <c r="I845" s="22"/>
      <c r="J845" s="20"/>
      <c r="K845" s="20"/>
      <c r="L845" s="20"/>
      <c r="M845" s="20"/>
      <c r="N845" s="21"/>
      <c r="O845" s="31"/>
      <c r="P845" s="20"/>
      <c r="Q845" s="31"/>
      <c r="R845" s="20"/>
      <c r="S845" s="20"/>
      <c r="T845" s="20"/>
      <c r="U845" s="20"/>
      <c r="V845" s="20"/>
      <c r="W845" s="20"/>
      <c r="X845" s="20"/>
      <c r="Y845" s="20"/>
      <c r="Z845" s="20"/>
    </row>
    <row r="846" spans="1:26" ht="9.75" customHeight="1" x14ac:dyDescent="0.25">
      <c r="A846" s="20"/>
      <c r="B846" s="21"/>
      <c r="C846" s="20"/>
      <c r="D846" s="22"/>
      <c r="E846" s="20"/>
      <c r="F846" s="20"/>
      <c r="G846" s="20"/>
      <c r="H846" s="20"/>
      <c r="I846" s="22"/>
      <c r="J846" s="20"/>
      <c r="K846" s="20"/>
      <c r="L846" s="20"/>
      <c r="M846" s="20"/>
      <c r="N846" s="21"/>
      <c r="O846" s="31"/>
      <c r="P846" s="20"/>
      <c r="Q846" s="31"/>
      <c r="R846" s="20"/>
      <c r="S846" s="20"/>
      <c r="T846" s="20"/>
      <c r="U846" s="20"/>
      <c r="V846" s="20"/>
      <c r="W846" s="20"/>
      <c r="X846" s="20"/>
      <c r="Y846" s="20"/>
      <c r="Z846" s="20"/>
    </row>
    <row r="847" spans="1:26" ht="9.75" customHeight="1" x14ac:dyDescent="0.25">
      <c r="A847" s="20"/>
      <c r="B847" s="21"/>
      <c r="C847" s="20"/>
      <c r="D847" s="22"/>
      <c r="E847" s="20"/>
      <c r="F847" s="20"/>
      <c r="G847" s="20"/>
      <c r="H847" s="20"/>
      <c r="I847" s="22"/>
      <c r="J847" s="20"/>
      <c r="K847" s="20"/>
      <c r="L847" s="20"/>
      <c r="M847" s="20"/>
      <c r="N847" s="21"/>
      <c r="O847" s="31"/>
      <c r="P847" s="20"/>
      <c r="Q847" s="31"/>
      <c r="R847" s="20"/>
      <c r="S847" s="20"/>
      <c r="T847" s="20"/>
      <c r="U847" s="20"/>
      <c r="V847" s="20"/>
      <c r="W847" s="20"/>
      <c r="X847" s="20"/>
      <c r="Y847" s="20"/>
      <c r="Z847" s="20"/>
    </row>
    <row r="848" spans="1:26" ht="9.75" customHeight="1" x14ac:dyDescent="0.25">
      <c r="A848" s="20"/>
      <c r="B848" s="21"/>
      <c r="C848" s="20"/>
      <c r="D848" s="22"/>
      <c r="E848" s="20"/>
      <c r="F848" s="20"/>
      <c r="G848" s="20"/>
      <c r="H848" s="20"/>
      <c r="I848" s="22"/>
      <c r="J848" s="20"/>
      <c r="K848" s="20"/>
      <c r="L848" s="20"/>
      <c r="M848" s="20"/>
      <c r="N848" s="21"/>
      <c r="O848" s="31"/>
      <c r="P848" s="20"/>
      <c r="Q848" s="31"/>
      <c r="R848" s="20"/>
      <c r="S848" s="20"/>
      <c r="T848" s="20"/>
      <c r="U848" s="20"/>
      <c r="V848" s="20"/>
      <c r="W848" s="20"/>
      <c r="X848" s="20"/>
      <c r="Y848" s="20"/>
      <c r="Z848" s="20"/>
    </row>
    <row r="849" spans="1:26" ht="9.75" customHeight="1" x14ac:dyDescent="0.25">
      <c r="A849" s="20"/>
      <c r="B849" s="21"/>
      <c r="C849" s="20"/>
      <c r="D849" s="22"/>
      <c r="E849" s="20"/>
      <c r="F849" s="20"/>
      <c r="G849" s="20"/>
      <c r="H849" s="20"/>
      <c r="I849" s="22"/>
      <c r="J849" s="20"/>
      <c r="K849" s="20"/>
      <c r="L849" s="20"/>
      <c r="M849" s="20"/>
      <c r="N849" s="21"/>
      <c r="O849" s="31"/>
      <c r="P849" s="20"/>
      <c r="Q849" s="31"/>
      <c r="R849" s="20"/>
      <c r="S849" s="20"/>
      <c r="T849" s="20"/>
      <c r="U849" s="20"/>
      <c r="V849" s="20"/>
      <c r="W849" s="20"/>
      <c r="X849" s="20"/>
      <c r="Y849" s="20"/>
      <c r="Z849" s="20"/>
    </row>
    <row r="850" spans="1:26" ht="9.75" customHeight="1" x14ac:dyDescent="0.25">
      <c r="A850" s="20"/>
      <c r="B850" s="21"/>
      <c r="C850" s="20"/>
      <c r="D850" s="22"/>
      <c r="E850" s="20"/>
      <c r="F850" s="20"/>
      <c r="G850" s="20"/>
      <c r="H850" s="20"/>
      <c r="I850" s="22"/>
      <c r="J850" s="20"/>
      <c r="K850" s="20"/>
      <c r="L850" s="20"/>
      <c r="M850" s="20"/>
      <c r="N850" s="21"/>
      <c r="O850" s="31"/>
      <c r="P850" s="20"/>
      <c r="Q850" s="31"/>
      <c r="R850" s="20"/>
      <c r="S850" s="20"/>
      <c r="T850" s="20"/>
      <c r="U850" s="20"/>
      <c r="V850" s="20"/>
      <c r="W850" s="20"/>
      <c r="X850" s="20"/>
      <c r="Y850" s="20"/>
      <c r="Z850" s="20"/>
    </row>
    <row r="851" spans="1:26" ht="9.75" customHeight="1" x14ac:dyDescent="0.25">
      <c r="A851" s="20"/>
      <c r="B851" s="21"/>
      <c r="C851" s="20"/>
      <c r="D851" s="22"/>
      <c r="E851" s="20"/>
      <c r="F851" s="20"/>
      <c r="G851" s="20"/>
      <c r="H851" s="20"/>
      <c r="I851" s="22"/>
      <c r="J851" s="20"/>
      <c r="K851" s="20"/>
      <c r="L851" s="20"/>
      <c r="M851" s="20"/>
      <c r="N851" s="21"/>
      <c r="O851" s="31"/>
      <c r="P851" s="20"/>
      <c r="Q851" s="31"/>
      <c r="R851" s="20"/>
      <c r="S851" s="20"/>
      <c r="T851" s="20"/>
      <c r="U851" s="20"/>
      <c r="V851" s="20"/>
      <c r="W851" s="20"/>
      <c r="X851" s="20"/>
      <c r="Y851" s="20"/>
      <c r="Z851" s="20"/>
    </row>
    <row r="852" spans="1:26" ht="9.75" customHeight="1" x14ac:dyDescent="0.25">
      <c r="A852" s="20"/>
      <c r="B852" s="21"/>
      <c r="C852" s="20"/>
      <c r="D852" s="22"/>
      <c r="E852" s="20"/>
      <c r="F852" s="20"/>
      <c r="G852" s="20"/>
      <c r="H852" s="20"/>
      <c r="I852" s="22"/>
      <c r="J852" s="20"/>
      <c r="K852" s="20"/>
      <c r="L852" s="20"/>
      <c r="M852" s="20"/>
      <c r="N852" s="21"/>
      <c r="O852" s="31"/>
      <c r="P852" s="20"/>
      <c r="Q852" s="31"/>
      <c r="R852" s="20"/>
      <c r="S852" s="20"/>
      <c r="T852" s="20"/>
      <c r="U852" s="20"/>
      <c r="V852" s="20"/>
      <c r="W852" s="20"/>
      <c r="X852" s="20"/>
      <c r="Y852" s="20"/>
      <c r="Z852" s="20"/>
    </row>
    <row r="853" spans="1:26" ht="9.75" customHeight="1" x14ac:dyDescent="0.25">
      <c r="A853" s="20"/>
      <c r="B853" s="21"/>
      <c r="C853" s="20"/>
      <c r="D853" s="22"/>
      <c r="E853" s="20"/>
      <c r="F853" s="20"/>
      <c r="G853" s="20"/>
      <c r="H853" s="20"/>
      <c r="I853" s="22"/>
      <c r="J853" s="20"/>
      <c r="K853" s="20"/>
      <c r="L853" s="20"/>
      <c r="M853" s="20"/>
      <c r="N853" s="21"/>
      <c r="O853" s="31"/>
      <c r="P853" s="20"/>
      <c r="Q853" s="31"/>
      <c r="R853" s="20"/>
      <c r="S853" s="20"/>
      <c r="T853" s="20"/>
      <c r="U853" s="20"/>
      <c r="V853" s="20"/>
      <c r="W853" s="20"/>
      <c r="X853" s="20"/>
      <c r="Y853" s="20"/>
      <c r="Z853" s="20"/>
    </row>
    <row r="854" spans="1:26" ht="9.75" customHeight="1" x14ac:dyDescent="0.25">
      <c r="A854" s="20"/>
      <c r="B854" s="21"/>
      <c r="C854" s="20"/>
      <c r="D854" s="22"/>
      <c r="E854" s="20"/>
      <c r="F854" s="20"/>
      <c r="G854" s="20"/>
      <c r="H854" s="20"/>
      <c r="I854" s="22"/>
      <c r="J854" s="20"/>
      <c r="K854" s="20"/>
      <c r="L854" s="20"/>
      <c r="M854" s="20"/>
      <c r="N854" s="21"/>
      <c r="O854" s="31"/>
      <c r="P854" s="20"/>
      <c r="Q854" s="31"/>
      <c r="R854" s="20"/>
      <c r="S854" s="20"/>
      <c r="T854" s="20"/>
      <c r="U854" s="20"/>
      <c r="V854" s="20"/>
      <c r="W854" s="20"/>
      <c r="X854" s="20"/>
      <c r="Y854" s="20"/>
      <c r="Z854" s="20"/>
    </row>
    <row r="855" spans="1:26" ht="9.75" customHeight="1" x14ac:dyDescent="0.25">
      <c r="A855" s="20"/>
      <c r="B855" s="21"/>
      <c r="C855" s="20"/>
      <c r="D855" s="22"/>
      <c r="E855" s="20"/>
      <c r="F855" s="20"/>
      <c r="G855" s="20"/>
      <c r="H855" s="20"/>
      <c r="I855" s="22"/>
      <c r="J855" s="20"/>
      <c r="K855" s="20"/>
      <c r="L855" s="20"/>
      <c r="M855" s="20"/>
      <c r="N855" s="21"/>
      <c r="O855" s="31"/>
      <c r="P855" s="20"/>
      <c r="Q855" s="31"/>
      <c r="R855" s="20"/>
      <c r="S855" s="20"/>
      <c r="T855" s="20"/>
      <c r="U855" s="20"/>
      <c r="V855" s="20"/>
      <c r="W855" s="20"/>
      <c r="X855" s="20"/>
      <c r="Y855" s="20"/>
      <c r="Z855" s="20"/>
    </row>
    <row r="856" spans="1:26" ht="9.75" customHeight="1" x14ac:dyDescent="0.25">
      <c r="A856" s="20"/>
      <c r="B856" s="21"/>
      <c r="C856" s="20"/>
      <c r="D856" s="22"/>
      <c r="E856" s="20"/>
      <c r="F856" s="20"/>
      <c r="G856" s="20"/>
      <c r="H856" s="20"/>
      <c r="I856" s="22"/>
      <c r="J856" s="20"/>
      <c r="K856" s="20"/>
      <c r="L856" s="20"/>
      <c r="M856" s="20"/>
      <c r="N856" s="21"/>
      <c r="O856" s="31"/>
      <c r="P856" s="20"/>
      <c r="Q856" s="31"/>
      <c r="R856" s="20"/>
      <c r="S856" s="20"/>
      <c r="T856" s="20"/>
      <c r="U856" s="20"/>
      <c r="V856" s="20"/>
      <c r="W856" s="20"/>
      <c r="X856" s="20"/>
      <c r="Y856" s="20"/>
      <c r="Z856" s="20"/>
    </row>
    <row r="857" spans="1:26" ht="9.75" customHeight="1" x14ac:dyDescent="0.25">
      <c r="A857" s="20"/>
      <c r="B857" s="21"/>
      <c r="C857" s="20"/>
      <c r="D857" s="22"/>
      <c r="E857" s="20"/>
      <c r="F857" s="20"/>
      <c r="G857" s="20"/>
      <c r="H857" s="20"/>
      <c r="I857" s="22"/>
      <c r="J857" s="20"/>
      <c r="K857" s="20"/>
      <c r="L857" s="20"/>
      <c r="M857" s="20"/>
      <c r="N857" s="21"/>
      <c r="O857" s="31"/>
      <c r="P857" s="20"/>
      <c r="Q857" s="31"/>
      <c r="R857" s="20"/>
      <c r="S857" s="20"/>
      <c r="T857" s="20"/>
      <c r="U857" s="20"/>
      <c r="V857" s="20"/>
      <c r="W857" s="20"/>
      <c r="X857" s="20"/>
      <c r="Y857" s="20"/>
      <c r="Z857" s="20"/>
    </row>
    <row r="858" spans="1:26" ht="9.75" customHeight="1" x14ac:dyDescent="0.25">
      <c r="A858" s="20"/>
      <c r="B858" s="21"/>
      <c r="C858" s="20"/>
      <c r="D858" s="22"/>
      <c r="E858" s="20"/>
      <c r="F858" s="20"/>
      <c r="G858" s="20"/>
      <c r="H858" s="20"/>
      <c r="I858" s="22"/>
      <c r="J858" s="20"/>
      <c r="K858" s="20"/>
      <c r="L858" s="20"/>
      <c r="M858" s="20"/>
      <c r="N858" s="21"/>
      <c r="O858" s="31"/>
      <c r="P858" s="20"/>
      <c r="Q858" s="31"/>
      <c r="R858" s="20"/>
      <c r="S858" s="20"/>
      <c r="T858" s="20"/>
      <c r="U858" s="20"/>
      <c r="V858" s="20"/>
      <c r="W858" s="20"/>
      <c r="X858" s="20"/>
      <c r="Y858" s="20"/>
      <c r="Z858" s="20"/>
    </row>
    <row r="859" spans="1:26" ht="9.75" customHeight="1" x14ac:dyDescent="0.25">
      <c r="A859" s="20"/>
      <c r="B859" s="21"/>
      <c r="C859" s="20"/>
      <c r="D859" s="22"/>
      <c r="E859" s="20"/>
      <c r="F859" s="20"/>
      <c r="G859" s="20"/>
      <c r="H859" s="20"/>
      <c r="I859" s="22"/>
      <c r="J859" s="20"/>
      <c r="K859" s="20"/>
      <c r="L859" s="20"/>
      <c r="M859" s="20"/>
      <c r="N859" s="21"/>
      <c r="O859" s="31"/>
      <c r="P859" s="20"/>
      <c r="Q859" s="31"/>
      <c r="R859" s="20"/>
      <c r="S859" s="20"/>
      <c r="T859" s="20"/>
      <c r="U859" s="20"/>
      <c r="V859" s="20"/>
      <c r="W859" s="20"/>
      <c r="X859" s="20"/>
      <c r="Y859" s="20"/>
      <c r="Z859" s="20"/>
    </row>
    <row r="860" spans="1:26" ht="9.75" customHeight="1" x14ac:dyDescent="0.25">
      <c r="A860" s="20"/>
      <c r="B860" s="21"/>
      <c r="C860" s="20"/>
      <c r="D860" s="22"/>
      <c r="E860" s="20"/>
      <c r="F860" s="20"/>
      <c r="G860" s="20"/>
      <c r="H860" s="20"/>
      <c r="I860" s="22"/>
      <c r="J860" s="20"/>
      <c r="K860" s="20"/>
      <c r="L860" s="20"/>
      <c r="M860" s="20"/>
      <c r="N860" s="21"/>
      <c r="O860" s="31"/>
      <c r="P860" s="20"/>
      <c r="Q860" s="31"/>
      <c r="R860" s="20"/>
      <c r="S860" s="20"/>
      <c r="T860" s="20"/>
      <c r="U860" s="20"/>
      <c r="V860" s="20"/>
      <c r="W860" s="20"/>
      <c r="X860" s="20"/>
      <c r="Y860" s="20"/>
      <c r="Z860" s="20"/>
    </row>
    <row r="861" spans="1:26" ht="9.75" customHeight="1" x14ac:dyDescent="0.25">
      <c r="A861" s="20"/>
      <c r="B861" s="21"/>
      <c r="C861" s="20"/>
      <c r="D861" s="22"/>
      <c r="E861" s="20"/>
      <c r="F861" s="20"/>
      <c r="G861" s="20"/>
      <c r="H861" s="20"/>
      <c r="I861" s="22"/>
      <c r="J861" s="20"/>
      <c r="K861" s="20"/>
      <c r="L861" s="20"/>
      <c r="M861" s="20"/>
      <c r="N861" s="21"/>
      <c r="O861" s="31"/>
      <c r="P861" s="20"/>
      <c r="Q861" s="31"/>
      <c r="R861" s="20"/>
      <c r="S861" s="20"/>
      <c r="T861" s="20"/>
      <c r="U861" s="20"/>
      <c r="V861" s="20"/>
      <c r="W861" s="20"/>
      <c r="X861" s="20"/>
      <c r="Y861" s="20"/>
      <c r="Z861" s="20"/>
    </row>
    <row r="862" spans="1:26" ht="9.75" customHeight="1" x14ac:dyDescent="0.25">
      <c r="A862" s="20"/>
      <c r="B862" s="21"/>
      <c r="C862" s="20"/>
      <c r="D862" s="22"/>
      <c r="E862" s="20"/>
      <c r="F862" s="20"/>
      <c r="G862" s="20"/>
      <c r="H862" s="20"/>
      <c r="I862" s="22"/>
      <c r="J862" s="20"/>
      <c r="K862" s="20"/>
      <c r="L862" s="20"/>
      <c r="M862" s="20"/>
      <c r="N862" s="21"/>
      <c r="O862" s="31"/>
      <c r="P862" s="20"/>
      <c r="Q862" s="31"/>
      <c r="R862" s="20"/>
      <c r="S862" s="20"/>
      <c r="T862" s="20"/>
      <c r="U862" s="20"/>
      <c r="V862" s="20"/>
      <c r="W862" s="20"/>
      <c r="X862" s="20"/>
      <c r="Y862" s="20"/>
      <c r="Z862" s="20"/>
    </row>
    <row r="863" spans="1:26" ht="9.75" customHeight="1" x14ac:dyDescent="0.25">
      <c r="A863" s="20"/>
      <c r="B863" s="21"/>
      <c r="C863" s="20"/>
      <c r="D863" s="22"/>
      <c r="E863" s="20"/>
      <c r="F863" s="20"/>
      <c r="G863" s="20"/>
      <c r="H863" s="20"/>
      <c r="I863" s="22"/>
      <c r="J863" s="20"/>
      <c r="K863" s="20"/>
      <c r="L863" s="20"/>
      <c r="M863" s="20"/>
      <c r="N863" s="21"/>
      <c r="O863" s="31"/>
      <c r="P863" s="20"/>
      <c r="Q863" s="31"/>
      <c r="R863" s="20"/>
      <c r="S863" s="20"/>
      <c r="T863" s="20"/>
      <c r="U863" s="20"/>
      <c r="V863" s="20"/>
      <c r="W863" s="20"/>
      <c r="X863" s="20"/>
      <c r="Y863" s="20"/>
      <c r="Z863" s="20"/>
    </row>
    <row r="864" spans="1:26" ht="9.75" customHeight="1" x14ac:dyDescent="0.25">
      <c r="A864" s="20"/>
      <c r="B864" s="21"/>
      <c r="C864" s="20"/>
      <c r="D864" s="22"/>
      <c r="E864" s="20"/>
      <c r="F864" s="20"/>
      <c r="G864" s="20"/>
      <c r="H864" s="20"/>
      <c r="I864" s="22"/>
      <c r="J864" s="20"/>
      <c r="K864" s="20"/>
      <c r="L864" s="20"/>
      <c r="M864" s="20"/>
      <c r="N864" s="21"/>
      <c r="O864" s="31"/>
      <c r="P864" s="20"/>
      <c r="Q864" s="31"/>
      <c r="R864" s="20"/>
      <c r="S864" s="20"/>
      <c r="T864" s="20"/>
      <c r="U864" s="20"/>
      <c r="V864" s="20"/>
      <c r="W864" s="20"/>
      <c r="X864" s="20"/>
      <c r="Y864" s="20"/>
      <c r="Z864" s="20"/>
    </row>
    <row r="865" spans="1:26" ht="9.75" customHeight="1" x14ac:dyDescent="0.25">
      <c r="A865" s="20"/>
      <c r="B865" s="21"/>
      <c r="C865" s="20"/>
      <c r="D865" s="22"/>
      <c r="E865" s="20"/>
      <c r="F865" s="20"/>
      <c r="G865" s="20"/>
      <c r="H865" s="20"/>
      <c r="I865" s="22"/>
      <c r="J865" s="20"/>
      <c r="K865" s="20"/>
      <c r="L865" s="20"/>
      <c r="M865" s="20"/>
      <c r="N865" s="21"/>
      <c r="O865" s="31"/>
      <c r="P865" s="20"/>
      <c r="Q865" s="31"/>
      <c r="R865" s="20"/>
      <c r="S865" s="20"/>
      <c r="T865" s="20"/>
      <c r="U865" s="20"/>
      <c r="V865" s="20"/>
      <c r="W865" s="20"/>
      <c r="X865" s="20"/>
      <c r="Y865" s="20"/>
      <c r="Z865" s="20"/>
    </row>
    <row r="866" spans="1:26" ht="9.75" customHeight="1" x14ac:dyDescent="0.25">
      <c r="A866" s="20"/>
      <c r="B866" s="21"/>
      <c r="C866" s="20"/>
      <c r="D866" s="22"/>
      <c r="E866" s="20"/>
      <c r="F866" s="20"/>
      <c r="G866" s="20"/>
      <c r="H866" s="20"/>
      <c r="I866" s="22"/>
      <c r="J866" s="20"/>
      <c r="K866" s="20"/>
      <c r="L866" s="20"/>
      <c r="M866" s="20"/>
      <c r="N866" s="21"/>
      <c r="O866" s="31"/>
      <c r="P866" s="20"/>
      <c r="Q866" s="31"/>
      <c r="R866" s="20"/>
      <c r="S866" s="20"/>
      <c r="T866" s="20"/>
      <c r="U866" s="20"/>
      <c r="V866" s="20"/>
      <c r="W866" s="20"/>
      <c r="X866" s="20"/>
      <c r="Y866" s="20"/>
      <c r="Z866" s="20"/>
    </row>
    <row r="867" spans="1:26" ht="9.75" customHeight="1" x14ac:dyDescent="0.25">
      <c r="A867" s="20"/>
      <c r="B867" s="21"/>
      <c r="C867" s="20"/>
      <c r="D867" s="22"/>
      <c r="E867" s="20"/>
      <c r="F867" s="20"/>
      <c r="G867" s="20"/>
      <c r="H867" s="20"/>
      <c r="I867" s="22"/>
      <c r="J867" s="20"/>
      <c r="K867" s="20"/>
      <c r="L867" s="20"/>
      <c r="M867" s="20"/>
      <c r="N867" s="21"/>
      <c r="O867" s="31"/>
      <c r="P867" s="20"/>
      <c r="Q867" s="31"/>
      <c r="R867" s="20"/>
      <c r="S867" s="20"/>
      <c r="T867" s="20"/>
      <c r="U867" s="20"/>
      <c r="V867" s="20"/>
      <c r="W867" s="20"/>
      <c r="X867" s="20"/>
      <c r="Y867" s="20"/>
      <c r="Z867" s="20"/>
    </row>
    <row r="868" spans="1:26" ht="9.75" customHeight="1" x14ac:dyDescent="0.25">
      <c r="A868" s="20"/>
      <c r="B868" s="21"/>
      <c r="C868" s="20"/>
      <c r="D868" s="22"/>
      <c r="E868" s="20"/>
      <c r="F868" s="20"/>
      <c r="G868" s="20"/>
      <c r="H868" s="20"/>
      <c r="I868" s="22"/>
      <c r="J868" s="20"/>
      <c r="K868" s="20"/>
      <c r="L868" s="20"/>
      <c r="M868" s="20"/>
      <c r="N868" s="21"/>
      <c r="O868" s="31"/>
      <c r="P868" s="20"/>
      <c r="Q868" s="31"/>
      <c r="R868" s="20"/>
      <c r="S868" s="20"/>
      <c r="T868" s="20"/>
      <c r="U868" s="20"/>
      <c r="V868" s="20"/>
      <c r="W868" s="20"/>
      <c r="X868" s="20"/>
      <c r="Y868" s="20"/>
      <c r="Z868" s="20"/>
    </row>
    <row r="869" spans="1:26" ht="9.75" customHeight="1" x14ac:dyDescent="0.25">
      <c r="A869" s="20"/>
      <c r="B869" s="21"/>
      <c r="C869" s="20"/>
      <c r="D869" s="22"/>
      <c r="E869" s="20"/>
      <c r="F869" s="20"/>
      <c r="G869" s="20"/>
      <c r="H869" s="20"/>
      <c r="I869" s="22"/>
      <c r="J869" s="20"/>
      <c r="K869" s="20"/>
      <c r="L869" s="20"/>
      <c r="M869" s="20"/>
      <c r="N869" s="21"/>
      <c r="O869" s="31"/>
      <c r="P869" s="20"/>
      <c r="Q869" s="31"/>
      <c r="R869" s="20"/>
      <c r="S869" s="20"/>
      <c r="T869" s="20"/>
      <c r="U869" s="20"/>
      <c r="V869" s="20"/>
      <c r="W869" s="20"/>
      <c r="X869" s="20"/>
      <c r="Y869" s="20"/>
      <c r="Z869" s="20"/>
    </row>
    <row r="870" spans="1:26" ht="9.75" customHeight="1" x14ac:dyDescent="0.25">
      <c r="A870" s="20"/>
      <c r="B870" s="21"/>
      <c r="C870" s="20"/>
      <c r="D870" s="22"/>
      <c r="E870" s="20"/>
      <c r="F870" s="20"/>
      <c r="G870" s="20"/>
      <c r="H870" s="20"/>
      <c r="I870" s="22"/>
      <c r="J870" s="20"/>
      <c r="K870" s="20"/>
      <c r="L870" s="20"/>
      <c r="M870" s="20"/>
      <c r="N870" s="21"/>
      <c r="O870" s="31"/>
      <c r="P870" s="20"/>
      <c r="Q870" s="31"/>
      <c r="R870" s="20"/>
      <c r="S870" s="20"/>
      <c r="T870" s="20"/>
      <c r="U870" s="20"/>
      <c r="V870" s="20"/>
      <c r="W870" s="20"/>
      <c r="X870" s="20"/>
      <c r="Y870" s="20"/>
      <c r="Z870" s="20"/>
    </row>
    <row r="871" spans="1:26" ht="9.75" customHeight="1" x14ac:dyDescent="0.25">
      <c r="A871" s="20"/>
      <c r="B871" s="21"/>
      <c r="C871" s="20"/>
      <c r="D871" s="22"/>
      <c r="E871" s="20"/>
      <c r="F871" s="20"/>
      <c r="G871" s="20"/>
      <c r="H871" s="20"/>
      <c r="I871" s="22"/>
      <c r="J871" s="20"/>
      <c r="K871" s="20"/>
      <c r="L871" s="20"/>
      <c r="M871" s="20"/>
      <c r="N871" s="21"/>
      <c r="O871" s="31"/>
      <c r="P871" s="20"/>
      <c r="Q871" s="31"/>
      <c r="R871" s="20"/>
      <c r="S871" s="20"/>
      <c r="T871" s="20"/>
      <c r="U871" s="20"/>
      <c r="V871" s="20"/>
      <c r="W871" s="20"/>
      <c r="X871" s="20"/>
      <c r="Y871" s="20"/>
      <c r="Z871" s="20"/>
    </row>
    <row r="872" spans="1:26" ht="9.75" customHeight="1" x14ac:dyDescent="0.25">
      <c r="A872" s="20"/>
      <c r="B872" s="21"/>
      <c r="C872" s="20"/>
      <c r="D872" s="22"/>
      <c r="E872" s="20"/>
      <c r="F872" s="20"/>
      <c r="G872" s="20"/>
      <c r="H872" s="20"/>
      <c r="I872" s="22"/>
      <c r="J872" s="20"/>
      <c r="K872" s="20"/>
      <c r="L872" s="20"/>
      <c r="M872" s="20"/>
      <c r="N872" s="21"/>
      <c r="O872" s="31"/>
      <c r="P872" s="20"/>
      <c r="Q872" s="31"/>
      <c r="R872" s="20"/>
      <c r="S872" s="20"/>
      <c r="T872" s="20"/>
      <c r="U872" s="20"/>
      <c r="V872" s="20"/>
      <c r="W872" s="20"/>
      <c r="X872" s="20"/>
      <c r="Y872" s="20"/>
      <c r="Z872" s="20"/>
    </row>
    <row r="873" spans="1:26" ht="9.75" customHeight="1" x14ac:dyDescent="0.25">
      <c r="A873" s="20"/>
      <c r="B873" s="21"/>
      <c r="C873" s="20"/>
      <c r="D873" s="22"/>
      <c r="E873" s="20"/>
      <c r="F873" s="20"/>
      <c r="G873" s="20"/>
      <c r="H873" s="20"/>
      <c r="I873" s="22"/>
      <c r="J873" s="20"/>
      <c r="K873" s="20"/>
      <c r="L873" s="20"/>
      <c r="M873" s="20"/>
      <c r="N873" s="21"/>
      <c r="O873" s="31"/>
      <c r="P873" s="20"/>
      <c r="Q873" s="31"/>
      <c r="R873" s="20"/>
      <c r="S873" s="20"/>
      <c r="T873" s="20"/>
      <c r="U873" s="20"/>
      <c r="V873" s="20"/>
      <c r="W873" s="20"/>
      <c r="X873" s="20"/>
      <c r="Y873" s="20"/>
      <c r="Z873" s="20"/>
    </row>
    <row r="874" spans="1:26" ht="9.75" customHeight="1" x14ac:dyDescent="0.25">
      <c r="A874" s="20"/>
      <c r="B874" s="21"/>
      <c r="C874" s="20"/>
      <c r="D874" s="22"/>
      <c r="E874" s="20"/>
      <c r="F874" s="20"/>
      <c r="G874" s="20"/>
      <c r="H874" s="20"/>
      <c r="I874" s="22"/>
      <c r="J874" s="20"/>
      <c r="K874" s="20"/>
      <c r="L874" s="20"/>
      <c r="M874" s="20"/>
      <c r="N874" s="21"/>
      <c r="O874" s="31"/>
      <c r="P874" s="20"/>
      <c r="Q874" s="31"/>
      <c r="R874" s="20"/>
      <c r="S874" s="20"/>
      <c r="T874" s="20"/>
      <c r="U874" s="20"/>
      <c r="V874" s="20"/>
      <c r="W874" s="20"/>
      <c r="X874" s="20"/>
      <c r="Y874" s="20"/>
      <c r="Z874" s="20"/>
    </row>
    <row r="875" spans="1:26" ht="9.75" customHeight="1" x14ac:dyDescent="0.25">
      <c r="A875" s="20"/>
      <c r="B875" s="21"/>
      <c r="C875" s="20"/>
      <c r="D875" s="22"/>
      <c r="E875" s="20"/>
      <c r="F875" s="20"/>
      <c r="G875" s="20"/>
      <c r="H875" s="20"/>
      <c r="I875" s="22"/>
      <c r="J875" s="20"/>
      <c r="K875" s="20"/>
      <c r="L875" s="20"/>
      <c r="M875" s="20"/>
      <c r="N875" s="21"/>
      <c r="O875" s="31"/>
      <c r="P875" s="20"/>
      <c r="Q875" s="31"/>
      <c r="R875" s="20"/>
      <c r="S875" s="20"/>
      <c r="T875" s="20"/>
      <c r="U875" s="20"/>
      <c r="V875" s="20"/>
      <c r="W875" s="20"/>
      <c r="X875" s="20"/>
      <c r="Y875" s="20"/>
      <c r="Z875" s="20"/>
    </row>
    <row r="876" spans="1:26" ht="9.75" customHeight="1" x14ac:dyDescent="0.25">
      <c r="A876" s="20"/>
      <c r="B876" s="21"/>
      <c r="C876" s="20"/>
      <c r="D876" s="22"/>
      <c r="E876" s="20"/>
      <c r="F876" s="20"/>
      <c r="G876" s="20"/>
      <c r="H876" s="20"/>
      <c r="I876" s="22"/>
      <c r="J876" s="20"/>
      <c r="K876" s="20"/>
      <c r="L876" s="20"/>
      <c r="M876" s="20"/>
      <c r="N876" s="21"/>
      <c r="O876" s="31"/>
      <c r="P876" s="20"/>
      <c r="Q876" s="31"/>
      <c r="R876" s="20"/>
      <c r="S876" s="20"/>
      <c r="T876" s="20"/>
      <c r="U876" s="20"/>
      <c r="V876" s="20"/>
      <c r="W876" s="20"/>
      <c r="X876" s="20"/>
      <c r="Y876" s="20"/>
      <c r="Z876" s="20"/>
    </row>
    <row r="877" spans="1:26" ht="9.75" customHeight="1" x14ac:dyDescent="0.25">
      <c r="A877" s="20"/>
      <c r="B877" s="21"/>
      <c r="C877" s="20"/>
      <c r="D877" s="22"/>
      <c r="E877" s="20"/>
      <c r="F877" s="20"/>
      <c r="G877" s="20"/>
      <c r="H877" s="20"/>
      <c r="I877" s="22"/>
      <c r="J877" s="20"/>
      <c r="K877" s="20"/>
      <c r="L877" s="20"/>
      <c r="M877" s="20"/>
      <c r="N877" s="21"/>
      <c r="O877" s="31"/>
      <c r="P877" s="20"/>
      <c r="Q877" s="31"/>
      <c r="R877" s="20"/>
      <c r="S877" s="20"/>
      <c r="T877" s="20"/>
      <c r="U877" s="20"/>
      <c r="V877" s="20"/>
      <c r="W877" s="20"/>
      <c r="X877" s="20"/>
      <c r="Y877" s="20"/>
      <c r="Z877" s="20"/>
    </row>
    <row r="878" spans="1:26" ht="9.75" customHeight="1" x14ac:dyDescent="0.25">
      <c r="A878" s="20"/>
      <c r="B878" s="21"/>
      <c r="C878" s="20"/>
      <c r="D878" s="22"/>
      <c r="E878" s="20"/>
      <c r="F878" s="20"/>
      <c r="G878" s="20"/>
      <c r="H878" s="20"/>
      <c r="I878" s="22"/>
      <c r="J878" s="20"/>
      <c r="K878" s="20"/>
      <c r="L878" s="20"/>
      <c r="M878" s="20"/>
      <c r="N878" s="21"/>
      <c r="O878" s="31"/>
      <c r="P878" s="20"/>
      <c r="Q878" s="31"/>
      <c r="R878" s="20"/>
      <c r="S878" s="20"/>
      <c r="T878" s="20"/>
      <c r="U878" s="20"/>
      <c r="V878" s="20"/>
      <c r="W878" s="20"/>
      <c r="X878" s="20"/>
      <c r="Y878" s="20"/>
      <c r="Z878" s="20"/>
    </row>
    <row r="879" spans="1:26" ht="9.75" customHeight="1" x14ac:dyDescent="0.25">
      <c r="A879" s="20"/>
      <c r="B879" s="21"/>
      <c r="C879" s="20"/>
      <c r="D879" s="22"/>
      <c r="E879" s="20"/>
      <c r="F879" s="20"/>
      <c r="G879" s="20"/>
      <c r="H879" s="20"/>
      <c r="I879" s="22"/>
      <c r="J879" s="20"/>
      <c r="K879" s="20"/>
      <c r="L879" s="20"/>
      <c r="M879" s="20"/>
      <c r="N879" s="21"/>
      <c r="O879" s="31"/>
      <c r="P879" s="20"/>
      <c r="Q879" s="31"/>
      <c r="R879" s="20"/>
      <c r="S879" s="20"/>
      <c r="T879" s="20"/>
      <c r="U879" s="20"/>
      <c r="V879" s="20"/>
      <c r="W879" s="20"/>
      <c r="X879" s="20"/>
      <c r="Y879" s="20"/>
      <c r="Z879" s="20"/>
    </row>
    <row r="880" spans="1:26" ht="9.75" customHeight="1" x14ac:dyDescent="0.25">
      <c r="A880" s="20"/>
      <c r="B880" s="21"/>
      <c r="C880" s="20"/>
      <c r="D880" s="22"/>
      <c r="E880" s="20"/>
      <c r="F880" s="20"/>
      <c r="G880" s="20"/>
      <c r="H880" s="20"/>
      <c r="I880" s="22"/>
      <c r="J880" s="20"/>
      <c r="K880" s="20"/>
      <c r="L880" s="20"/>
      <c r="M880" s="20"/>
      <c r="N880" s="21"/>
      <c r="O880" s="31"/>
      <c r="P880" s="20"/>
      <c r="Q880" s="31"/>
      <c r="R880" s="20"/>
      <c r="S880" s="20"/>
      <c r="T880" s="20"/>
      <c r="U880" s="20"/>
      <c r="V880" s="20"/>
      <c r="W880" s="20"/>
      <c r="X880" s="20"/>
      <c r="Y880" s="20"/>
      <c r="Z880" s="20"/>
    </row>
    <row r="881" spans="1:26" ht="9.75" customHeight="1" x14ac:dyDescent="0.25">
      <c r="A881" s="20"/>
      <c r="B881" s="21"/>
      <c r="C881" s="20"/>
      <c r="D881" s="22"/>
      <c r="E881" s="20"/>
      <c r="F881" s="20"/>
      <c r="G881" s="20"/>
      <c r="H881" s="20"/>
      <c r="I881" s="22"/>
      <c r="J881" s="20"/>
      <c r="K881" s="20"/>
      <c r="L881" s="20"/>
      <c r="M881" s="20"/>
      <c r="N881" s="21"/>
      <c r="O881" s="31"/>
      <c r="P881" s="20"/>
      <c r="Q881" s="31"/>
      <c r="R881" s="20"/>
      <c r="S881" s="20"/>
      <c r="T881" s="20"/>
      <c r="U881" s="20"/>
      <c r="V881" s="20"/>
      <c r="W881" s="20"/>
      <c r="X881" s="20"/>
      <c r="Y881" s="20"/>
      <c r="Z881" s="20"/>
    </row>
    <row r="882" spans="1:26" ht="9.75" customHeight="1" x14ac:dyDescent="0.25">
      <c r="A882" s="20"/>
      <c r="B882" s="21"/>
      <c r="C882" s="20"/>
      <c r="D882" s="22"/>
      <c r="E882" s="20"/>
      <c r="F882" s="20"/>
      <c r="G882" s="20"/>
      <c r="H882" s="20"/>
      <c r="I882" s="22"/>
      <c r="J882" s="20"/>
      <c r="K882" s="20"/>
      <c r="L882" s="20"/>
      <c r="M882" s="20"/>
      <c r="N882" s="21"/>
      <c r="O882" s="31"/>
      <c r="P882" s="20"/>
      <c r="Q882" s="31"/>
      <c r="R882" s="20"/>
      <c r="S882" s="20"/>
      <c r="T882" s="20"/>
      <c r="U882" s="20"/>
      <c r="V882" s="20"/>
      <c r="W882" s="20"/>
      <c r="X882" s="20"/>
      <c r="Y882" s="20"/>
      <c r="Z882" s="20"/>
    </row>
    <row r="883" spans="1:26" ht="9.75" customHeight="1" x14ac:dyDescent="0.25">
      <c r="A883" s="20"/>
      <c r="B883" s="21"/>
      <c r="C883" s="20"/>
      <c r="D883" s="22"/>
      <c r="E883" s="20"/>
      <c r="F883" s="20"/>
      <c r="G883" s="20"/>
      <c r="H883" s="20"/>
      <c r="I883" s="22"/>
      <c r="J883" s="20"/>
      <c r="K883" s="20"/>
      <c r="L883" s="20"/>
      <c r="M883" s="20"/>
      <c r="N883" s="21"/>
      <c r="O883" s="31"/>
      <c r="P883" s="20"/>
      <c r="Q883" s="31"/>
      <c r="R883" s="20"/>
      <c r="S883" s="20"/>
      <c r="T883" s="20"/>
      <c r="U883" s="20"/>
      <c r="V883" s="20"/>
      <c r="W883" s="20"/>
      <c r="X883" s="20"/>
      <c r="Y883" s="20"/>
      <c r="Z883" s="20"/>
    </row>
    <row r="884" spans="1:26" ht="9.75" customHeight="1" x14ac:dyDescent="0.25">
      <c r="A884" s="20"/>
      <c r="B884" s="21"/>
      <c r="C884" s="20"/>
      <c r="D884" s="22"/>
      <c r="E884" s="20"/>
      <c r="F884" s="20"/>
      <c r="G884" s="20"/>
      <c r="H884" s="20"/>
      <c r="I884" s="22"/>
      <c r="J884" s="20"/>
      <c r="K884" s="20"/>
      <c r="L884" s="20"/>
      <c r="M884" s="20"/>
      <c r="N884" s="21"/>
      <c r="O884" s="31"/>
      <c r="P884" s="20"/>
      <c r="Q884" s="31"/>
      <c r="R884" s="20"/>
      <c r="S884" s="20"/>
      <c r="T884" s="20"/>
      <c r="U884" s="20"/>
      <c r="V884" s="20"/>
      <c r="W884" s="20"/>
      <c r="X884" s="20"/>
      <c r="Y884" s="20"/>
      <c r="Z884" s="20"/>
    </row>
    <row r="885" spans="1:26" ht="9.75" customHeight="1" x14ac:dyDescent="0.25">
      <c r="A885" s="20"/>
      <c r="B885" s="21"/>
      <c r="C885" s="20"/>
      <c r="D885" s="22"/>
      <c r="E885" s="20"/>
      <c r="F885" s="20"/>
      <c r="G885" s="20"/>
      <c r="H885" s="20"/>
      <c r="I885" s="22"/>
      <c r="J885" s="20"/>
      <c r="K885" s="20"/>
      <c r="L885" s="20"/>
      <c r="M885" s="20"/>
      <c r="N885" s="21"/>
      <c r="O885" s="31"/>
      <c r="P885" s="20"/>
      <c r="Q885" s="31"/>
      <c r="R885" s="20"/>
      <c r="S885" s="20"/>
      <c r="T885" s="20"/>
      <c r="U885" s="20"/>
      <c r="V885" s="20"/>
      <c r="W885" s="20"/>
      <c r="X885" s="20"/>
      <c r="Y885" s="20"/>
      <c r="Z885" s="20"/>
    </row>
    <row r="886" spans="1:26" ht="9.75" customHeight="1" x14ac:dyDescent="0.25">
      <c r="A886" s="20"/>
      <c r="B886" s="21"/>
      <c r="C886" s="20"/>
      <c r="D886" s="22"/>
      <c r="E886" s="20"/>
      <c r="F886" s="20"/>
      <c r="G886" s="20"/>
      <c r="H886" s="20"/>
      <c r="I886" s="22"/>
      <c r="J886" s="20"/>
      <c r="K886" s="20"/>
      <c r="L886" s="20"/>
      <c r="M886" s="20"/>
      <c r="N886" s="21"/>
      <c r="O886" s="31"/>
      <c r="P886" s="20"/>
      <c r="Q886" s="31"/>
      <c r="R886" s="20"/>
      <c r="S886" s="20"/>
      <c r="T886" s="20"/>
      <c r="U886" s="20"/>
      <c r="V886" s="20"/>
      <c r="W886" s="20"/>
      <c r="X886" s="20"/>
      <c r="Y886" s="20"/>
      <c r="Z886" s="20"/>
    </row>
    <row r="887" spans="1:26" ht="9.75" customHeight="1" x14ac:dyDescent="0.25">
      <c r="A887" s="20"/>
      <c r="B887" s="21"/>
      <c r="C887" s="20"/>
      <c r="D887" s="22"/>
      <c r="E887" s="20"/>
      <c r="F887" s="20"/>
      <c r="G887" s="20"/>
      <c r="H887" s="20"/>
      <c r="I887" s="22"/>
      <c r="J887" s="20"/>
      <c r="K887" s="20"/>
      <c r="L887" s="20"/>
      <c r="M887" s="20"/>
      <c r="N887" s="21"/>
      <c r="O887" s="31"/>
      <c r="P887" s="20"/>
      <c r="Q887" s="31"/>
      <c r="R887" s="20"/>
      <c r="S887" s="20"/>
      <c r="T887" s="20"/>
      <c r="U887" s="20"/>
      <c r="V887" s="20"/>
      <c r="W887" s="20"/>
      <c r="X887" s="20"/>
      <c r="Y887" s="20"/>
      <c r="Z887" s="20"/>
    </row>
    <row r="888" spans="1:26" ht="9.75" customHeight="1" x14ac:dyDescent="0.25">
      <c r="A888" s="20"/>
      <c r="B888" s="21"/>
      <c r="C888" s="20"/>
      <c r="D888" s="22"/>
      <c r="E888" s="20"/>
      <c r="F888" s="20"/>
      <c r="G888" s="20"/>
      <c r="H888" s="20"/>
      <c r="I888" s="22"/>
      <c r="J888" s="20"/>
      <c r="K888" s="20"/>
      <c r="L888" s="20"/>
      <c r="M888" s="20"/>
      <c r="N888" s="21"/>
      <c r="O888" s="31"/>
      <c r="P888" s="20"/>
      <c r="Q888" s="31"/>
      <c r="R888" s="20"/>
      <c r="S888" s="20"/>
      <c r="T888" s="20"/>
      <c r="U888" s="20"/>
      <c r="V888" s="20"/>
      <c r="W888" s="20"/>
      <c r="X888" s="20"/>
      <c r="Y888" s="20"/>
      <c r="Z888" s="20"/>
    </row>
    <row r="889" spans="1:26" ht="9.75" customHeight="1" x14ac:dyDescent="0.25">
      <c r="A889" s="20"/>
      <c r="B889" s="21"/>
      <c r="C889" s="20"/>
      <c r="D889" s="22"/>
      <c r="E889" s="20"/>
      <c r="F889" s="20"/>
      <c r="G889" s="20"/>
      <c r="H889" s="20"/>
      <c r="I889" s="22"/>
      <c r="J889" s="20"/>
      <c r="K889" s="20"/>
      <c r="L889" s="20"/>
      <c r="M889" s="20"/>
      <c r="N889" s="21"/>
      <c r="O889" s="31"/>
      <c r="P889" s="20"/>
      <c r="Q889" s="31"/>
      <c r="R889" s="20"/>
      <c r="S889" s="20"/>
      <c r="T889" s="20"/>
      <c r="U889" s="20"/>
      <c r="V889" s="20"/>
      <c r="W889" s="20"/>
      <c r="X889" s="20"/>
      <c r="Y889" s="20"/>
      <c r="Z889" s="20"/>
    </row>
    <row r="890" spans="1:26" ht="9.75" customHeight="1" x14ac:dyDescent="0.25">
      <c r="A890" s="20"/>
      <c r="B890" s="21"/>
      <c r="C890" s="20"/>
      <c r="D890" s="22"/>
      <c r="E890" s="20"/>
      <c r="F890" s="20"/>
      <c r="G890" s="20"/>
      <c r="H890" s="20"/>
      <c r="I890" s="22"/>
      <c r="J890" s="20"/>
      <c r="K890" s="20"/>
      <c r="L890" s="20"/>
      <c r="M890" s="20"/>
      <c r="N890" s="21"/>
      <c r="O890" s="31"/>
      <c r="P890" s="20"/>
      <c r="Q890" s="31"/>
      <c r="R890" s="20"/>
      <c r="S890" s="20"/>
      <c r="T890" s="20"/>
      <c r="U890" s="20"/>
      <c r="V890" s="20"/>
      <c r="W890" s="20"/>
      <c r="X890" s="20"/>
      <c r="Y890" s="20"/>
      <c r="Z890" s="20"/>
    </row>
    <row r="891" spans="1:26" ht="9.75" customHeight="1" x14ac:dyDescent="0.25">
      <c r="A891" s="20"/>
      <c r="B891" s="21"/>
      <c r="C891" s="20"/>
      <c r="D891" s="22"/>
      <c r="E891" s="20"/>
      <c r="F891" s="20"/>
      <c r="G891" s="20"/>
      <c r="H891" s="20"/>
      <c r="I891" s="22"/>
      <c r="J891" s="20"/>
      <c r="K891" s="20"/>
      <c r="L891" s="20"/>
      <c r="M891" s="20"/>
      <c r="N891" s="21"/>
      <c r="O891" s="31"/>
      <c r="P891" s="20"/>
      <c r="Q891" s="31"/>
      <c r="R891" s="20"/>
      <c r="S891" s="20"/>
      <c r="T891" s="20"/>
      <c r="U891" s="20"/>
      <c r="V891" s="20"/>
      <c r="W891" s="20"/>
      <c r="X891" s="20"/>
      <c r="Y891" s="20"/>
      <c r="Z891" s="20"/>
    </row>
    <row r="892" spans="1:26" ht="9.75" customHeight="1" x14ac:dyDescent="0.25">
      <c r="A892" s="20"/>
      <c r="B892" s="21"/>
      <c r="C892" s="20"/>
      <c r="D892" s="22"/>
      <c r="E892" s="20"/>
      <c r="F892" s="20"/>
      <c r="G892" s="20"/>
      <c r="H892" s="20"/>
      <c r="I892" s="22"/>
      <c r="J892" s="20"/>
      <c r="K892" s="20"/>
      <c r="L892" s="20"/>
      <c r="M892" s="20"/>
      <c r="N892" s="21"/>
      <c r="O892" s="31"/>
      <c r="P892" s="20"/>
      <c r="Q892" s="31"/>
      <c r="R892" s="20"/>
      <c r="S892" s="20"/>
      <c r="T892" s="20"/>
      <c r="U892" s="20"/>
      <c r="V892" s="20"/>
      <c r="W892" s="20"/>
      <c r="X892" s="20"/>
      <c r="Y892" s="20"/>
      <c r="Z892" s="20"/>
    </row>
    <row r="893" spans="1:26" ht="9.75" customHeight="1" x14ac:dyDescent="0.25">
      <c r="A893" s="20"/>
      <c r="B893" s="21"/>
      <c r="C893" s="20"/>
      <c r="D893" s="22"/>
      <c r="E893" s="20"/>
      <c r="F893" s="20"/>
      <c r="G893" s="20"/>
      <c r="H893" s="20"/>
      <c r="I893" s="22"/>
      <c r="J893" s="20"/>
      <c r="K893" s="20"/>
      <c r="L893" s="20"/>
      <c r="M893" s="20"/>
      <c r="N893" s="21"/>
      <c r="O893" s="31"/>
      <c r="P893" s="20"/>
      <c r="Q893" s="31"/>
      <c r="R893" s="20"/>
      <c r="S893" s="20"/>
      <c r="T893" s="20"/>
      <c r="U893" s="20"/>
      <c r="V893" s="20"/>
      <c r="W893" s="20"/>
      <c r="X893" s="20"/>
      <c r="Y893" s="20"/>
      <c r="Z893" s="20"/>
    </row>
    <row r="894" spans="1:26" ht="9.75" customHeight="1" x14ac:dyDescent="0.25">
      <c r="A894" s="20"/>
      <c r="B894" s="21"/>
      <c r="C894" s="20"/>
      <c r="D894" s="22"/>
      <c r="E894" s="20"/>
      <c r="F894" s="20"/>
      <c r="G894" s="20"/>
      <c r="H894" s="20"/>
      <c r="I894" s="22"/>
      <c r="J894" s="20"/>
      <c r="K894" s="20"/>
      <c r="L894" s="20"/>
      <c r="M894" s="20"/>
      <c r="N894" s="21"/>
      <c r="O894" s="31"/>
      <c r="P894" s="20"/>
      <c r="Q894" s="31"/>
      <c r="R894" s="20"/>
      <c r="S894" s="20"/>
      <c r="T894" s="20"/>
      <c r="U894" s="20"/>
      <c r="V894" s="20"/>
      <c r="W894" s="20"/>
      <c r="X894" s="20"/>
      <c r="Y894" s="20"/>
      <c r="Z894" s="20"/>
    </row>
    <row r="895" spans="1:26" ht="9.75" customHeight="1" x14ac:dyDescent="0.25">
      <c r="A895" s="20"/>
      <c r="B895" s="21"/>
      <c r="C895" s="20"/>
      <c r="D895" s="22"/>
      <c r="E895" s="20"/>
      <c r="F895" s="20"/>
      <c r="G895" s="20"/>
      <c r="H895" s="20"/>
      <c r="I895" s="22"/>
      <c r="J895" s="20"/>
      <c r="K895" s="20"/>
      <c r="L895" s="20"/>
      <c r="M895" s="20"/>
      <c r="N895" s="21"/>
      <c r="O895" s="31"/>
      <c r="P895" s="20"/>
      <c r="Q895" s="31"/>
      <c r="R895" s="20"/>
      <c r="S895" s="20"/>
      <c r="T895" s="20"/>
      <c r="U895" s="20"/>
      <c r="V895" s="20"/>
      <c r="W895" s="20"/>
      <c r="X895" s="20"/>
      <c r="Y895" s="20"/>
      <c r="Z895" s="20"/>
    </row>
    <row r="896" spans="1:26" ht="9.75" customHeight="1" x14ac:dyDescent="0.25">
      <c r="A896" s="20"/>
      <c r="B896" s="21"/>
      <c r="C896" s="20"/>
      <c r="D896" s="22"/>
      <c r="E896" s="20"/>
      <c r="F896" s="20"/>
      <c r="G896" s="20"/>
      <c r="H896" s="20"/>
      <c r="I896" s="22"/>
      <c r="J896" s="20"/>
      <c r="K896" s="20"/>
      <c r="L896" s="20"/>
      <c r="M896" s="20"/>
      <c r="N896" s="21"/>
      <c r="O896" s="31"/>
      <c r="P896" s="20"/>
      <c r="Q896" s="31"/>
      <c r="R896" s="20"/>
      <c r="S896" s="20"/>
      <c r="T896" s="20"/>
      <c r="U896" s="20"/>
      <c r="V896" s="20"/>
      <c r="W896" s="20"/>
      <c r="X896" s="20"/>
      <c r="Y896" s="20"/>
      <c r="Z896" s="20"/>
    </row>
    <row r="897" spans="1:26" ht="9.75" customHeight="1" x14ac:dyDescent="0.25">
      <c r="A897" s="20"/>
      <c r="B897" s="21"/>
      <c r="C897" s="20"/>
      <c r="D897" s="22"/>
      <c r="E897" s="20"/>
      <c r="F897" s="20"/>
      <c r="G897" s="20"/>
      <c r="H897" s="20"/>
      <c r="I897" s="22"/>
      <c r="J897" s="20"/>
      <c r="K897" s="20"/>
      <c r="L897" s="20"/>
      <c r="M897" s="20"/>
      <c r="N897" s="21"/>
      <c r="O897" s="31"/>
      <c r="P897" s="20"/>
      <c r="Q897" s="31"/>
      <c r="R897" s="20"/>
      <c r="S897" s="20"/>
      <c r="T897" s="20"/>
      <c r="U897" s="20"/>
      <c r="V897" s="20"/>
      <c r="W897" s="20"/>
      <c r="X897" s="20"/>
      <c r="Y897" s="20"/>
      <c r="Z897" s="20"/>
    </row>
    <row r="898" spans="1:26" ht="9.75" customHeight="1" x14ac:dyDescent="0.25">
      <c r="A898" s="20"/>
      <c r="B898" s="21"/>
      <c r="C898" s="20"/>
      <c r="D898" s="22"/>
      <c r="E898" s="20"/>
      <c r="F898" s="20"/>
      <c r="G898" s="20"/>
      <c r="H898" s="20"/>
      <c r="I898" s="22"/>
      <c r="J898" s="20"/>
      <c r="K898" s="20"/>
      <c r="L898" s="20"/>
      <c r="M898" s="20"/>
      <c r="N898" s="21"/>
      <c r="O898" s="31"/>
      <c r="P898" s="20"/>
      <c r="Q898" s="31"/>
      <c r="R898" s="20"/>
      <c r="S898" s="20"/>
      <c r="T898" s="20"/>
      <c r="U898" s="20"/>
      <c r="V898" s="20"/>
      <c r="W898" s="20"/>
      <c r="X898" s="20"/>
      <c r="Y898" s="20"/>
      <c r="Z898" s="20"/>
    </row>
    <row r="899" spans="1:26" ht="9.75" customHeight="1" x14ac:dyDescent="0.25">
      <c r="A899" s="20"/>
      <c r="B899" s="21"/>
      <c r="C899" s="20"/>
      <c r="D899" s="22"/>
      <c r="E899" s="20"/>
      <c r="F899" s="20"/>
      <c r="G899" s="20"/>
      <c r="H899" s="20"/>
      <c r="I899" s="22"/>
      <c r="J899" s="20"/>
      <c r="K899" s="20"/>
      <c r="L899" s="20"/>
      <c r="M899" s="20"/>
      <c r="N899" s="21"/>
      <c r="O899" s="31"/>
      <c r="P899" s="20"/>
      <c r="Q899" s="31"/>
      <c r="R899" s="20"/>
      <c r="S899" s="20"/>
      <c r="T899" s="20"/>
      <c r="U899" s="20"/>
      <c r="V899" s="20"/>
      <c r="W899" s="20"/>
      <c r="X899" s="20"/>
      <c r="Y899" s="20"/>
      <c r="Z899" s="20"/>
    </row>
    <row r="900" spans="1:26" ht="9.75" customHeight="1" x14ac:dyDescent="0.25">
      <c r="A900" s="20"/>
      <c r="B900" s="21"/>
      <c r="C900" s="20"/>
      <c r="D900" s="22"/>
      <c r="E900" s="20"/>
      <c r="F900" s="20"/>
      <c r="G900" s="20"/>
      <c r="H900" s="20"/>
      <c r="I900" s="22"/>
      <c r="J900" s="20"/>
      <c r="K900" s="20"/>
      <c r="L900" s="20"/>
      <c r="M900" s="20"/>
      <c r="N900" s="21"/>
      <c r="O900" s="31"/>
      <c r="P900" s="20"/>
      <c r="Q900" s="31"/>
      <c r="R900" s="20"/>
      <c r="S900" s="20"/>
      <c r="T900" s="20"/>
      <c r="U900" s="20"/>
      <c r="V900" s="20"/>
      <c r="W900" s="20"/>
      <c r="X900" s="20"/>
      <c r="Y900" s="20"/>
      <c r="Z900" s="20"/>
    </row>
    <row r="901" spans="1:26" ht="9.75" customHeight="1" x14ac:dyDescent="0.25">
      <c r="A901" s="20"/>
      <c r="B901" s="21"/>
      <c r="C901" s="20"/>
      <c r="D901" s="22"/>
      <c r="E901" s="20"/>
      <c r="F901" s="20"/>
      <c r="G901" s="20"/>
      <c r="H901" s="20"/>
      <c r="I901" s="22"/>
      <c r="J901" s="20"/>
      <c r="K901" s="20"/>
      <c r="L901" s="20"/>
      <c r="M901" s="20"/>
      <c r="N901" s="21"/>
      <c r="O901" s="31"/>
      <c r="P901" s="20"/>
      <c r="Q901" s="31"/>
      <c r="R901" s="20"/>
      <c r="S901" s="20"/>
      <c r="T901" s="20"/>
      <c r="U901" s="20"/>
      <c r="V901" s="20"/>
      <c r="W901" s="20"/>
      <c r="X901" s="20"/>
      <c r="Y901" s="20"/>
      <c r="Z901" s="20"/>
    </row>
    <row r="902" spans="1:26" ht="9.75" customHeight="1" x14ac:dyDescent="0.25">
      <c r="A902" s="20"/>
      <c r="B902" s="21"/>
      <c r="C902" s="20"/>
      <c r="D902" s="22"/>
      <c r="E902" s="20"/>
      <c r="F902" s="20"/>
      <c r="G902" s="20"/>
      <c r="H902" s="20"/>
      <c r="I902" s="22"/>
      <c r="J902" s="20"/>
      <c r="K902" s="20"/>
      <c r="L902" s="20"/>
      <c r="M902" s="20"/>
      <c r="N902" s="21"/>
      <c r="O902" s="31"/>
      <c r="P902" s="20"/>
      <c r="Q902" s="31"/>
      <c r="R902" s="20"/>
      <c r="S902" s="20"/>
      <c r="T902" s="20"/>
      <c r="U902" s="20"/>
      <c r="V902" s="20"/>
      <c r="W902" s="20"/>
      <c r="X902" s="20"/>
      <c r="Y902" s="20"/>
      <c r="Z902" s="20"/>
    </row>
    <row r="903" spans="1:26" ht="9.75" customHeight="1" x14ac:dyDescent="0.25">
      <c r="A903" s="20"/>
      <c r="B903" s="21"/>
      <c r="C903" s="20"/>
      <c r="D903" s="22"/>
      <c r="E903" s="20"/>
      <c r="F903" s="20"/>
      <c r="G903" s="20"/>
      <c r="H903" s="20"/>
      <c r="I903" s="22"/>
      <c r="J903" s="20"/>
      <c r="K903" s="20"/>
      <c r="L903" s="20"/>
      <c r="M903" s="20"/>
      <c r="N903" s="21"/>
      <c r="O903" s="31"/>
      <c r="P903" s="20"/>
      <c r="Q903" s="31"/>
      <c r="R903" s="20"/>
      <c r="S903" s="20"/>
      <c r="T903" s="20"/>
      <c r="U903" s="20"/>
      <c r="V903" s="20"/>
      <c r="W903" s="20"/>
      <c r="X903" s="20"/>
      <c r="Y903" s="20"/>
      <c r="Z903" s="20"/>
    </row>
    <row r="904" spans="1:26" ht="9.75" customHeight="1" x14ac:dyDescent="0.25">
      <c r="A904" s="20"/>
      <c r="B904" s="21"/>
      <c r="C904" s="20"/>
      <c r="D904" s="22"/>
      <c r="E904" s="20"/>
      <c r="F904" s="20"/>
      <c r="G904" s="20"/>
      <c r="H904" s="20"/>
      <c r="I904" s="22"/>
      <c r="J904" s="20"/>
      <c r="K904" s="20"/>
      <c r="L904" s="20"/>
      <c r="M904" s="20"/>
      <c r="N904" s="21"/>
      <c r="O904" s="31"/>
      <c r="P904" s="20"/>
      <c r="Q904" s="31"/>
      <c r="R904" s="20"/>
      <c r="S904" s="20"/>
      <c r="T904" s="20"/>
      <c r="U904" s="20"/>
      <c r="V904" s="20"/>
      <c r="W904" s="20"/>
      <c r="X904" s="20"/>
      <c r="Y904" s="20"/>
      <c r="Z904" s="20"/>
    </row>
    <row r="905" spans="1:26" ht="9.75" customHeight="1" x14ac:dyDescent="0.25">
      <c r="A905" s="20"/>
      <c r="B905" s="21"/>
      <c r="C905" s="20"/>
      <c r="D905" s="22"/>
      <c r="E905" s="20"/>
      <c r="F905" s="20"/>
      <c r="G905" s="20"/>
      <c r="H905" s="20"/>
      <c r="I905" s="22"/>
      <c r="J905" s="20"/>
      <c r="K905" s="20"/>
      <c r="L905" s="20"/>
      <c r="M905" s="20"/>
      <c r="N905" s="21"/>
      <c r="O905" s="31"/>
      <c r="P905" s="20"/>
      <c r="Q905" s="31"/>
      <c r="R905" s="20"/>
      <c r="S905" s="20"/>
      <c r="T905" s="20"/>
      <c r="U905" s="20"/>
      <c r="V905" s="20"/>
      <c r="W905" s="20"/>
      <c r="X905" s="20"/>
      <c r="Y905" s="20"/>
      <c r="Z905" s="20"/>
    </row>
    <row r="906" spans="1:26" ht="9.75" customHeight="1" x14ac:dyDescent="0.25">
      <c r="A906" s="20"/>
      <c r="B906" s="21"/>
      <c r="C906" s="20"/>
      <c r="D906" s="22"/>
      <c r="E906" s="20"/>
      <c r="F906" s="20"/>
      <c r="G906" s="20"/>
      <c r="H906" s="20"/>
      <c r="I906" s="22"/>
      <c r="J906" s="20"/>
      <c r="K906" s="20"/>
      <c r="L906" s="20"/>
      <c r="M906" s="20"/>
      <c r="N906" s="21"/>
      <c r="O906" s="31"/>
      <c r="P906" s="20"/>
      <c r="Q906" s="31"/>
      <c r="R906" s="20"/>
      <c r="S906" s="20"/>
      <c r="T906" s="20"/>
      <c r="U906" s="20"/>
      <c r="V906" s="20"/>
      <c r="W906" s="20"/>
      <c r="X906" s="20"/>
      <c r="Y906" s="20"/>
      <c r="Z906" s="20"/>
    </row>
    <row r="907" spans="1:26" ht="9.75" customHeight="1" x14ac:dyDescent="0.25">
      <c r="A907" s="20"/>
      <c r="B907" s="21"/>
      <c r="C907" s="20"/>
      <c r="D907" s="22"/>
      <c r="E907" s="20"/>
      <c r="F907" s="20"/>
      <c r="G907" s="20"/>
      <c r="H907" s="20"/>
      <c r="I907" s="22"/>
      <c r="J907" s="20"/>
      <c r="K907" s="20"/>
      <c r="L907" s="20"/>
      <c r="M907" s="20"/>
      <c r="N907" s="21"/>
      <c r="O907" s="31"/>
      <c r="P907" s="20"/>
      <c r="Q907" s="31"/>
      <c r="R907" s="20"/>
      <c r="S907" s="20"/>
      <c r="T907" s="20"/>
      <c r="U907" s="20"/>
      <c r="V907" s="20"/>
      <c r="W907" s="20"/>
      <c r="X907" s="20"/>
      <c r="Y907" s="20"/>
      <c r="Z907" s="20"/>
    </row>
    <row r="908" spans="1:26" ht="9.75" customHeight="1" x14ac:dyDescent="0.25">
      <c r="A908" s="20"/>
      <c r="B908" s="21"/>
      <c r="C908" s="20"/>
      <c r="D908" s="22"/>
      <c r="E908" s="20"/>
      <c r="F908" s="20"/>
      <c r="G908" s="20"/>
      <c r="H908" s="20"/>
      <c r="I908" s="22"/>
      <c r="J908" s="20"/>
      <c r="K908" s="20"/>
      <c r="L908" s="20"/>
      <c r="M908" s="20"/>
      <c r="N908" s="21"/>
      <c r="O908" s="31"/>
      <c r="P908" s="20"/>
      <c r="Q908" s="31"/>
      <c r="R908" s="20"/>
      <c r="S908" s="20"/>
      <c r="T908" s="20"/>
      <c r="U908" s="20"/>
      <c r="V908" s="20"/>
      <c r="W908" s="20"/>
      <c r="X908" s="20"/>
      <c r="Y908" s="20"/>
      <c r="Z908" s="20"/>
    </row>
    <row r="909" spans="1:26" ht="9.75" customHeight="1" x14ac:dyDescent="0.25">
      <c r="A909" s="20"/>
      <c r="B909" s="21"/>
      <c r="C909" s="20"/>
      <c r="D909" s="22"/>
      <c r="E909" s="20"/>
      <c r="F909" s="20"/>
      <c r="G909" s="20"/>
      <c r="H909" s="20"/>
      <c r="I909" s="22"/>
      <c r="J909" s="20"/>
      <c r="K909" s="20"/>
      <c r="L909" s="20"/>
      <c r="M909" s="20"/>
      <c r="N909" s="21"/>
      <c r="O909" s="31"/>
      <c r="P909" s="20"/>
      <c r="Q909" s="31"/>
      <c r="R909" s="20"/>
      <c r="S909" s="20"/>
      <c r="T909" s="20"/>
      <c r="U909" s="20"/>
      <c r="V909" s="20"/>
      <c r="W909" s="20"/>
      <c r="X909" s="20"/>
      <c r="Y909" s="20"/>
      <c r="Z909" s="20"/>
    </row>
    <row r="910" spans="1:26" ht="9.75" customHeight="1" x14ac:dyDescent="0.25">
      <c r="A910" s="20"/>
      <c r="B910" s="21"/>
      <c r="C910" s="20"/>
      <c r="D910" s="22"/>
      <c r="E910" s="20"/>
      <c r="F910" s="20"/>
      <c r="G910" s="20"/>
      <c r="H910" s="20"/>
      <c r="I910" s="22"/>
      <c r="J910" s="20"/>
      <c r="K910" s="20"/>
      <c r="L910" s="20"/>
      <c r="M910" s="20"/>
      <c r="N910" s="21"/>
      <c r="O910" s="31"/>
      <c r="P910" s="20"/>
      <c r="Q910" s="31"/>
      <c r="R910" s="20"/>
      <c r="S910" s="20"/>
      <c r="T910" s="20"/>
      <c r="U910" s="20"/>
      <c r="V910" s="20"/>
      <c r="W910" s="20"/>
      <c r="X910" s="20"/>
      <c r="Y910" s="20"/>
      <c r="Z910" s="20"/>
    </row>
    <row r="911" spans="1:26" ht="9.75" customHeight="1" x14ac:dyDescent="0.25">
      <c r="A911" s="20"/>
      <c r="B911" s="21"/>
      <c r="C911" s="20"/>
      <c r="D911" s="22"/>
      <c r="E911" s="20"/>
      <c r="F911" s="20"/>
      <c r="G911" s="20"/>
      <c r="H911" s="20"/>
      <c r="I911" s="22"/>
      <c r="J911" s="20"/>
      <c r="K911" s="20"/>
      <c r="L911" s="20"/>
      <c r="M911" s="20"/>
      <c r="N911" s="21"/>
      <c r="O911" s="31"/>
      <c r="P911" s="20"/>
      <c r="Q911" s="31"/>
      <c r="R911" s="20"/>
      <c r="S911" s="20"/>
      <c r="T911" s="20"/>
      <c r="U911" s="20"/>
      <c r="V911" s="20"/>
      <c r="W911" s="20"/>
      <c r="X911" s="20"/>
      <c r="Y911" s="20"/>
      <c r="Z911" s="20"/>
    </row>
    <row r="912" spans="1:26" ht="9.75" customHeight="1" x14ac:dyDescent="0.25">
      <c r="A912" s="20"/>
      <c r="B912" s="21"/>
      <c r="C912" s="20"/>
      <c r="D912" s="22"/>
      <c r="E912" s="20"/>
      <c r="F912" s="20"/>
      <c r="G912" s="20"/>
      <c r="H912" s="20"/>
      <c r="I912" s="22"/>
      <c r="J912" s="20"/>
      <c r="K912" s="20"/>
      <c r="L912" s="20"/>
      <c r="M912" s="20"/>
      <c r="N912" s="21"/>
      <c r="O912" s="31"/>
      <c r="P912" s="20"/>
      <c r="Q912" s="31"/>
      <c r="R912" s="20"/>
      <c r="S912" s="20"/>
      <c r="T912" s="20"/>
      <c r="U912" s="20"/>
      <c r="V912" s="20"/>
      <c r="W912" s="20"/>
      <c r="X912" s="20"/>
      <c r="Y912" s="20"/>
      <c r="Z912" s="20"/>
    </row>
    <row r="913" spans="1:26" ht="9.75" customHeight="1" x14ac:dyDescent="0.25">
      <c r="A913" s="20"/>
      <c r="B913" s="21"/>
      <c r="C913" s="20"/>
      <c r="D913" s="22"/>
      <c r="E913" s="20"/>
      <c r="F913" s="20"/>
      <c r="G913" s="20"/>
      <c r="H913" s="20"/>
      <c r="I913" s="22"/>
      <c r="J913" s="20"/>
      <c r="K913" s="20"/>
      <c r="L913" s="20"/>
      <c r="M913" s="20"/>
      <c r="N913" s="21"/>
      <c r="O913" s="31"/>
      <c r="P913" s="20"/>
      <c r="Q913" s="31"/>
      <c r="R913" s="20"/>
      <c r="S913" s="20"/>
      <c r="T913" s="20"/>
      <c r="U913" s="20"/>
      <c r="V913" s="20"/>
      <c r="W913" s="20"/>
      <c r="X913" s="20"/>
      <c r="Y913" s="20"/>
      <c r="Z913" s="20"/>
    </row>
    <row r="914" spans="1:26" ht="9.75" customHeight="1" x14ac:dyDescent="0.25">
      <c r="A914" s="20"/>
      <c r="B914" s="21"/>
      <c r="C914" s="20"/>
      <c r="D914" s="22"/>
      <c r="E914" s="20"/>
      <c r="F914" s="20"/>
      <c r="G914" s="20"/>
      <c r="H914" s="20"/>
      <c r="I914" s="22"/>
      <c r="J914" s="20"/>
      <c r="K914" s="20"/>
      <c r="L914" s="20"/>
      <c r="M914" s="20"/>
      <c r="N914" s="21"/>
      <c r="O914" s="31"/>
      <c r="P914" s="20"/>
      <c r="Q914" s="31"/>
      <c r="R914" s="20"/>
      <c r="S914" s="20"/>
      <c r="T914" s="20"/>
      <c r="U914" s="20"/>
      <c r="V914" s="20"/>
      <c r="W914" s="20"/>
      <c r="X914" s="20"/>
      <c r="Y914" s="20"/>
      <c r="Z914" s="20"/>
    </row>
    <row r="915" spans="1:26" ht="9.75" customHeight="1" x14ac:dyDescent="0.25">
      <c r="A915" s="20"/>
      <c r="B915" s="21"/>
      <c r="C915" s="20"/>
      <c r="D915" s="22"/>
      <c r="E915" s="20"/>
      <c r="F915" s="20"/>
      <c r="G915" s="20"/>
      <c r="H915" s="20"/>
      <c r="I915" s="22"/>
      <c r="J915" s="20"/>
      <c r="K915" s="20"/>
      <c r="L915" s="20"/>
      <c r="M915" s="20"/>
      <c r="N915" s="21"/>
      <c r="O915" s="31"/>
      <c r="P915" s="20"/>
      <c r="Q915" s="31"/>
      <c r="R915" s="20"/>
      <c r="S915" s="20"/>
      <c r="T915" s="20"/>
      <c r="U915" s="20"/>
      <c r="V915" s="20"/>
      <c r="W915" s="20"/>
      <c r="X915" s="20"/>
      <c r="Y915" s="20"/>
      <c r="Z915" s="20"/>
    </row>
    <row r="916" spans="1:26" ht="9.75" customHeight="1" x14ac:dyDescent="0.25">
      <c r="A916" s="20"/>
      <c r="B916" s="21"/>
      <c r="C916" s="20"/>
      <c r="D916" s="22"/>
      <c r="E916" s="20"/>
      <c r="F916" s="20"/>
      <c r="G916" s="20"/>
      <c r="H916" s="20"/>
      <c r="I916" s="22"/>
      <c r="J916" s="20"/>
      <c r="K916" s="20"/>
      <c r="L916" s="20"/>
      <c r="M916" s="20"/>
      <c r="N916" s="21"/>
      <c r="O916" s="31"/>
      <c r="P916" s="20"/>
      <c r="Q916" s="31"/>
      <c r="R916" s="20"/>
      <c r="S916" s="20"/>
      <c r="T916" s="20"/>
      <c r="U916" s="20"/>
      <c r="V916" s="20"/>
      <c r="W916" s="20"/>
      <c r="X916" s="20"/>
      <c r="Y916" s="20"/>
      <c r="Z916" s="20"/>
    </row>
    <row r="917" spans="1:26" ht="9.75" customHeight="1" x14ac:dyDescent="0.25">
      <c r="A917" s="20"/>
      <c r="B917" s="21"/>
      <c r="C917" s="20"/>
      <c r="D917" s="22"/>
      <c r="E917" s="20"/>
      <c r="F917" s="20"/>
      <c r="G917" s="20"/>
      <c r="H917" s="20"/>
      <c r="I917" s="22"/>
      <c r="J917" s="20"/>
      <c r="K917" s="20"/>
      <c r="L917" s="20"/>
      <c r="M917" s="20"/>
      <c r="N917" s="21"/>
      <c r="O917" s="31"/>
      <c r="P917" s="20"/>
      <c r="Q917" s="31"/>
      <c r="R917" s="20"/>
      <c r="S917" s="20"/>
      <c r="T917" s="20"/>
      <c r="U917" s="20"/>
      <c r="V917" s="20"/>
      <c r="W917" s="20"/>
      <c r="X917" s="20"/>
      <c r="Y917" s="20"/>
      <c r="Z917" s="20"/>
    </row>
    <row r="918" spans="1:26" ht="9.75" customHeight="1" x14ac:dyDescent="0.25">
      <c r="A918" s="20"/>
      <c r="B918" s="21"/>
      <c r="C918" s="20"/>
      <c r="D918" s="22"/>
      <c r="E918" s="20"/>
      <c r="F918" s="20"/>
      <c r="G918" s="20"/>
      <c r="H918" s="20"/>
      <c r="I918" s="22"/>
      <c r="J918" s="20"/>
      <c r="K918" s="20"/>
      <c r="L918" s="20"/>
      <c r="M918" s="20"/>
      <c r="N918" s="21"/>
      <c r="O918" s="31"/>
      <c r="P918" s="20"/>
      <c r="Q918" s="31"/>
      <c r="R918" s="20"/>
      <c r="S918" s="20"/>
      <c r="T918" s="20"/>
      <c r="U918" s="20"/>
      <c r="V918" s="20"/>
      <c r="W918" s="20"/>
      <c r="X918" s="20"/>
      <c r="Y918" s="20"/>
      <c r="Z918" s="20"/>
    </row>
    <row r="919" spans="1:26" ht="9.75" customHeight="1" x14ac:dyDescent="0.25">
      <c r="A919" s="20"/>
      <c r="B919" s="21"/>
      <c r="C919" s="20"/>
      <c r="D919" s="22"/>
      <c r="E919" s="20"/>
      <c r="F919" s="20"/>
      <c r="G919" s="20"/>
      <c r="H919" s="20"/>
      <c r="I919" s="22"/>
      <c r="J919" s="20"/>
      <c r="K919" s="20"/>
      <c r="L919" s="20"/>
      <c r="M919" s="20"/>
      <c r="N919" s="21"/>
      <c r="O919" s="31"/>
      <c r="P919" s="20"/>
      <c r="Q919" s="31"/>
      <c r="R919" s="20"/>
      <c r="S919" s="20"/>
      <c r="T919" s="20"/>
      <c r="U919" s="20"/>
      <c r="V919" s="20"/>
      <c r="W919" s="20"/>
      <c r="X919" s="20"/>
      <c r="Y919" s="20"/>
      <c r="Z919" s="20"/>
    </row>
    <row r="920" spans="1:26" ht="9.75" customHeight="1" x14ac:dyDescent="0.25">
      <c r="A920" s="20"/>
      <c r="B920" s="21"/>
      <c r="C920" s="20"/>
      <c r="D920" s="22"/>
      <c r="E920" s="20"/>
      <c r="F920" s="20"/>
      <c r="G920" s="20"/>
      <c r="H920" s="20"/>
      <c r="I920" s="22"/>
      <c r="J920" s="20"/>
      <c r="K920" s="20"/>
      <c r="L920" s="20"/>
      <c r="M920" s="20"/>
      <c r="N920" s="21"/>
      <c r="O920" s="31"/>
      <c r="P920" s="20"/>
      <c r="Q920" s="31"/>
      <c r="R920" s="20"/>
      <c r="S920" s="20"/>
      <c r="T920" s="20"/>
      <c r="U920" s="20"/>
      <c r="V920" s="20"/>
      <c r="W920" s="20"/>
      <c r="X920" s="20"/>
      <c r="Y920" s="20"/>
      <c r="Z920" s="20"/>
    </row>
    <row r="921" spans="1:26" ht="9.75" customHeight="1" x14ac:dyDescent="0.25">
      <c r="A921" s="20"/>
      <c r="B921" s="21"/>
      <c r="C921" s="20"/>
      <c r="D921" s="22"/>
      <c r="E921" s="20"/>
      <c r="F921" s="20"/>
      <c r="G921" s="20"/>
      <c r="H921" s="20"/>
      <c r="I921" s="22"/>
      <c r="J921" s="20"/>
      <c r="K921" s="20"/>
      <c r="L921" s="20"/>
      <c r="M921" s="20"/>
      <c r="N921" s="21"/>
      <c r="O921" s="31"/>
      <c r="P921" s="20"/>
      <c r="Q921" s="31"/>
      <c r="R921" s="20"/>
      <c r="S921" s="20"/>
      <c r="T921" s="20"/>
      <c r="U921" s="20"/>
      <c r="V921" s="20"/>
      <c r="W921" s="20"/>
      <c r="X921" s="20"/>
      <c r="Y921" s="20"/>
      <c r="Z921" s="20"/>
    </row>
    <row r="922" spans="1:26" ht="9.75" customHeight="1" x14ac:dyDescent="0.25">
      <c r="A922" s="20"/>
      <c r="B922" s="21"/>
      <c r="C922" s="20"/>
      <c r="D922" s="22"/>
      <c r="E922" s="20"/>
      <c r="F922" s="20"/>
      <c r="G922" s="20"/>
      <c r="H922" s="20"/>
      <c r="I922" s="22"/>
      <c r="J922" s="20"/>
      <c r="K922" s="20"/>
      <c r="L922" s="20"/>
      <c r="M922" s="20"/>
      <c r="N922" s="21"/>
      <c r="O922" s="31"/>
      <c r="P922" s="20"/>
      <c r="Q922" s="31"/>
      <c r="R922" s="20"/>
      <c r="S922" s="20"/>
      <c r="T922" s="20"/>
      <c r="U922" s="20"/>
      <c r="V922" s="20"/>
      <c r="W922" s="20"/>
      <c r="X922" s="20"/>
      <c r="Y922" s="20"/>
      <c r="Z922" s="20"/>
    </row>
    <row r="923" spans="1:26" ht="9.75" customHeight="1" x14ac:dyDescent="0.25">
      <c r="A923" s="20"/>
      <c r="B923" s="21"/>
      <c r="C923" s="20"/>
      <c r="D923" s="22"/>
      <c r="E923" s="20"/>
      <c r="F923" s="20"/>
      <c r="G923" s="20"/>
      <c r="H923" s="20"/>
      <c r="I923" s="22"/>
      <c r="J923" s="20"/>
      <c r="K923" s="20"/>
      <c r="L923" s="20"/>
      <c r="M923" s="20"/>
      <c r="N923" s="21"/>
      <c r="O923" s="31"/>
      <c r="P923" s="20"/>
      <c r="Q923" s="31"/>
      <c r="R923" s="20"/>
      <c r="S923" s="20"/>
      <c r="T923" s="20"/>
      <c r="U923" s="20"/>
      <c r="V923" s="20"/>
      <c r="W923" s="20"/>
      <c r="X923" s="20"/>
      <c r="Y923" s="20"/>
      <c r="Z923" s="20"/>
    </row>
    <row r="924" spans="1:26" ht="9.75" customHeight="1" x14ac:dyDescent="0.25">
      <c r="A924" s="20"/>
      <c r="B924" s="21"/>
      <c r="C924" s="20"/>
      <c r="D924" s="22"/>
      <c r="E924" s="20"/>
      <c r="F924" s="20"/>
      <c r="G924" s="20"/>
      <c r="H924" s="20"/>
      <c r="I924" s="22"/>
      <c r="J924" s="20"/>
      <c r="K924" s="20"/>
      <c r="L924" s="20"/>
      <c r="M924" s="20"/>
      <c r="N924" s="21"/>
      <c r="O924" s="31"/>
      <c r="P924" s="20"/>
      <c r="Q924" s="31"/>
      <c r="R924" s="20"/>
      <c r="S924" s="20"/>
      <c r="T924" s="20"/>
      <c r="U924" s="20"/>
      <c r="V924" s="20"/>
      <c r="W924" s="20"/>
      <c r="X924" s="20"/>
      <c r="Y924" s="20"/>
      <c r="Z924" s="20"/>
    </row>
    <row r="925" spans="1:26" ht="9.75" customHeight="1" x14ac:dyDescent="0.25">
      <c r="A925" s="20"/>
      <c r="B925" s="21"/>
      <c r="C925" s="20"/>
      <c r="D925" s="22"/>
      <c r="E925" s="20"/>
      <c r="F925" s="20"/>
      <c r="G925" s="20"/>
      <c r="H925" s="20"/>
      <c r="I925" s="22"/>
      <c r="J925" s="20"/>
      <c r="K925" s="20"/>
      <c r="L925" s="20"/>
      <c r="M925" s="20"/>
      <c r="N925" s="21"/>
      <c r="O925" s="31"/>
      <c r="P925" s="20"/>
      <c r="Q925" s="31"/>
      <c r="R925" s="20"/>
      <c r="S925" s="20"/>
      <c r="T925" s="20"/>
      <c r="U925" s="20"/>
      <c r="V925" s="20"/>
      <c r="W925" s="20"/>
      <c r="X925" s="20"/>
      <c r="Y925" s="20"/>
      <c r="Z925" s="20"/>
    </row>
    <row r="926" spans="1:26" ht="9.75" customHeight="1" x14ac:dyDescent="0.25">
      <c r="A926" s="20"/>
      <c r="B926" s="21"/>
      <c r="C926" s="20"/>
      <c r="D926" s="22"/>
      <c r="E926" s="20"/>
      <c r="F926" s="20"/>
      <c r="G926" s="20"/>
      <c r="H926" s="20"/>
      <c r="I926" s="22"/>
      <c r="J926" s="20"/>
      <c r="K926" s="20"/>
      <c r="L926" s="20"/>
      <c r="M926" s="20"/>
      <c r="N926" s="21"/>
      <c r="O926" s="31"/>
      <c r="P926" s="20"/>
      <c r="Q926" s="31"/>
      <c r="R926" s="20"/>
      <c r="S926" s="20"/>
      <c r="T926" s="20"/>
      <c r="U926" s="20"/>
      <c r="V926" s="20"/>
      <c r="W926" s="20"/>
      <c r="X926" s="20"/>
      <c r="Y926" s="20"/>
      <c r="Z926" s="20"/>
    </row>
    <row r="927" spans="1:26" ht="9.75" customHeight="1" x14ac:dyDescent="0.25">
      <c r="A927" s="20"/>
      <c r="B927" s="21"/>
      <c r="C927" s="20"/>
      <c r="D927" s="22"/>
      <c r="E927" s="20"/>
      <c r="F927" s="20"/>
      <c r="G927" s="20"/>
      <c r="H927" s="20"/>
      <c r="I927" s="22"/>
      <c r="J927" s="20"/>
      <c r="K927" s="20"/>
      <c r="L927" s="20"/>
      <c r="M927" s="20"/>
      <c r="N927" s="21"/>
      <c r="O927" s="31"/>
      <c r="P927" s="20"/>
      <c r="Q927" s="31"/>
      <c r="R927" s="20"/>
      <c r="S927" s="20"/>
      <c r="T927" s="20"/>
      <c r="U927" s="20"/>
      <c r="V927" s="20"/>
      <c r="W927" s="20"/>
      <c r="X927" s="20"/>
      <c r="Y927" s="20"/>
      <c r="Z927" s="20"/>
    </row>
    <row r="928" spans="1:26" ht="9.75" customHeight="1" x14ac:dyDescent="0.25">
      <c r="A928" s="20"/>
      <c r="B928" s="21"/>
      <c r="C928" s="20"/>
      <c r="D928" s="22"/>
      <c r="E928" s="20"/>
      <c r="F928" s="20"/>
      <c r="G928" s="20"/>
      <c r="H928" s="20"/>
      <c r="I928" s="22"/>
      <c r="J928" s="20"/>
      <c r="K928" s="20"/>
      <c r="L928" s="20"/>
      <c r="M928" s="20"/>
      <c r="N928" s="21"/>
      <c r="O928" s="31"/>
      <c r="P928" s="20"/>
      <c r="Q928" s="31"/>
      <c r="R928" s="20"/>
      <c r="S928" s="20"/>
      <c r="T928" s="20"/>
      <c r="U928" s="20"/>
      <c r="V928" s="20"/>
      <c r="W928" s="20"/>
      <c r="X928" s="20"/>
      <c r="Y928" s="20"/>
      <c r="Z928" s="20"/>
    </row>
    <row r="929" spans="1:26" ht="9.75" customHeight="1" x14ac:dyDescent="0.25">
      <c r="A929" s="20"/>
      <c r="B929" s="21"/>
      <c r="C929" s="20"/>
      <c r="D929" s="22"/>
      <c r="E929" s="20"/>
      <c r="F929" s="20"/>
      <c r="G929" s="20"/>
      <c r="H929" s="20"/>
      <c r="I929" s="22"/>
      <c r="J929" s="20"/>
      <c r="K929" s="20"/>
      <c r="L929" s="20"/>
      <c r="M929" s="20"/>
      <c r="N929" s="21"/>
      <c r="O929" s="31"/>
      <c r="P929" s="20"/>
      <c r="Q929" s="31"/>
      <c r="R929" s="20"/>
      <c r="S929" s="20"/>
      <c r="T929" s="20"/>
      <c r="U929" s="20"/>
      <c r="V929" s="20"/>
      <c r="W929" s="20"/>
      <c r="X929" s="20"/>
      <c r="Y929" s="20"/>
      <c r="Z929" s="20"/>
    </row>
    <row r="930" spans="1:26" ht="9.75" customHeight="1" x14ac:dyDescent="0.25">
      <c r="A930" s="20"/>
      <c r="B930" s="21"/>
      <c r="C930" s="20"/>
      <c r="D930" s="22"/>
      <c r="E930" s="20"/>
      <c r="F930" s="20"/>
      <c r="G930" s="20"/>
      <c r="H930" s="20"/>
      <c r="I930" s="22"/>
      <c r="J930" s="20"/>
      <c r="K930" s="20"/>
      <c r="L930" s="20"/>
      <c r="M930" s="20"/>
      <c r="N930" s="21"/>
      <c r="O930" s="31"/>
      <c r="P930" s="20"/>
      <c r="Q930" s="31"/>
      <c r="R930" s="20"/>
      <c r="S930" s="20"/>
      <c r="T930" s="20"/>
      <c r="U930" s="20"/>
      <c r="V930" s="20"/>
      <c r="W930" s="20"/>
      <c r="X930" s="20"/>
      <c r="Y930" s="20"/>
      <c r="Z930" s="20"/>
    </row>
    <row r="931" spans="1:26" ht="9.75" customHeight="1" x14ac:dyDescent="0.25">
      <c r="A931" s="20"/>
      <c r="B931" s="21"/>
      <c r="C931" s="20"/>
      <c r="D931" s="22"/>
      <c r="E931" s="20"/>
      <c r="F931" s="20"/>
      <c r="G931" s="20"/>
      <c r="H931" s="20"/>
      <c r="I931" s="22"/>
      <c r="J931" s="20"/>
      <c r="K931" s="20"/>
      <c r="L931" s="20"/>
      <c r="M931" s="20"/>
      <c r="N931" s="21"/>
      <c r="O931" s="31"/>
      <c r="P931" s="20"/>
      <c r="Q931" s="31"/>
      <c r="R931" s="20"/>
      <c r="S931" s="20"/>
      <c r="T931" s="20"/>
      <c r="U931" s="20"/>
      <c r="V931" s="20"/>
      <c r="W931" s="20"/>
      <c r="X931" s="20"/>
      <c r="Y931" s="20"/>
      <c r="Z931" s="20"/>
    </row>
    <row r="932" spans="1:26" ht="9.75" customHeight="1" x14ac:dyDescent="0.25">
      <c r="A932" s="20"/>
      <c r="B932" s="21"/>
      <c r="C932" s="20"/>
      <c r="D932" s="22"/>
      <c r="E932" s="20"/>
      <c r="F932" s="20"/>
      <c r="G932" s="20"/>
      <c r="H932" s="20"/>
      <c r="I932" s="22"/>
      <c r="J932" s="20"/>
      <c r="K932" s="20"/>
      <c r="L932" s="20"/>
      <c r="M932" s="20"/>
      <c r="N932" s="21"/>
      <c r="O932" s="31"/>
      <c r="P932" s="20"/>
      <c r="Q932" s="31"/>
      <c r="R932" s="20"/>
      <c r="S932" s="20"/>
      <c r="T932" s="20"/>
      <c r="U932" s="20"/>
      <c r="V932" s="20"/>
      <c r="W932" s="20"/>
      <c r="X932" s="20"/>
      <c r="Y932" s="20"/>
      <c r="Z932" s="20"/>
    </row>
    <row r="933" spans="1:26" ht="9.75" customHeight="1" x14ac:dyDescent="0.25">
      <c r="A933" s="20"/>
      <c r="B933" s="21"/>
      <c r="C933" s="20"/>
      <c r="D933" s="22"/>
      <c r="E933" s="20"/>
      <c r="F933" s="20"/>
      <c r="G933" s="20"/>
      <c r="H933" s="20"/>
      <c r="I933" s="22"/>
      <c r="J933" s="20"/>
      <c r="K933" s="20"/>
      <c r="L933" s="20"/>
      <c r="M933" s="20"/>
      <c r="N933" s="21"/>
      <c r="O933" s="31"/>
      <c r="P933" s="20"/>
      <c r="Q933" s="31"/>
      <c r="R933" s="20"/>
      <c r="S933" s="20"/>
      <c r="T933" s="20"/>
      <c r="U933" s="20"/>
      <c r="V933" s="20"/>
      <c r="W933" s="20"/>
      <c r="X933" s="20"/>
      <c r="Y933" s="20"/>
      <c r="Z933" s="20"/>
    </row>
    <row r="934" spans="1:26" ht="9.75" customHeight="1" x14ac:dyDescent="0.25">
      <c r="A934" s="20"/>
      <c r="B934" s="21"/>
      <c r="C934" s="20"/>
      <c r="D934" s="22"/>
      <c r="E934" s="20"/>
      <c r="F934" s="20"/>
      <c r="G934" s="20"/>
      <c r="H934" s="20"/>
      <c r="I934" s="22"/>
      <c r="J934" s="20"/>
      <c r="K934" s="20"/>
      <c r="L934" s="20"/>
      <c r="M934" s="20"/>
      <c r="N934" s="21"/>
      <c r="O934" s="31"/>
      <c r="P934" s="20"/>
      <c r="Q934" s="31"/>
      <c r="R934" s="20"/>
      <c r="S934" s="20"/>
      <c r="T934" s="20"/>
      <c r="U934" s="20"/>
      <c r="V934" s="20"/>
      <c r="W934" s="20"/>
      <c r="X934" s="20"/>
      <c r="Y934" s="20"/>
      <c r="Z934" s="20"/>
    </row>
    <row r="935" spans="1:26" ht="9.75" customHeight="1" x14ac:dyDescent="0.25">
      <c r="A935" s="20"/>
      <c r="B935" s="21"/>
      <c r="C935" s="20"/>
      <c r="D935" s="22"/>
      <c r="E935" s="20"/>
      <c r="F935" s="20"/>
      <c r="G935" s="20"/>
      <c r="H935" s="20"/>
      <c r="I935" s="22"/>
      <c r="J935" s="20"/>
      <c r="K935" s="20"/>
      <c r="L935" s="20"/>
      <c r="M935" s="20"/>
      <c r="N935" s="21"/>
      <c r="O935" s="31"/>
      <c r="P935" s="20"/>
      <c r="Q935" s="31"/>
      <c r="R935" s="20"/>
      <c r="S935" s="20"/>
      <c r="T935" s="20"/>
      <c r="U935" s="20"/>
      <c r="V935" s="20"/>
      <c r="W935" s="20"/>
      <c r="X935" s="20"/>
      <c r="Y935" s="20"/>
      <c r="Z935" s="20"/>
    </row>
    <row r="936" spans="1:26" ht="9.75" customHeight="1" x14ac:dyDescent="0.25">
      <c r="A936" s="20"/>
      <c r="B936" s="21"/>
      <c r="C936" s="20"/>
      <c r="D936" s="22"/>
      <c r="E936" s="20"/>
      <c r="F936" s="20"/>
      <c r="G936" s="20"/>
      <c r="H936" s="20"/>
      <c r="I936" s="22"/>
      <c r="J936" s="20"/>
      <c r="K936" s="20"/>
      <c r="L936" s="20"/>
      <c r="M936" s="20"/>
      <c r="N936" s="21"/>
      <c r="O936" s="31"/>
      <c r="P936" s="20"/>
      <c r="Q936" s="31"/>
      <c r="R936" s="20"/>
      <c r="S936" s="20"/>
      <c r="T936" s="20"/>
      <c r="U936" s="20"/>
      <c r="V936" s="20"/>
      <c r="W936" s="20"/>
      <c r="X936" s="20"/>
      <c r="Y936" s="20"/>
      <c r="Z936" s="20"/>
    </row>
    <row r="937" spans="1:26" ht="9.75" customHeight="1" x14ac:dyDescent="0.25">
      <c r="A937" s="20"/>
      <c r="B937" s="21"/>
      <c r="C937" s="20"/>
      <c r="D937" s="22"/>
      <c r="E937" s="20"/>
      <c r="F937" s="20"/>
      <c r="G937" s="20"/>
      <c r="H937" s="20"/>
      <c r="I937" s="22"/>
      <c r="J937" s="20"/>
      <c r="K937" s="20"/>
      <c r="L937" s="20"/>
      <c r="M937" s="20"/>
      <c r="N937" s="21"/>
      <c r="O937" s="31"/>
      <c r="P937" s="20"/>
      <c r="Q937" s="31"/>
      <c r="R937" s="20"/>
      <c r="S937" s="20"/>
      <c r="T937" s="20"/>
      <c r="U937" s="20"/>
      <c r="V937" s="20"/>
      <c r="W937" s="20"/>
      <c r="X937" s="20"/>
      <c r="Y937" s="20"/>
      <c r="Z937" s="20"/>
    </row>
    <row r="938" spans="1:26" ht="9.75" customHeight="1" x14ac:dyDescent="0.25">
      <c r="A938" s="20"/>
      <c r="B938" s="21"/>
      <c r="C938" s="20"/>
      <c r="D938" s="22"/>
      <c r="E938" s="20"/>
      <c r="F938" s="20"/>
      <c r="G938" s="20"/>
      <c r="H938" s="20"/>
      <c r="I938" s="22"/>
      <c r="J938" s="20"/>
      <c r="K938" s="20"/>
      <c r="L938" s="20"/>
      <c r="M938" s="20"/>
      <c r="N938" s="21"/>
      <c r="O938" s="31"/>
      <c r="P938" s="20"/>
      <c r="Q938" s="31"/>
      <c r="R938" s="20"/>
      <c r="S938" s="20"/>
      <c r="T938" s="20"/>
      <c r="U938" s="20"/>
      <c r="V938" s="20"/>
      <c r="W938" s="20"/>
      <c r="X938" s="20"/>
      <c r="Y938" s="20"/>
      <c r="Z938" s="20"/>
    </row>
    <row r="939" spans="1:26" ht="9.75" customHeight="1" x14ac:dyDescent="0.25">
      <c r="A939" s="20"/>
      <c r="B939" s="21"/>
      <c r="C939" s="20"/>
      <c r="D939" s="22"/>
      <c r="E939" s="20"/>
      <c r="F939" s="20"/>
      <c r="G939" s="20"/>
      <c r="H939" s="20"/>
      <c r="I939" s="22"/>
      <c r="J939" s="20"/>
      <c r="K939" s="20"/>
      <c r="L939" s="20"/>
      <c r="M939" s="20"/>
      <c r="N939" s="21"/>
      <c r="O939" s="31"/>
      <c r="P939" s="20"/>
      <c r="Q939" s="31"/>
      <c r="R939" s="20"/>
      <c r="S939" s="20"/>
      <c r="T939" s="20"/>
      <c r="U939" s="20"/>
      <c r="V939" s="20"/>
      <c r="W939" s="20"/>
      <c r="X939" s="20"/>
      <c r="Y939" s="20"/>
      <c r="Z939" s="20"/>
    </row>
    <row r="940" spans="1:26" ht="9.75" customHeight="1" x14ac:dyDescent="0.25">
      <c r="A940" s="20"/>
      <c r="B940" s="21"/>
      <c r="C940" s="20"/>
      <c r="D940" s="22"/>
      <c r="E940" s="20"/>
      <c r="F940" s="20"/>
      <c r="G940" s="20"/>
      <c r="H940" s="20"/>
      <c r="I940" s="22"/>
      <c r="J940" s="20"/>
      <c r="K940" s="20"/>
      <c r="L940" s="20"/>
      <c r="M940" s="20"/>
      <c r="N940" s="21"/>
      <c r="O940" s="31"/>
      <c r="P940" s="20"/>
      <c r="Q940" s="31"/>
      <c r="R940" s="20"/>
      <c r="S940" s="20"/>
      <c r="T940" s="20"/>
      <c r="U940" s="20"/>
      <c r="V940" s="20"/>
      <c r="W940" s="20"/>
      <c r="X940" s="20"/>
      <c r="Y940" s="20"/>
      <c r="Z940" s="20"/>
    </row>
    <row r="941" spans="1:26" ht="9.75" customHeight="1" x14ac:dyDescent="0.25">
      <c r="A941" s="20"/>
      <c r="B941" s="21"/>
      <c r="C941" s="20"/>
      <c r="D941" s="22"/>
      <c r="E941" s="20"/>
      <c r="F941" s="20"/>
      <c r="G941" s="20"/>
      <c r="H941" s="20"/>
      <c r="I941" s="22"/>
      <c r="J941" s="20"/>
      <c r="K941" s="20"/>
      <c r="L941" s="20"/>
      <c r="M941" s="20"/>
      <c r="N941" s="21"/>
      <c r="O941" s="31"/>
      <c r="P941" s="20"/>
      <c r="Q941" s="31"/>
      <c r="R941" s="20"/>
      <c r="S941" s="20"/>
      <c r="T941" s="20"/>
      <c r="U941" s="20"/>
      <c r="V941" s="20"/>
      <c r="W941" s="20"/>
      <c r="X941" s="20"/>
      <c r="Y941" s="20"/>
      <c r="Z941" s="20"/>
    </row>
    <row r="942" spans="1:26" ht="9.75" customHeight="1" x14ac:dyDescent="0.25">
      <c r="A942" s="20"/>
      <c r="B942" s="21"/>
      <c r="C942" s="20"/>
      <c r="D942" s="22"/>
      <c r="E942" s="20"/>
      <c r="F942" s="20"/>
      <c r="G942" s="20"/>
      <c r="H942" s="20"/>
      <c r="I942" s="22"/>
      <c r="J942" s="20"/>
      <c r="K942" s="20"/>
      <c r="L942" s="20"/>
      <c r="M942" s="20"/>
      <c r="N942" s="21"/>
      <c r="O942" s="31"/>
      <c r="P942" s="20"/>
      <c r="Q942" s="31"/>
      <c r="R942" s="20"/>
      <c r="S942" s="20"/>
      <c r="T942" s="20"/>
      <c r="U942" s="20"/>
      <c r="V942" s="20"/>
      <c r="W942" s="20"/>
      <c r="X942" s="20"/>
      <c r="Y942" s="20"/>
      <c r="Z942" s="20"/>
    </row>
    <row r="943" spans="1:26" ht="9.75" customHeight="1" x14ac:dyDescent="0.25">
      <c r="A943" s="20"/>
      <c r="B943" s="21"/>
      <c r="C943" s="20"/>
      <c r="D943" s="22"/>
      <c r="E943" s="20"/>
      <c r="F943" s="20"/>
      <c r="G943" s="20"/>
      <c r="H943" s="20"/>
      <c r="I943" s="22"/>
      <c r="J943" s="20"/>
      <c r="K943" s="20"/>
      <c r="L943" s="20"/>
      <c r="M943" s="20"/>
      <c r="N943" s="21"/>
      <c r="O943" s="31"/>
      <c r="P943" s="20"/>
      <c r="Q943" s="31"/>
      <c r="R943" s="20"/>
      <c r="S943" s="20"/>
      <c r="T943" s="20"/>
      <c r="U943" s="20"/>
      <c r="V943" s="20"/>
      <c r="W943" s="20"/>
      <c r="X943" s="20"/>
      <c r="Y943" s="20"/>
      <c r="Z943" s="20"/>
    </row>
    <row r="944" spans="1:26" ht="9.75" customHeight="1" x14ac:dyDescent="0.25">
      <c r="A944" s="20"/>
      <c r="B944" s="21"/>
      <c r="C944" s="20"/>
      <c r="D944" s="22"/>
      <c r="E944" s="20"/>
      <c r="F944" s="20"/>
      <c r="G944" s="20"/>
      <c r="H944" s="20"/>
      <c r="I944" s="22"/>
      <c r="J944" s="20"/>
      <c r="K944" s="20"/>
      <c r="L944" s="20"/>
      <c r="M944" s="20"/>
      <c r="N944" s="21"/>
      <c r="O944" s="31"/>
      <c r="P944" s="20"/>
      <c r="Q944" s="31"/>
      <c r="R944" s="20"/>
      <c r="S944" s="20"/>
      <c r="T944" s="20"/>
      <c r="U944" s="20"/>
      <c r="V944" s="20"/>
      <c r="W944" s="20"/>
      <c r="X944" s="20"/>
      <c r="Y944" s="20"/>
      <c r="Z944" s="20"/>
    </row>
    <row r="945" spans="1:26" ht="9.75" customHeight="1" x14ac:dyDescent="0.25">
      <c r="A945" s="20"/>
      <c r="B945" s="21"/>
      <c r="C945" s="20"/>
      <c r="D945" s="22"/>
      <c r="E945" s="20"/>
      <c r="F945" s="20"/>
      <c r="G945" s="20"/>
      <c r="H945" s="20"/>
      <c r="I945" s="22"/>
      <c r="J945" s="20"/>
      <c r="K945" s="20"/>
      <c r="L945" s="20"/>
      <c r="M945" s="20"/>
      <c r="N945" s="21"/>
      <c r="O945" s="31"/>
      <c r="P945" s="20"/>
      <c r="Q945" s="31"/>
      <c r="R945" s="20"/>
      <c r="S945" s="20"/>
      <c r="T945" s="20"/>
      <c r="U945" s="20"/>
      <c r="V945" s="20"/>
      <c r="W945" s="20"/>
      <c r="X945" s="20"/>
      <c r="Y945" s="20"/>
      <c r="Z945" s="20"/>
    </row>
    <row r="946" spans="1:26" ht="9.75" customHeight="1" x14ac:dyDescent="0.25">
      <c r="A946" s="20"/>
      <c r="B946" s="21"/>
      <c r="C946" s="20"/>
      <c r="D946" s="22"/>
      <c r="E946" s="20"/>
      <c r="F946" s="20"/>
      <c r="G946" s="20"/>
      <c r="H946" s="20"/>
      <c r="I946" s="22"/>
      <c r="J946" s="20"/>
      <c r="K946" s="20"/>
      <c r="L946" s="20"/>
      <c r="M946" s="20"/>
      <c r="N946" s="21"/>
      <c r="O946" s="31"/>
      <c r="P946" s="20"/>
      <c r="Q946" s="31"/>
      <c r="R946" s="20"/>
      <c r="S946" s="20"/>
      <c r="T946" s="20"/>
      <c r="U946" s="20"/>
      <c r="V946" s="20"/>
      <c r="W946" s="20"/>
      <c r="X946" s="20"/>
      <c r="Y946" s="20"/>
      <c r="Z946" s="20"/>
    </row>
    <row r="947" spans="1:26" ht="9.75" customHeight="1" x14ac:dyDescent="0.25">
      <c r="A947" s="20"/>
      <c r="B947" s="21"/>
      <c r="C947" s="20"/>
      <c r="D947" s="22"/>
      <c r="E947" s="20"/>
      <c r="F947" s="20"/>
      <c r="G947" s="20"/>
      <c r="H947" s="20"/>
      <c r="I947" s="22"/>
      <c r="J947" s="20"/>
      <c r="K947" s="20"/>
      <c r="L947" s="20"/>
      <c r="M947" s="20"/>
      <c r="N947" s="21"/>
      <c r="O947" s="31"/>
      <c r="P947" s="20"/>
      <c r="Q947" s="31"/>
      <c r="R947" s="20"/>
      <c r="S947" s="20"/>
      <c r="T947" s="20"/>
      <c r="U947" s="20"/>
      <c r="V947" s="20"/>
      <c r="W947" s="20"/>
      <c r="X947" s="20"/>
      <c r="Y947" s="20"/>
      <c r="Z947" s="20"/>
    </row>
    <row r="948" spans="1:26" ht="9.75" customHeight="1" x14ac:dyDescent="0.25">
      <c r="A948" s="20"/>
      <c r="B948" s="21"/>
      <c r="C948" s="20"/>
      <c r="D948" s="22"/>
      <c r="E948" s="20"/>
      <c r="F948" s="20"/>
      <c r="G948" s="20"/>
      <c r="H948" s="20"/>
      <c r="I948" s="22"/>
      <c r="J948" s="20"/>
      <c r="K948" s="20"/>
      <c r="L948" s="20"/>
      <c r="M948" s="20"/>
      <c r="N948" s="21"/>
      <c r="O948" s="31"/>
      <c r="P948" s="20"/>
      <c r="Q948" s="31"/>
      <c r="R948" s="20"/>
      <c r="S948" s="20"/>
      <c r="T948" s="20"/>
      <c r="U948" s="20"/>
      <c r="V948" s="20"/>
      <c r="W948" s="20"/>
      <c r="X948" s="20"/>
      <c r="Y948" s="20"/>
      <c r="Z948" s="20"/>
    </row>
    <row r="949" spans="1:26" ht="9.75" customHeight="1" x14ac:dyDescent="0.25">
      <c r="A949" s="20"/>
      <c r="B949" s="21"/>
      <c r="C949" s="20"/>
      <c r="D949" s="22"/>
      <c r="E949" s="20"/>
      <c r="F949" s="20"/>
      <c r="G949" s="20"/>
      <c r="H949" s="20"/>
      <c r="I949" s="22"/>
      <c r="J949" s="20"/>
      <c r="K949" s="20"/>
      <c r="L949" s="20"/>
      <c r="M949" s="20"/>
      <c r="N949" s="21"/>
      <c r="O949" s="31"/>
      <c r="P949" s="20"/>
      <c r="Q949" s="31"/>
      <c r="R949" s="20"/>
      <c r="S949" s="20"/>
      <c r="T949" s="20"/>
      <c r="U949" s="20"/>
      <c r="V949" s="20"/>
      <c r="W949" s="20"/>
      <c r="X949" s="20"/>
      <c r="Y949" s="20"/>
      <c r="Z949" s="20"/>
    </row>
    <row r="950" spans="1:26" ht="9.75" customHeight="1" x14ac:dyDescent="0.25">
      <c r="A950" s="20"/>
      <c r="B950" s="21"/>
      <c r="C950" s="20"/>
      <c r="D950" s="22"/>
      <c r="E950" s="20"/>
      <c r="F950" s="20"/>
      <c r="G950" s="20"/>
      <c r="H950" s="20"/>
      <c r="I950" s="22"/>
      <c r="J950" s="20"/>
      <c r="K950" s="20"/>
      <c r="L950" s="20"/>
      <c r="M950" s="20"/>
      <c r="N950" s="21"/>
      <c r="O950" s="31"/>
      <c r="P950" s="20"/>
      <c r="Q950" s="31"/>
      <c r="R950" s="20"/>
      <c r="S950" s="20"/>
      <c r="T950" s="20"/>
      <c r="U950" s="20"/>
      <c r="V950" s="20"/>
      <c r="W950" s="20"/>
      <c r="X950" s="20"/>
      <c r="Y950" s="20"/>
      <c r="Z950" s="20"/>
    </row>
    <row r="951" spans="1:26" ht="9.75" customHeight="1" x14ac:dyDescent="0.25">
      <c r="A951" s="20"/>
      <c r="B951" s="21"/>
      <c r="C951" s="20"/>
      <c r="D951" s="22"/>
      <c r="E951" s="20"/>
      <c r="F951" s="20"/>
      <c r="G951" s="20"/>
      <c r="H951" s="20"/>
      <c r="I951" s="22"/>
      <c r="J951" s="20"/>
      <c r="K951" s="20"/>
      <c r="L951" s="20"/>
      <c r="M951" s="20"/>
      <c r="N951" s="21"/>
      <c r="O951" s="31"/>
      <c r="P951" s="20"/>
      <c r="Q951" s="31"/>
      <c r="R951" s="20"/>
      <c r="S951" s="20"/>
      <c r="T951" s="20"/>
      <c r="U951" s="20"/>
      <c r="V951" s="20"/>
      <c r="W951" s="20"/>
      <c r="X951" s="20"/>
      <c r="Y951" s="20"/>
      <c r="Z951" s="20"/>
    </row>
    <row r="952" spans="1:26" ht="9.75" customHeight="1" x14ac:dyDescent="0.25">
      <c r="A952" s="20"/>
      <c r="B952" s="21"/>
      <c r="C952" s="20"/>
      <c r="D952" s="22"/>
      <c r="E952" s="20"/>
      <c r="F952" s="20"/>
      <c r="G952" s="20"/>
      <c r="H952" s="20"/>
      <c r="I952" s="22"/>
      <c r="J952" s="20"/>
      <c r="K952" s="20"/>
      <c r="L952" s="20"/>
      <c r="M952" s="20"/>
      <c r="N952" s="21"/>
      <c r="O952" s="31"/>
      <c r="P952" s="20"/>
      <c r="Q952" s="31"/>
      <c r="R952" s="20"/>
      <c r="S952" s="20"/>
      <c r="T952" s="20"/>
      <c r="U952" s="20"/>
      <c r="V952" s="20"/>
      <c r="W952" s="20"/>
      <c r="X952" s="20"/>
      <c r="Y952" s="20"/>
      <c r="Z952" s="20"/>
    </row>
    <row r="953" spans="1:26" ht="9.75" customHeight="1" x14ac:dyDescent="0.25">
      <c r="A953" s="20"/>
      <c r="B953" s="21"/>
      <c r="C953" s="20"/>
      <c r="D953" s="22"/>
      <c r="E953" s="20"/>
      <c r="F953" s="20"/>
      <c r="G953" s="20"/>
      <c r="H953" s="20"/>
      <c r="I953" s="22"/>
      <c r="J953" s="20"/>
      <c r="K953" s="20"/>
      <c r="L953" s="20"/>
      <c r="M953" s="20"/>
      <c r="N953" s="21"/>
      <c r="O953" s="31"/>
      <c r="P953" s="20"/>
      <c r="Q953" s="31"/>
      <c r="R953" s="20"/>
      <c r="S953" s="20"/>
      <c r="T953" s="20"/>
      <c r="U953" s="20"/>
      <c r="V953" s="20"/>
      <c r="W953" s="20"/>
      <c r="X953" s="20"/>
      <c r="Y953" s="20"/>
      <c r="Z953" s="20"/>
    </row>
    <row r="954" spans="1:26" ht="9.75" customHeight="1" x14ac:dyDescent="0.25">
      <c r="A954" s="20"/>
      <c r="B954" s="21"/>
      <c r="C954" s="20"/>
      <c r="D954" s="22"/>
      <c r="E954" s="20"/>
      <c r="F954" s="20"/>
      <c r="G954" s="20"/>
      <c r="H954" s="20"/>
      <c r="I954" s="22"/>
      <c r="J954" s="20"/>
      <c r="K954" s="20"/>
      <c r="L954" s="20"/>
      <c r="M954" s="20"/>
      <c r="N954" s="21"/>
      <c r="O954" s="31"/>
      <c r="P954" s="20"/>
      <c r="Q954" s="31"/>
      <c r="R954" s="20"/>
      <c r="S954" s="20"/>
      <c r="T954" s="20"/>
      <c r="U954" s="20"/>
      <c r="V954" s="20"/>
      <c r="W954" s="20"/>
      <c r="X954" s="20"/>
      <c r="Y954" s="20"/>
      <c r="Z954" s="20"/>
    </row>
    <row r="955" spans="1:26" ht="9.75" customHeight="1" x14ac:dyDescent="0.25">
      <c r="A955" s="20"/>
      <c r="B955" s="21"/>
      <c r="C955" s="20"/>
      <c r="D955" s="22"/>
      <c r="E955" s="20"/>
      <c r="F955" s="20"/>
      <c r="G955" s="20"/>
      <c r="H955" s="20"/>
      <c r="I955" s="22"/>
      <c r="J955" s="20"/>
      <c r="K955" s="20"/>
      <c r="L955" s="20"/>
      <c r="M955" s="20"/>
      <c r="N955" s="21"/>
      <c r="O955" s="31"/>
      <c r="P955" s="20"/>
      <c r="Q955" s="31"/>
      <c r="R955" s="20"/>
      <c r="S955" s="20"/>
      <c r="T955" s="20"/>
      <c r="U955" s="20"/>
      <c r="V955" s="20"/>
      <c r="W955" s="20"/>
      <c r="X955" s="20"/>
      <c r="Y955" s="20"/>
      <c r="Z955" s="20"/>
    </row>
    <row r="956" spans="1:26" ht="9.75" customHeight="1" x14ac:dyDescent="0.25">
      <c r="A956" s="20"/>
      <c r="B956" s="21"/>
      <c r="C956" s="20"/>
      <c r="D956" s="22"/>
      <c r="E956" s="20"/>
      <c r="F956" s="20"/>
      <c r="G956" s="20"/>
      <c r="H956" s="20"/>
      <c r="I956" s="22"/>
      <c r="J956" s="20"/>
      <c r="K956" s="20"/>
      <c r="L956" s="20"/>
      <c r="M956" s="20"/>
      <c r="N956" s="21"/>
      <c r="O956" s="31"/>
      <c r="P956" s="20"/>
      <c r="Q956" s="31"/>
      <c r="R956" s="20"/>
      <c r="S956" s="20"/>
      <c r="T956" s="20"/>
      <c r="U956" s="20"/>
      <c r="V956" s="20"/>
      <c r="W956" s="20"/>
      <c r="X956" s="20"/>
      <c r="Y956" s="20"/>
      <c r="Z956" s="20"/>
    </row>
    <row r="957" spans="1:26" ht="9.75" customHeight="1" x14ac:dyDescent="0.25">
      <c r="A957" s="20"/>
      <c r="B957" s="21"/>
      <c r="C957" s="20"/>
      <c r="D957" s="22"/>
      <c r="E957" s="20"/>
      <c r="F957" s="20"/>
      <c r="G957" s="20"/>
      <c r="H957" s="20"/>
      <c r="I957" s="22"/>
      <c r="J957" s="20"/>
      <c r="K957" s="20"/>
      <c r="L957" s="20"/>
      <c r="M957" s="20"/>
      <c r="N957" s="21"/>
      <c r="O957" s="31"/>
      <c r="P957" s="20"/>
      <c r="Q957" s="31"/>
      <c r="R957" s="20"/>
      <c r="S957" s="20"/>
      <c r="T957" s="20"/>
      <c r="U957" s="20"/>
      <c r="V957" s="20"/>
      <c r="W957" s="20"/>
      <c r="X957" s="20"/>
      <c r="Y957" s="20"/>
      <c r="Z957" s="20"/>
    </row>
    <row r="958" spans="1:26" ht="9.75" customHeight="1" x14ac:dyDescent="0.25">
      <c r="A958" s="20"/>
      <c r="B958" s="21"/>
      <c r="C958" s="20"/>
      <c r="D958" s="22"/>
      <c r="E958" s="20"/>
      <c r="F958" s="20"/>
      <c r="G958" s="20"/>
      <c r="H958" s="20"/>
      <c r="I958" s="22"/>
      <c r="J958" s="20"/>
      <c r="K958" s="20"/>
      <c r="L958" s="20"/>
      <c r="M958" s="20"/>
      <c r="N958" s="21"/>
      <c r="O958" s="31"/>
      <c r="P958" s="20"/>
      <c r="Q958" s="31"/>
      <c r="R958" s="20"/>
      <c r="S958" s="20"/>
      <c r="T958" s="20"/>
      <c r="U958" s="20"/>
      <c r="V958" s="20"/>
      <c r="W958" s="20"/>
      <c r="X958" s="20"/>
      <c r="Y958" s="20"/>
      <c r="Z958" s="20"/>
    </row>
    <row r="959" spans="1:26" ht="9.75" customHeight="1" x14ac:dyDescent="0.25">
      <c r="A959" s="20"/>
      <c r="B959" s="21"/>
      <c r="C959" s="20"/>
      <c r="D959" s="22"/>
      <c r="E959" s="20"/>
      <c r="F959" s="20"/>
      <c r="G959" s="20"/>
      <c r="H959" s="20"/>
      <c r="I959" s="22"/>
      <c r="J959" s="20"/>
      <c r="K959" s="20"/>
      <c r="L959" s="20"/>
      <c r="M959" s="20"/>
      <c r="N959" s="21"/>
      <c r="O959" s="31"/>
      <c r="P959" s="20"/>
      <c r="Q959" s="31"/>
      <c r="R959" s="20"/>
      <c r="S959" s="20"/>
      <c r="T959" s="20"/>
      <c r="U959" s="20"/>
      <c r="V959" s="20"/>
      <c r="W959" s="20"/>
      <c r="X959" s="20"/>
      <c r="Y959" s="20"/>
      <c r="Z959" s="20"/>
    </row>
    <row r="960" spans="1:26" ht="9.75" customHeight="1" x14ac:dyDescent="0.25">
      <c r="A960" s="20"/>
      <c r="B960" s="21"/>
      <c r="C960" s="20"/>
      <c r="D960" s="22"/>
      <c r="E960" s="20"/>
      <c r="F960" s="20"/>
      <c r="G960" s="20"/>
      <c r="H960" s="20"/>
      <c r="I960" s="22"/>
      <c r="J960" s="20"/>
      <c r="K960" s="20"/>
      <c r="L960" s="20"/>
      <c r="M960" s="20"/>
      <c r="N960" s="21"/>
      <c r="O960" s="31"/>
      <c r="P960" s="20"/>
      <c r="Q960" s="31"/>
      <c r="R960" s="20"/>
      <c r="S960" s="20"/>
      <c r="T960" s="20"/>
      <c r="U960" s="20"/>
      <c r="V960" s="20"/>
      <c r="W960" s="20"/>
      <c r="X960" s="20"/>
      <c r="Y960" s="20"/>
      <c r="Z960" s="20"/>
    </row>
    <row r="961" spans="1:26" ht="9.75" customHeight="1" x14ac:dyDescent="0.25">
      <c r="A961" s="20"/>
      <c r="B961" s="21"/>
      <c r="C961" s="20"/>
      <c r="D961" s="22"/>
      <c r="E961" s="20"/>
      <c r="F961" s="20"/>
      <c r="G961" s="20"/>
      <c r="H961" s="20"/>
      <c r="I961" s="22"/>
      <c r="J961" s="20"/>
      <c r="K961" s="20"/>
      <c r="L961" s="20"/>
      <c r="M961" s="20"/>
      <c r="N961" s="21"/>
      <c r="O961" s="31"/>
      <c r="P961" s="20"/>
      <c r="Q961" s="31"/>
      <c r="R961" s="20"/>
      <c r="S961" s="20"/>
      <c r="T961" s="20"/>
      <c r="U961" s="20"/>
      <c r="V961" s="20"/>
      <c r="W961" s="20"/>
      <c r="X961" s="20"/>
      <c r="Y961" s="20"/>
      <c r="Z961" s="20"/>
    </row>
    <row r="962" spans="1:26" ht="9.75" customHeight="1" x14ac:dyDescent="0.25">
      <c r="A962" s="20"/>
      <c r="B962" s="21"/>
      <c r="C962" s="20"/>
      <c r="D962" s="22"/>
      <c r="E962" s="20"/>
      <c r="F962" s="20"/>
      <c r="G962" s="20"/>
      <c r="H962" s="20"/>
      <c r="I962" s="22"/>
      <c r="J962" s="20"/>
      <c r="K962" s="20"/>
      <c r="L962" s="20"/>
      <c r="M962" s="20"/>
      <c r="N962" s="21"/>
      <c r="O962" s="31"/>
      <c r="P962" s="20"/>
      <c r="Q962" s="31"/>
      <c r="R962" s="20"/>
      <c r="S962" s="20"/>
      <c r="T962" s="20"/>
      <c r="U962" s="20"/>
      <c r="V962" s="20"/>
      <c r="W962" s="20"/>
      <c r="X962" s="20"/>
      <c r="Y962" s="20"/>
      <c r="Z962" s="20"/>
    </row>
    <row r="963" spans="1:26" ht="9.75" customHeight="1" x14ac:dyDescent="0.25">
      <c r="A963" s="20"/>
      <c r="B963" s="21"/>
      <c r="C963" s="20"/>
      <c r="D963" s="22"/>
      <c r="E963" s="20"/>
      <c r="F963" s="20"/>
      <c r="G963" s="20"/>
      <c r="H963" s="20"/>
      <c r="I963" s="22"/>
      <c r="J963" s="20"/>
      <c r="K963" s="20"/>
      <c r="L963" s="20"/>
      <c r="M963" s="20"/>
      <c r="N963" s="21"/>
      <c r="O963" s="31"/>
      <c r="P963" s="20"/>
      <c r="Q963" s="31"/>
      <c r="R963" s="20"/>
      <c r="S963" s="20"/>
      <c r="T963" s="20"/>
      <c r="U963" s="20"/>
      <c r="V963" s="20"/>
      <c r="W963" s="20"/>
      <c r="X963" s="20"/>
      <c r="Y963" s="20"/>
      <c r="Z963" s="20"/>
    </row>
    <row r="964" spans="1:26" ht="9.75" customHeight="1" x14ac:dyDescent="0.25">
      <c r="A964" s="20"/>
      <c r="B964" s="21"/>
      <c r="C964" s="20"/>
      <c r="D964" s="22"/>
      <c r="E964" s="20"/>
      <c r="F964" s="20"/>
      <c r="G964" s="20"/>
      <c r="H964" s="20"/>
      <c r="I964" s="22"/>
      <c r="J964" s="20"/>
      <c r="K964" s="20"/>
      <c r="L964" s="20"/>
      <c r="M964" s="20"/>
      <c r="N964" s="21"/>
      <c r="O964" s="31"/>
      <c r="P964" s="20"/>
      <c r="Q964" s="31"/>
      <c r="R964" s="20"/>
      <c r="S964" s="20"/>
      <c r="T964" s="20"/>
      <c r="U964" s="20"/>
      <c r="V964" s="20"/>
      <c r="W964" s="20"/>
      <c r="X964" s="20"/>
      <c r="Y964" s="20"/>
      <c r="Z964" s="20"/>
    </row>
    <row r="965" spans="1:26" ht="9.75" customHeight="1" x14ac:dyDescent="0.25">
      <c r="A965" s="20"/>
      <c r="B965" s="21"/>
      <c r="C965" s="20"/>
      <c r="D965" s="22"/>
      <c r="E965" s="20"/>
      <c r="F965" s="20"/>
      <c r="G965" s="20"/>
      <c r="H965" s="20"/>
      <c r="I965" s="22"/>
      <c r="J965" s="20"/>
      <c r="K965" s="20"/>
      <c r="L965" s="20"/>
      <c r="M965" s="20"/>
      <c r="N965" s="21"/>
      <c r="O965" s="31"/>
      <c r="P965" s="20"/>
      <c r="Q965" s="31"/>
      <c r="R965" s="20"/>
      <c r="S965" s="20"/>
      <c r="T965" s="20"/>
      <c r="U965" s="20"/>
      <c r="V965" s="20"/>
      <c r="W965" s="20"/>
      <c r="X965" s="20"/>
      <c r="Y965" s="20"/>
      <c r="Z965" s="20"/>
    </row>
    <row r="966" spans="1:26" ht="9.75" customHeight="1" x14ac:dyDescent="0.25">
      <c r="A966" s="20"/>
      <c r="B966" s="21"/>
      <c r="C966" s="20"/>
      <c r="D966" s="22"/>
      <c r="E966" s="20"/>
      <c r="F966" s="20"/>
      <c r="G966" s="20"/>
      <c r="H966" s="20"/>
      <c r="I966" s="22"/>
      <c r="J966" s="20"/>
      <c r="K966" s="20"/>
      <c r="L966" s="20"/>
      <c r="M966" s="20"/>
      <c r="N966" s="21"/>
      <c r="O966" s="31"/>
      <c r="P966" s="20"/>
      <c r="Q966" s="31"/>
      <c r="R966" s="20"/>
      <c r="S966" s="20"/>
      <c r="T966" s="20"/>
      <c r="U966" s="20"/>
      <c r="V966" s="20"/>
      <c r="W966" s="20"/>
      <c r="X966" s="20"/>
      <c r="Y966" s="20"/>
      <c r="Z966" s="20"/>
    </row>
    <row r="967" spans="1:26" ht="9.75" customHeight="1" x14ac:dyDescent="0.25">
      <c r="A967" s="20"/>
      <c r="B967" s="21"/>
      <c r="C967" s="20"/>
      <c r="D967" s="22"/>
      <c r="E967" s="20"/>
      <c r="F967" s="20"/>
      <c r="G967" s="20"/>
      <c r="H967" s="20"/>
      <c r="I967" s="22"/>
      <c r="J967" s="20"/>
      <c r="K967" s="20"/>
      <c r="L967" s="20"/>
      <c r="M967" s="20"/>
      <c r="N967" s="21"/>
      <c r="O967" s="31"/>
      <c r="P967" s="20"/>
      <c r="Q967" s="31"/>
      <c r="R967" s="20"/>
      <c r="S967" s="20"/>
      <c r="T967" s="20"/>
      <c r="U967" s="20"/>
      <c r="V967" s="20"/>
      <c r="W967" s="20"/>
      <c r="X967" s="20"/>
      <c r="Y967" s="20"/>
      <c r="Z967" s="20"/>
    </row>
    <row r="968" spans="1:26" ht="9.75" customHeight="1" x14ac:dyDescent="0.25">
      <c r="A968" s="20"/>
      <c r="B968" s="21"/>
      <c r="C968" s="20"/>
      <c r="D968" s="22"/>
      <c r="E968" s="20"/>
      <c r="F968" s="20"/>
      <c r="G968" s="20"/>
      <c r="H968" s="20"/>
      <c r="I968" s="22"/>
      <c r="J968" s="20"/>
      <c r="K968" s="20"/>
      <c r="L968" s="20"/>
      <c r="M968" s="20"/>
      <c r="N968" s="21"/>
      <c r="O968" s="31"/>
      <c r="P968" s="20"/>
      <c r="Q968" s="31"/>
      <c r="R968" s="20"/>
      <c r="S968" s="20"/>
      <c r="T968" s="20"/>
      <c r="U968" s="20"/>
      <c r="V968" s="20"/>
      <c r="W968" s="20"/>
      <c r="X968" s="20"/>
      <c r="Y968" s="20"/>
      <c r="Z968" s="20"/>
    </row>
    <row r="969" spans="1:26" ht="9.75" customHeight="1" x14ac:dyDescent="0.25">
      <c r="A969" s="20"/>
      <c r="B969" s="21"/>
      <c r="C969" s="20"/>
      <c r="D969" s="22"/>
      <c r="E969" s="20"/>
      <c r="F969" s="20"/>
      <c r="G969" s="20"/>
      <c r="H969" s="20"/>
      <c r="I969" s="22"/>
      <c r="J969" s="20"/>
      <c r="K969" s="20"/>
      <c r="L969" s="20"/>
      <c r="M969" s="20"/>
      <c r="N969" s="21"/>
      <c r="O969" s="31"/>
      <c r="P969" s="20"/>
      <c r="Q969" s="31"/>
      <c r="R969" s="20"/>
      <c r="S969" s="20"/>
      <c r="T969" s="20"/>
      <c r="U969" s="20"/>
      <c r="V969" s="20"/>
      <c r="W969" s="20"/>
      <c r="X969" s="20"/>
      <c r="Y969" s="20"/>
      <c r="Z969" s="20"/>
    </row>
    <row r="970" spans="1:26" ht="9.75" customHeight="1" x14ac:dyDescent="0.25">
      <c r="A970" s="20"/>
      <c r="B970" s="21"/>
      <c r="C970" s="20"/>
      <c r="D970" s="22"/>
      <c r="E970" s="20"/>
      <c r="F970" s="20"/>
      <c r="G970" s="20"/>
      <c r="H970" s="20"/>
      <c r="I970" s="22"/>
      <c r="J970" s="20"/>
      <c r="K970" s="20"/>
      <c r="L970" s="20"/>
      <c r="M970" s="20"/>
      <c r="N970" s="21"/>
      <c r="O970" s="31"/>
      <c r="P970" s="20"/>
      <c r="Q970" s="31"/>
      <c r="R970" s="20"/>
      <c r="S970" s="20"/>
      <c r="T970" s="20"/>
      <c r="U970" s="20"/>
      <c r="V970" s="20"/>
      <c r="W970" s="20"/>
      <c r="X970" s="20"/>
      <c r="Y970" s="20"/>
      <c r="Z970" s="20"/>
    </row>
    <row r="971" spans="1:26" ht="9.75" customHeight="1" x14ac:dyDescent="0.25">
      <c r="A971" s="20"/>
      <c r="B971" s="21"/>
      <c r="C971" s="20"/>
      <c r="D971" s="22"/>
      <c r="E971" s="20"/>
      <c r="F971" s="20"/>
      <c r="G971" s="20"/>
      <c r="H971" s="20"/>
      <c r="I971" s="22"/>
      <c r="J971" s="20"/>
      <c r="K971" s="20"/>
      <c r="L971" s="20"/>
      <c r="M971" s="20"/>
      <c r="N971" s="21"/>
      <c r="O971" s="31"/>
      <c r="P971" s="20"/>
      <c r="Q971" s="31"/>
      <c r="R971" s="20"/>
      <c r="S971" s="20"/>
      <c r="T971" s="20"/>
      <c r="U971" s="20"/>
      <c r="V971" s="20"/>
      <c r="W971" s="20"/>
      <c r="X971" s="20"/>
      <c r="Y971" s="20"/>
      <c r="Z971" s="20"/>
    </row>
    <row r="972" spans="1:26" ht="9.75" customHeight="1" x14ac:dyDescent="0.25">
      <c r="A972" s="20"/>
      <c r="B972" s="21"/>
      <c r="C972" s="20"/>
      <c r="D972" s="22"/>
      <c r="E972" s="20"/>
      <c r="F972" s="20"/>
      <c r="G972" s="20"/>
      <c r="H972" s="20"/>
      <c r="I972" s="22"/>
      <c r="J972" s="20"/>
      <c r="K972" s="20"/>
      <c r="L972" s="20"/>
      <c r="M972" s="20"/>
      <c r="N972" s="21"/>
      <c r="O972" s="31"/>
      <c r="P972" s="20"/>
      <c r="Q972" s="31"/>
      <c r="R972" s="20"/>
      <c r="S972" s="20"/>
      <c r="T972" s="20"/>
      <c r="U972" s="20"/>
      <c r="V972" s="20"/>
      <c r="W972" s="20"/>
      <c r="X972" s="20"/>
      <c r="Y972" s="20"/>
      <c r="Z972" s="20"/>
    </row>
    <row r="973" spans="1:26" ht="9.75" customHeight="1" x14ac:dyDescent="0.25">
      <c r="A973" s="20"/>
      <c r="B973" s="21"/>
      <c r="C973" s="20"/>
      <c r="D973" s="22"/>
      <c r="E973" s="20"/>
      <c r="F973" s="20"/>
      <c r="G973" s="20"/>
      <c r="H973" s="20"/>
      <c r="I973" s="22"/>
      <c r="J973" s="20"/>
      <c r="K973" s="20"/>
      <c r="L973" s="20"/>
      <c r="M973" s="20"/>
      <c r="N973" s="21"/>
      <c r="O973" s="31"/>
      <c r="P973" s="20"/>
      <c r="Q973" s="31"/>
      <c r="R973" s="20"/>
      <c r="S973" s="20"/>
      <c r="T973" s="20"/>
      <c r="U973" s="20"/>
      <c r="V973" s="20"/>
      <c r="W973" s="20"/>
      <c r="X973" s="20"/>
      <c r="Y973" s="20"/>
      <c r="Z973" s="20"/>
    </row>
    <row r="974" spans="1:26" ht="9.75" customHeight="1" x14ac:dyDescent="0.25">
      <c r="A974" s="20"/>
      <c r="B974" s="21"/>
      <c r="C974" s="20"/>
      <c r="D974" s="22"/>
      <c r="E974" s="20"/>
      <c r="F974" s="20"/>
      <c r="G974" s="20"/>
      <c r="H974" s="20"/>
      <c r="I974" s="22"/>
      <c r="J974" s="20"/>
      <c r="K974" s="20"/>
      <c r="L974" s="20"/>
      <c r="M974" s="20"/>
      <c r="N974" s="21"/>
      <c r="O974" s="31"/>
      <c r="P974" s="20"/>
      <c r="Q974" s="31"/>
      <c r="R974" s="20"/>
      <c r="S974" s="20"/>
      <c r="T974" s="20"/>
      <c r="U974" s="20"/>
      <c r="V974" s="20"/>
      <c r="W974" s="20"/>
      <c r="X974" s="20"/>
      <c r="Y974" s="20"/>
      <c r="Z974" s="20"/>
    </row>
    <row r="975" spans="1:26" ht="9.75" customHeight="1" x14ac:dyDescent="0.25">
      <c r="A975" s="20"/>
      <c r="B975" s="21"/>
      <c r="C975" s="20"/>
      <c r="D975" s="22"/>
      <c r="E975" s="20"/>
      <c r="F975" s="20"/>
      <c r="G975" s="20"/>
      <c r="H975" s="20"/>
      <c r="I975" s="22"/>
      <c r="J975" s="20"/>
      <c r="K975" s="20"/>
      <c r="L975" s="20"/>
      <c r="M975" s="20"/>
      <c r="N975" s="21"/>
      <c r="O975" s="31"/>
      <c r="P975" s="20"/>
      <c r="Q975" s="31"/>
      <c r="R975" s="20"/>
      <c r="S975" s="20"/>
      <c r="T975" s="20"/>
      <c r="U975" s="20"/>
      <c r="V975" s="20"/>
      <c r="W975" s="20"/>
      <c r="X975" s="20"/>
      <c r="Y975" s="20"/>
      <c r="Z975" s="20"/>
    </row>
    <row r="976" spans="1:26" ht="9.75" customHeight="1" x14ac:dyDescent="0.25">
      <c r="A976" s="20"/>
      <c r="B976" s="21"/>
      <c r="C976" s="20"/>
      <c r="D976" s="22"/>
      <c r="E976" s="20"/>
      <c r="F976" s="20"/>
      <c r="G976" s="20"/>
      <c r="H976" s="20"/>
      <c r="I976" s="22"/>
      <c r="J976" s="20"/>
      <c r="K976" s="20"/>
      <c r="L976" s="20"/>
      <c r="M976" s="20"/>
      <c r="N976" s="21"/>
      <c r="O976" s="31"/>
      <c r="P976" s="20"/>
      <c r="Q976" s="31"/>
      <c r="R976" s="20"/>
      <c r="S976" s="20"/>
      <c r="T976" s="20"/>
      <c r="U976" s="20"/>
      <c r="V976" s="20"/>
      <c r="W976" s="20"/>
      <c r="X976" s="20"/>
      <c r="Y976" s="20"/>
      <c r="Z976" s="20"/>
    </row>
    <row r="977" spans="1:26" ht="9.75" customHeight="1" x14ac:dyDescent="0.25">
      <c r="A977" s="20"/>
      <c r="B977" s="21"/>
      <c r="C977" s="20"/>
      <c r="D977" s="22"/>
      <c r="E977" s="20"/>
      <c r="F977" s="20"/>
      <c r="G977" s="20"/>
      <c r="H977" s="20"/>
      <c r="I977" s="22"/>
      <c r="J977" s="20"/>
      <c r="K977" s="20"/>
      <c r="L977" s="20"/>
      <c r="M977" s="20"/>
      <c r="N977" s="21"/>
      <c r="O977" s="31"/>
      <c r="P977" s="20"/>
      <c r="Q977" s="31"/>
      <c r="R977" s="20"/>
      <c r="S977" s="20"/>
      <c r="T977" s="20"/>
      <c r="U977" s="20"/>
      <c r="V977" s="20"/>
      <c r="W977" s="20"/>
      <c r="X977" s="20"/>
      <c r="Y977" s="20"/>
      <c r="Z977" s="20"/>
    </row>
    <row r="978" spans="1:26" ht="9.75" customHeight="1" x14ac:dyDescent="0.25">
      <c r="A978" s="20"/>
      <c r="B978" s="21"/>
      <c r="C978" s="20"/>
      <c r="D978" s="22"/>
      <c r="E978" s="20"/>
      <c r="F978" s="20"/>
      <c r="G978" s="20"/>
      <c r="H978" s="20"/>
      <c r="I978" s="22"/>
      <c r="J978" s="20"/>
      <c r="K978" s="20"/>
      <c r="L978" s="20"/>
      <c r="M978" s="20"/>
      <c r="N978" s="21"/>
      <c r="O978" s="31"/>
      <c r="P978" s="20"/>
      <c r="Q978" s="31"/>
      <c r="R978" s="20"/>
      <c r="S978" s="20"/>
      <c r="T978" s="20"/>
      <c r="U978" s="20"/>
      <c r="V978" s="20"/>
      <c r="W978" s="20"/>
      <c r="X978" s="20"/>
      <c r="Y978" s="20"/>
      <c r="Z978" s="20"/>
    </row>
    <row r="979" spans="1:26" ht="9.75" customHeight="1" x14ac:dyDescent="0.25">
      <c r="A979" s="20"/>
      <c r="B979" s="21"/>
      <c r="C979" s="20"/>
      <c r="D979" s="22"/>
      <c r="E979" s="20"/>
      <c r="F979" s="20"/>
      <c r="G979" s="20"/>
      <c r="H979" s="20"/>
      <c r="I979" s="22"/>
      <c r="J979" s="20"/>
      <c r="K979" s="20"/>
      <c r="L979" s="20"/>
      <c r="M979" s="20"/>
      <c r="N979" s="21"/>
      <c r="O979" s="31"/>
      <c r="P979" s="20"/>
      <c r="Q979" s="31"/>
      <c r="R979" s="20"/>
      <c r="S979" s="20"/>
      <c r="T979" s="20"/>
      <c r="U979" s="20"/>
      <c r="V979" s="20"/>
      <c r="W979" s="20"/>
      <c r="X979" s="20"/>
      <c r="Y979" s="20"/>
      <c r="Z979" s="20"/>
    </row>
    <row r="980" spans="1:26" ht="9.75" customHeight="1" x14ac:dyDescent="0.25">
      <c r="A980" s="20"/>
      <c r="B980" s="21"/>
      <c r="C980" s="20"/>
      <c r="D980" s="22"/>
      <c r="E980" s="20"/>
      <c r="F980" s="20"/>
      <c r="G980" s="20"/>
      <c r="H980" s="20"/>
      <c r="I980" s="22"/>
      <c r="J980" s="20"/>
      <c r="K980" s="20"/>
      <c r="L980" s="20"/>
      <c r="M980" s="20"/>
      <c r="N980" s="21"/>
      <c r="O980" s="31"/>
      <c r="P980" s="20"/>
      <c r="Q980" s="31"/>
      <c r="R980" s="20"/>
      <c r="S980" s="20"/>
      <c r="T980" s="20"/>
      <c r="U980" s="20"/>
      <c r="V980" s="20"/>
      <c r="W980" s="20"/>
      <c r="X980" s="20"/>
      <c r="Y980" s="20"/>
      <c r="Z980" s="20"/>
    </row>
    <row r="981" spans="1:26" ht="9.75" customHeight="1" x14ac:dyDescent="0.25">
      <c r="A981" s="20"/>
      <c r="B981" s="21"/>
      <c r="C981" s="20"/>
      <c r="D981" s="22"/>
      <c r="E981" s="20"/>
      <c r="F981" s="20"/>
      <c r="G981" s="20"/>
      <c r="H981" s="20"/>
      <c r="I981" s="22"/>
      <c r="J981" s="20"/>
      <c r="K981" s="20"/>
      <c r="L981" s="20"/>
      <c r="M981" s="20"/>
      <c r="N981" s="21"/>
      <c r="O981" s="31"/>
      <c r="P981" s="20"/>
      <c r="Q981" s="31"/>
      <c r="R981" s="20"/>
      <c r="S981" s="20"/>
      <c r="T981" s="20"/>
      <c r="U981" s="20"/>
      <c r="V981" s="20"/>
      <c r="W981" s="20"/>
      <c r="X981" s="20"/>
      <c r="Y981" s="20"/>
      <c r="Z981" s="20"/>
    </row>
    <row r="982" spans="1:26" ht="9.75" customHeight="1" x14ac:dyDescent="0.25">
      <c r="A982" s="20"/>
      <c r="B982" s="21"/>
      <c r="C982" s="20"/>
      <c r="D982" s="22"/>
      <c r="E982" s="20"/>
      <c r="F982" s="20"/>
      <c r="G982" s="20"/>
      <c r="H982" s="20"/>
      <c r="I982" s="22"/>
      <c r="J982" s="20"/>
      <c r="K982" s="20"/>
      <c r="L982" s="20"/>
      <c r="M982" s="20"/>
      <c r="N982" s="21"/>
      <c r="O982" s="31"/>
      <c r="P982" s="20"/>
      <c r="Q982" s="31"/>
      <c r="R982" s="20"/>
      <c r="S982" s="20"/>
      <c r="T982" s="20"/>
      <c r="U982" s="20"/>
      <c r="V982" s="20"/>
      <c r="W982" s="20"/>
      <c r="X982" s="20"/>
      <c r="Y982" s="20"/>
      <c r="Z982" s="20"/>
    </row>
    <row r="983" spans="1:26" ht="9.75" customHeight="1" x14ac:dyDescent="0.25">
      <c r="A983" s="20"/>
      <c r="B983" s="21"/>
      <c r="C983" s="20"/>
      <c r="D983" s="22"/>
      <c r="E983" s="20"/>
      <c r="F983" s="20"/>
      <c r="G983" s="20"/>
      <c r="H983" s="20"/>
      <c r="I983" s="22"/>
      <c r="J983" s="20"/>
      <c r="K983" s="20"/>
      <c r="L983" s="20"/>
      <c r="M983" s="20"/>
      <c r="N983" s="21"/>
      <c r="O983" s="31"/>
      <c r="P983" s="20"/>
      <c r="Q983" s="31"/>
      <c r="R983" s="20"/>
      <c r="S983" s="20"/>
      <c r="T983" s="20"/>
      <c r="U983" s="20"/>
      <c r="V983" s="20"/>
      <c r="W983" s="20"/>
      <c r="X983" s="20"/>
      <c r="Y983" s="20"/>
      <c r="Z983" s="20"/>
    </row>
    <row r="984" spans="1:26" ht="9.75" customHeight="1" x14ac:dyDescent="0.25">
      <c r="A984" s="20"/>
      <c r="B984" s="21"/>
      <c r="C984" s="20"/>
      <c r="D984" s="22"/>
      <c r="E984" s="20"/>
      <c r="F984" s="20"/>
      <c r="G984" s="20"/>
      <c r="H984" s="20"/>
      <c r="I984" s="22"/>
      <c r="J984" s="20"/>
      <c r="K984" s="20"/>
      <c r="L984" s="20"/>
      <c r="M984" s="20"/>
      <c r="N984" s="21"/>
      <c r="O984" s="31"/>
      <c r="P984" s="20"/>
      <c r="Q984" s="31"/>
      <c r="R984" s="20"/>
      <c r="S984" s="20"/>
      <c r="T984" s="20"/>
      <c r="U984" s="20"/>
      <c r="V984" s="20"/>
      <c r="W984" s="20"/>
      <c r="X984" s="20"/>
      <c r="Y984" s="20"/>
      <c r="Z984" s="20"/>
    </row>
    <row r="985" spans="1:26" ht="9.75" customHeight="1" x14ac:dyDescent="0.25">
      <c r="A985" s="20"/>
      <c r="B985" s="21"/>
      <c r="C985" s="20"/>
      <c r="D985" s="22"/>
      <c r="E985" s="20"/>
      <c r="F985" s="20"/>
      <c r="G985" s="20"/>
      <c r="H985" s="20"/>
      <c r="I985" s="22"/>
      <c r="J985" s="20"/>
      <c r="K985" s="20"/>
      <c r="L985" s="20"/>
      <c r="M985" s="20"/>
      <c r="N985" s="21"/>
      <c r="O985" s="31"/>
      <c r="P985" s="20"/>
      <c r="Q985" s="31"/>
      <c r="R985" s="20"/>
      <c r="S985" s="20"/>
      <c r="T985" s="20"/>
      <c r="U985" s="20"/>
      <c r="V985" s="20"/>
      <c r="W985" s="20"/>
      <c r="X985" s="20"/>
      <c r="Y985" s="20"/>
      <c r="Z985" s="20"/>
    </row>
    <row r="986" spans="1:26" ht="9.75" customHeight="1" x14ac:dyDescent="0.25">
      <c r="A986" s="20"/>
      <c r="B986" s="21"/>
      <c r="C986" s="20"/>
      <c r="D986" s="22"/>
      <c r="E986" s="20"/>
      <c r="F986" s="20"/>
      <c r="G986" s="20"/>
      <c r="H986" s="20"/>
      <c r="I986" s="22"/>
      <c r="J986" s="20"/>
      <c r="K986" s="20"/>
      <c r="L986" s="20"/>
      <c r="M986" s="20"/>
      <c r="N986" s="21"/>
      <c r="O986" s="31"/>
      <c r="P986" s="20"/>
      <c r="Q986" s="31"/>
      <c r="R986" s="20"/>
      <c r="S986" s="20"/>
      <c r="T986" s="20"/>
      <c r="U986" s="20"/>
      <c r="V986" s="20"/>
      <c r="W986" s="20"/>
      <c r="X986" s="20"/>
      <c r="Y986" s="20"/>
      <c r="Z986" s="20"/>
    </row>
    <row r="987" spans="1:26" ht="9.75" customHeight="1" x14ac:dyDescent="0.25">
      <c r="A987" s="20"/>
      <c r="B987" s="21"/>
      <c r="C987" s="20"/>
      <c r="D987" s="22"/>
      <c r="E987" s="20"/>
      <c r="F987" s="20"/>
      <c r="G987" s="20"/>
      <c r="H987" s="20"/>
      <c r="I987" s="22"/>
      <c r="J987" s="20"/>
      <c r="K987" s="20"/>
      <c r="L987" s="20"/>
      <c r="M987" s="20"/>
      <c r="N987" s="21"/>
      <c r="O987" s="31"/>
      <c r="P987" s="20"/>
      <c r="Q987" s="31"/>
      <c r="R987" s="20"/>
      <c r="S987" s="20"/>
      <c r="T987" s="20"/>
      <c r="U987" s="20"/>
      <c r="V987" s="20"/>
      <c r="W987" s="20"/>
      <c r="X987" s="20"/>
      <c r="Y987" s="20"/>
      <c r="Z987" s="20"/>
    </row>
    <row r="988" spans="1:26" ht="9.75" customHeight="1" x14ac:dyDescent="0.25">
      <c r="A988" s="20"/>
      <c r="B988" s="21"/>
      <c r="C988" s="20"/>
      <c r="D988" s="22"/>
      <c r="E988" s="20"/>
      <c r="F988" s="20"/>
      <c r="G988" s="20"/>
      <c r="H988" s="20"/>
      <c r="I988" s="22"/>
      <c r="J988" s="20"/>
      <c r="K988" s="20"/>
      <c r="L988" s="20"/>
      <c r="M988" s="20"/>
      <c r="N988" s="21"/>
      <c r="O988" s="31"/>
      <c r="P988" s="20"/>
      <c r="Q988" s="31"/>
      <c r="R988" s="20"/>
      <c r="S988" s="20"/>
      <c r="T988" s="20"/>
      <c r="U988" s="20"/>
      <c r="V988" s="20"/>
      <c r="W988" s="20"/>
      <c r="X988" s="20"/>
      <c r="Y988" s="20"/>
      <c r="Z988" s="20"/>
    </row>
    <row r="989" spans="1:26" ht="9.75" customHeight="1" x14ac:dyDescent="0.25">
      <c r="A989" s="20"/>
      <c r="B989" s="21"/>
      <c r="C989" s="20"/>
      <c r="D989" s="22"/>
      <c r="E989" s="20"/>
      <c r="F989" s="20"/>
      <c r="G989" s="20"/>
      <c r="H989" s="20"/>
      <c r="I989" s="22"/>
      <c r="J989" s="20"/>
      <c r="K989" s="20"/>
      <c r="L989" s="20"/>
      <c r="M989" s="20"/>
      <c r="N989" s="21"/>
      <c r="O989" s="31"/>
      <c r="P989" s="20"/>
      <c r="Q989" s="31"/>
      <c r="R989" s="20"/>
      <c r="S989" s="20"/>
      <c r="T989" s="20"/>
      <c r="U989" s="20"/>
      <c r="V989" s="20"/>
      <c r="W989" s="20"/>
      <c r="X989" s="20"/>
      <c r="Y989" s="20"/>
      <c r="Z989" s="20"/>
    </row>
    <row r="990" spans="1:26" ht="9.75" customHeight="1" x14ac:dyDescent="0.25">
      <c r="A990" s="20"/>
      <c r="B990" s="21"/>
      <c r="C990" s="20"/>
      <c r="D990" s="22"/>
      <c r="E990" s="20"/>
      <c r="F990" s="20"/>
      <c r="G990" s="20"/>
      <c r="H990" s="20"/>
      <c r="I990" s="22"/>
      <c r="J990" s="20"/>
      <c r="K990" s="20"/>
      <c r="L990" s="20"/>
      <c r="M990" s="20"/>
      <c r="N990" s="21"/>
      <c r="O990" s="31"/>
      <c r="P990" s="20"/>
      <c r="Q990" s="31"/>
      <c r="R990" s="20"/>
      <c r="S990" s="20"/>
      <c r="T990" s="20"/>
      <c r="U990" s="20"/>
      <c r="V990" s="20"/>
      <c r="W990" s="20"/>
      <c r="X990" s="20"/>
      <c r="Y990" s="20"/>
      <c r="Z990" s="20"/>
    </row>
    <row r="991" spans="1:26" ht="9.75" customHeight="1" x14ac:dyDescent="0.25">
      <c r="A991" s="20"/>
      <c r="B991" s="21"/>
      <c r="C991" s="20"/>
      <c r="D991" s="22"/>
      <c r="E991" s="20"/>
      <c r="F991" s="20"/>
      <c r="G991" s="20"/>
      <c r="H991" s="20"/>
      <c r="I991" s="22"/>
      <c r="J991" s="20"/>
      <c r="K991" s="20"/>
      <c r="L991" s="20"/>
      <c r="M991" s="20"/>
      <c r="N991" s="21"/>
      <c r="O991" s="31"/>
      <c r="P991" s="20"/>
      <c r="Q991" s="31"/>
      <c r="R991" s="20"/>
      <c r="S991" s="20"/>
      <c r="T991" s="20"/>
      <c r="U991" s="20"/>
      <c r="V991" s="20"/>
      <c r="W991" s="20"/>
      <c r="X991" s="20"/>
      <c r="Y991" s="20"/>
      <c r="Z991" s="20"/>
    </row>
    <row r="992" spans="1:26" ht="9.75" customHeight="1" x14ac:dyDescent="0.25">
      <c r="A992" s="20"/>
      <c r="B992" s="21"/>
      <c r="C992" s="20"/>
      <c r="D992" s="22"/>
      <c r="E992" s="20"/>
      <c r="F992" s="20"/>
      <c r="G992" s="20"/>
      <c r="H992" s="20"/>
      <c r="I992" s="22"/>
      <c r="J992" s="20"/>
      <c r="K992" s="20"/>
      <c r="L992" s="20"/>
      <c r="M992" s="20"/>
      <c r="N992" s="21"/>
      <c r="O992" s="31"/>
      <c r="P992" s="20"/>
      <c r="Q992" s="31"/>
      <c r="R992" s="20"/>
      <c r="S992" s="20"/>
      <c r="T992" s="20"/>
      <c r="U992" s="20"/>
      <c r="V992" s="20"/>
      <c r="W992" s="20"/>
      <c r="X992" s="20"/>
      <c r="Y992" s="20"/>
      <c r="Z992" s="20"/>
    </row>
    <row r="993" spans="1:26" ht="9.75" customHeight="1" x14ac:dyDescent="0.25">
      <c r="A993" s="20"/>
      <c r="B993" s="21"/>
      <c r="C993" s="20"/>
      <c r="D993" s="22"/>
      <c r="E993" s="20"/>
      <c r="F993" s="20"/>
      <c r="G993" s="20"/>
      <c r="H993" s="20"/>
      <c r="I993" s="22"/>
      <c r="J993" s="20"/>
      <c r="K993" s="20"/>
      <c r="L993" s="20"/>
      <c r="M993" s="20"/>
      <c r="N993" s="21"/>
      <c r="O993" s="31"/>
      <c r="P993" s="20"/>
      <c r="Q993" s="31"/>
      <c r="R993" s="20"/>
      <c r="S993" s="20"/>
      <c r="T993" s="20"/>
      <c r="U993" s="20"/>
      <c r="V993" s="20"/>
      <c r="W993" s="20"/>
      <c r="X993" s="20"/>
      <c r="Y993" s="20"/>
      <c r="Z993" s="20"/>
    </row>
    <row r="994" spans="1:26" ht="9.75" customHeight="1" x14ac:dyDescent="0.25">
      <c r="A994" s="20"/>
      <c r="B994" s="21"/>
      <c r="C994" s="20"/>
      <c r="D994" s="22"/>
      <c r="E994" s="20"/>
      <c r="F994" s="20"/>
      <c r="G994" s="20"/>
      <c r="H994" s="20"/>
      <c r="I994" s="22"/>
      <c r="J994" s="20"/>
      <c r="K994" s="20"/>
      <c r="L994" s="20"/>
      <c r="M994" s="20"/>
      <c r="N994" s="21"/>
      <c r="O994" s="31"/>
      <c r="P994" s="20"/>
      <c r="Q994" s="31"/>
      <c r="R994" s="20"/>
      <c r="S994" s="20"/>
      <c r="T994" s="20"/>
      <c r="U994" s="20"/>
      <c r="V994" s="20"/>
      <c r="W994" s="20"/>
      <c r="X994" s="20"/>
      <c r="Y994" s="20"/>
      <c r="Z994" s="20"/>
    </row>
    <row r="995" spans="1:26" ht="9.75" customHeight="1" x14ac:dyDescent="0.25">
      <c r="A995" s="20"/>
      <c r="B995" s="21"/>
      <c r="C995" s="20"/>
      <c r="D995" s="22"/>
      <c r="E995" s="20"/>
      <c r="F995" s="20"/>
      <c r="G995" s="20"/>
      <c r="H995" s="20"/>
      <c r="I995" s="22"/>
      <c r="J995" s="20"/>
      <c r="K995" s="20"/>
      <c r="L995" s="20"/>
      <c r="M995" s="20"/>
      <c r="N995" s="21"/>
      <c r="O995" s="31"/>
      <c r="P995" s="20"/>
      <c r="Q995" s="31"/>
      <c r="R995" s="20"/>
      <c r="S995" s="20"/>
      <c r="T995" s="20"/>
      <c r="U995" s="20"/>
      <c r="V995" s="20"/>
      <c r="W995" s="20"/>
      <c r="X995" s="20"/>
      <c r="Y995" s="20"/>
      <c r="Z995" s="20"/>
    </row>
    <row r="996" spans="1:26" ht="9.75" customHeight="1" x14ac:dyDescent="0.25">
      <c r="A996" s="20"/>
      <c r="B996" s="21"/>
      <c r="C996" s="20"/>
      <c r="D996" s="22"/>
      <c r="E996" s="20"/>
      <c r="F996" s="20"/>
      <c r="G996" s="20"/>
      <c r="H996" s="20"/>
      <c r="I996" s="22"/>
      <c r="J996" s="20"/>
      <c r="K996" s="20"/>
      <c r="L996" s="20"/>
      <c r="M996" s="20"/>
      <c r="N996" s="21"/>
      <c r="O996" s="31"/>
      <c r="P996" s="20"/>
      <c r="Q996" s="31"/>
      <c r="R996" s="20"/>
      <c r="S996" s="20"/>
      <c r="T996" s="20"/>
      <c r="U996" s="20"/>
      <c r="V996" s="20"/>
      <c r="W996" s="20"/>
      <c r="X996" s="20"/>
      <c r="Y996" s="20"/>
      <c r="Z996" s="20"/>
    </row>
    <row r="997" spans="1:26" ht="9.75" customHeight="1" x14ac:dyDescent="0.25">
      <c r="A997" s="20"/>
      <c r="B997" s="21"/>
      <c r="C997" s="20"/>
      <c r="D997" s="22"/>
      <c r="E997" s="20"/>
      <c r="F997" s="20"/>
      <c r="G997" s="20"/>
      <c r="H997" s="20"/>
      <c r="I997" s="22"/>
      <c r="J997" s="20"/>
      <c r="K997" s="20"/>
      <c r="L997" s="20"/>
      <c r="M997" s="20"/>
      <c r="N997" s="21"/>
      <c r="O997" s="31"/>
      <c r="P997" s="20"/>
      <c r="Q997" s="31"/>
      <c r="R997" s="20"/>
      <c r="S997" s="20"/>
      <c r="T997" s="20"/>
      <c r="U997" s="20"/>
      <c r="V997" s="20"/>
      <c r="W997" s="20"/>
      <c r="X997" s="20"/>
      <c r="Y997" s="20"/>
      <c r="Z997" s="20"/>
    </row>
    <row r="998" spans="1:26" ht="9.75" customHeight="1" x14ac:dyDescent="0.25">
      <c r="A998" s="20"/>
      <c r="B998" s="21"/>
      <c r="C998" s="20"/>
      <c r="D998" s="22"/>
      <c r="E998" s="20"/>
      <c r="F998" s="20"/>
      <c r="G998" s="20"/>
      <c r="H998" s="20"/>
      <c r="I998" s="22"/>
      <c r="J998" s="20"/>
      <c r="K998" s="20"/>
      <c r="L998" s="20"/>
      <c r="M998" s="20"/>
      <c r="N998" s="21"/>
      <c r="O998" s="31"/>
      <c r="P998" s="20"/>
      <c r="Q998" s="31"/>
      <c r="R998" s="20"/>
      <c r="S998" s="20"/>
      <c r="T998" s="20"/>
      <c r="U998" s="20"/>
      <c r="V998" s="20"/>
      <c r="W998" s="20"/>
      <c r="X998" s="20"/>
      <c r="Y998" s="20"/>
      <c r="Z998" s="20"/>
    </row>
    <row r="999" spans="1:26" ht="9.75" customHeight="1" x14ac:dyDescent="0.25">
      <c r="A999" s="20"/>
      <c r="B999" s="21"/>
      <c r="C999" s="20"/>
      <c r="D999" s="22"/>
      <c r="E999" s="20"/>
      <c r="F999" s="20"/>
      <c r="G999" s="20"/>
      <c r="H999" s="20"/>
      <c r="I999" s="22"/>
      <c r="J999" s="20"/>
      <c r="K999" s="20"/>
      <c r="L999" s="20"/>
      <c r="M999" s="20"/>
      <c r="N999" s="21"/>
      <c r="O999" s="31"/>
      <c r="P999" s="20"/>
      <c r="Q999" s="31"/>
      <c r="R999" s="20"/>
      <c r="S999" s="20"/>
      <c r="T999" s="20"/>
      <c r="U999" s="20"/>
      <c r="V999" s="20"/>
      <c r="W999" s="20"/>
      <c r="X999" s="20"/>
      <c r="Y999" s="20"/>
      <c r="Z999" s="20"/>
    </row>
    <row r="1000" spans="1:26" ht="9.75" customHeight="1" x14ac:dyDescent="0.25">
      <c r="A1000" s="20"/>
      <c r="B1000" s="21"/>
      <c r="C1000" s="20"/>
      <c r="D1000" s="22"/>
      <c r="E1000" s="20"/>
      <c r="F1000" s="20"/>
      <c r="G1000" s="20"/>
      <c r="H1000" s="20"/>
      <c r="I1000" s="22"/>
      <c r="J1000" s="20"/>
      <c r="K1000" s="20"/>
      <c r="L1000" s="20"/>
      <c r="M1000" s="20"/>
      <c r="N1000" s="21"/>
      <c r="O1000" s="31"/>
      <c r="P1000" s="20"/>
      <c r="Q1000" s="31"/>
      <c r="R1000" s="20"/>
      <c r="S1000" s="20"/>
      <c r="T1000" s="20"/>
      <c r="U1000" s="20"/>
      <c r="V1000" s="20"/>
      <c r="W1000" s="20"/>
      <c r="X1000" s="20"/>
      <c r="Y1000" s="20"/>
      <c r="Z1000" s="20"/>
    </row>
    <row r="1001" spans="1:26" ht="9.75" customHeight="1" x14ac:dyDescent="0.25">
      <c r="A1001" s="20"/>
      <c r="B1001" s="21"/>
      <c r="C1001" s="20"/>
      <c r="D1001" s="22"/>
      <c r="E1001" s="20"/>
      <c r="F1001" s="20"/>
      <c r="G1001" s="20"/>
      <c r="H1001" s="20"/>
      <c r="I1001" s="22"/>
      <c r="J1001" s="20"/>
      <c r="K1001" s="20"/>
      <c r="L1001" s="20"/>
      <c r="M1001" s="20"/>
      <c r="N1001" s="21"/>
      <c r="O1001" s="31"/>
      <c r="P1001" s="20"/>
      <c r="Q1001" s="31"/>
      <c r="R1001" s="20"/>
      <c r="S1001" s="20"/>
      <c r="T1001" s="20"/>
      <c r="U1001" s="20"/>
      <c r="V1001" s="20"/>
      <c r="W1001" s="20"/>
      <c r="X1001" s="20"/>
      <c r="Y1001" s="20"/>
      <c r="Z1001" s="20"/>
    </row>
    <row r="1002" spans="1:26" ht="9.75" customHeight="1" x14ac:dyDescent="0.25">
      <c r="A1002" s="20"/>
      <c r="B1002" s="21"/>
      <c r="C1002" s="20"/>
      <c r="D1002" s="22"/>
      <c r="E1002" s="20"/>
      <c r="F1002" s="20"/>
      <c r="G1002" s="20"/>
      <c r="H1002" s="20"/>
      <c r="I1002" s="22"/>
      <c r="J1002" s="20"/>
      <c r="K1002" s="20"/>
      <c r="L1002" s="20"/>
      <c r="M1002" s="20"/>
      <c r="N1002" s="21"/>
      <c r="O1002" s="31"/>
      <c r="P1002" s="20"/>
      <c r="Q1002" s="31"/>
      <c r="R1002" s="20"/>
      <c r="S1002" s="20"/>
      <c r="T1002" s="20"/>
      <c r="U1002" s="20"/>
      <c r="V1002" s="20"/>
      <c r="W1002" s="20"/>
      <c r="X1002" s="20"/>
      <c r="Y1002" s="20"/>
      <c r="Z1002" s="20"/>
    </row>
    <row r="1003" spans="1:26" ht="9.75" customHeight="1" x14ac:dyDescent="0.25">
      <c r="A1003" s="20"/>
      <c r="B1003" s="21"/>
      <c r="C1003" s="20"/>
      <c r="D1003" s="22"/>
      <c r="E1003" s="20"/>
      <c r="F1003" s="20"/>
      <c r="G1003" s="20"/>
      <c r="H1003" s="20"/>
      <c r="I1003" s="22"/>
      <c r="J1003" s="20"/>
      <c r="K1003" s="20"/>
      <c r="L1003" s="20"/>
      <c r="M1003" s="20"/>
      <c r="N1003" s="21"/>
      <c r="O1003" s="31"/>
      <c r="P1003" s="20"/>
      <c r="Q1003" s="31"/>
      <c r="R1003" s="20"/>
      <c r="S1003" s="20"/>
      <c r="T1003" s="20"/>
      <c r="U1003" s="20"/>
      <c r="V1003" s="20"/>
      <c r="W1003" s="20"/>
      <c r="X1003" s="20"/>
      <c r="Y1003" s="20"/>
      <c r="Z1003" s="20"/>
    </row>
  </sheetData>
  <conditionalFormatting sqref="K2:K5">
    <cfRule type="containsText" dxfId="2" priority="8" operator="containsText" text="Open">
      <formula>NOT(ISERROR(SEARCH("Open",K2)))</formula>
    </cfRule>
  </conditionalFormatting>
  <dataValidations count="2">
    <dataValidation type="list" allowBlank="1" showErrorMessage="1" sqref="C1:C1003" xr:uid="{00000000-0002-0000-0500-000000000000}">
      <formula1>"Email,WA,Channel"</formula1>
    </dataValidation>
    <dataValidation type="list" allowBlank="1" showErrorMessage="1" sqref="R6:R144" xr:uid="{00000000-0002-0000-0500-000001000000}">
      <formula1>"Agung,Faisal,Julio,Reynal"</formula1>
    </dataValidation>
  </dataValidations>
  <hyperlinks>
    <hyperlink ref="H7" r:id="rId1" display="Surat FRAUD dari BCA_x000a_FRAUD ALIRAN DANA REK BCA ALIFAH NOVRINA WIDIYASARI - PRISMALINK PT BAYAR2.COM_x000a_Permohonan Investigasi dan Permohonan Pengembalian Dana Atas Rekening Terindikasi Penipuan (1987702908)_x000a_Transaksi Tgl 20-October_x000a_•        7900121700012357 - Rp. 20,000,000 (Nubecul)_x000a_•        7900121700060215 - Rp. 18,500,000 (Nubecul)_x000a_•        7900119200086255 - Rp. 19,850,000 (KVoucher)_x000a_•        7900119200086366 - Rp. 10,000,000 (KVoucher)" xr:uid="{00000000-0004-0000-0500-000000000000}"/>
  </hyperlinks>
  <pageMargins left="0.7" right="0.7" top="0.75" bottom="0.75" header="0" footer="0"/>
  <pageSetup orientation="portrait"/>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election activeCell="C25" sqref="C25"/>
    </sheetView>
  </sheetViews>
  <sheetFormatPr defaultColWidth="12.6640625" defaultRowHeight="15" customHeight="1" x14ac:dyDescent="0.25"/>
  <cols>
    <col min="1" max="1" width="8.6640625" customWidth="1"/>
    <col min="2" max="2" width="30.33203125" customWidth="1"/>
    <col min="3" max="3" width="113.33203125" customWidth="1"/>
    <col min="4" max="26" width="8.6640625" customWidth="1"/>
  </cols>
  <sheetData>
    <row r="1" spans="1:3" ht="14.25" customHeight="1" x14ac:dyDescent="0.3">
      <c r="A1" s="1" t="s">
        <v>1340</v>
      </c>
      <c r="B1" s="2"/>
      <c r="C1" s="2"/>
    </row>
    <row r="2" spans="1:3" ht="14.25" customHeight="1" x14ac:dyDescent="0.3">
      <c r="A2" s="3" t="s">
        <v>40</v>
      </c>
      <c r="B2" s="4"/>
      <c r="C2" s="4"/>
    </row>
    <row r="3" spans="1:3" ht="14.25" customHeight="1" x14ac:dyDescent="0.25">
      <c r="A3" s="5" t="s">
        <v>1341</v>
      </c>
      <c r="B3" s="5" t="s">
        <v>1342</v>
      </c>
      <c r="C3" s="5" t="s">
        <v>1343</v>
      </c>
    </row>
    <row r="4" spans="1:3" ht="14.25" customHeight="1" x14ac:dyDescent="0.3">
      <c r="A4" s="4" t="s">
        <v>81</v>
      </c>
      <c r="B4" s="4" t="s">
        <v>1495</v>
      </c>
      <c r="C4" s="6" t="s">
        <v>1496</v>
      </c>
    </row>
    <row r="5" spans="1:3" ht="14.25" customHeight="1" x14ac:dyDescent="0.3">
      <c r="A5" s="4" t="s">
        <v>55</v>
      </c>
      <c r="B5" s="4" t="s">
        <v>1497</v>
      </c>
      <c r="C5" s="4" t="s">
        <v>1347</v>
      </c>
    </row>
    <row r="6" spans="1:3" ht="14.25" customHeight="1" x14ac:dyDescent="0.3">
      <c r="A6" s="4" t="s">
        <v>1348</v>
      </c>
      <c r="B6" s="4" t="s">
        <v>1349</v>
      </c>
      <c r="C6" s="4" t="s">
        <v>1498</v>
      </c>
    </row>
    <row r="7" spans="1:3" ht="14.25" customHeight="1" x14ac:dyDescent="0.25">
      <c r="A7" s="7"/>
      <c r="B7" s="7"/>
    </row>
    <row r="8" spans="1:3" ht="14.25" customHeight="1" x14ac:dyDescent="0.25"/>
    <row r="9" spans="1:3" ht="14.25" customHeight="1" x14ac:dyDescent="0.25"/>
    <row r="10" spans="1:3" ht="14.25" customHeight="1" x14ac:dyDescent="0.3">
      <c r="A10" s="4" t="s">
        <v>1355</v>
      </c>
      <c r="B10" s="4"/>
      <c r="C10" s="4"/>
    </row>
    <row r="11" spans="1:3" ht="14.25" customHeight="1" x14ac:dyDescent="0.25">
      <c r="A11" s="8" t="s">
        <v>1341</v>
      </c>
      <c r="B11" s="8" t="s">
        <v>1342</v>
      </c>
      <c r="C11" s="8" t="s">
        <v>1343</v>
      </c>
    </row>
    <row r="12" spans="1:3" ht="14.25" customHeight="1" x14ac:dyDescent="0.3">
      <c r="A12" s="4" t="s">
        <v>64</v>
      </c>
      <c r="B12" s="4" t="s">
        <v>1356</v>
      </c>
      <c r="C12" s="4" t="s">
        <v>1357</v>
      </c>
    </row>
    <row r="13" spans="1:3" ht="14.25" customHeight="1" x14ac:dyDescent="0.25"/>
    <row r="14" spans="1:3" ht="14.25" customHeight="1" x14ac:dyDescent="0.25">
      <c r="A14" s="7" t="s">
        <v>1363</v>
      </c>
    </row>
    <row r="15" spans="1:3" ht="14.25" customHeight="1" x14ac:dyDescent="0.25">
      <c r="A15" s="7" t="s">
        <v>66</v>
      </c>
    </row>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CALLCANTER LOG</vt:lpstr>
      <vt:lpstr>2026 INDIKASI PENIPUAN</vt:lpstr>
      <vt:lpstr>Detail Category</vt:lpstr>
      <vt:lpstr>SERVER</vt:lpstr>
      <vt:lpstr>Copy of v2</vt:lpstr>
      <vt:lpstr>Kategori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plinkint</cp:lastModifiedBy>
  <dcterms:created xsi:type="dcterms:W3CDTF">2025-10-22T11:19:00Z</dcterms:created>
  <dcterms:modified xsi:type="dcterms:W3CDTF">2026-04-27T11:09:27Z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1A08AE5D5302479281388016D59B487A_12</vt:lpwstr>
  </property>
  <property fmtid="{D5CDD505-2E9C-101B-9397-08002B2CF9AE}" pid="3" name="KSOProductBuildVer">
    <vt:lpwstr>1033-12.2.0.23196</vt:lpwstr>
  </property>
</Properties>
</file>